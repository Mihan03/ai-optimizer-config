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L" sheetId="1" state="visible" r:id="rId3"/>
    <sheet name="Настройки" sheetId="2" state="visible" r:id="rId4"/>
    <sheet name="Калибровка" sheetId="3" state="visible" r:id="rId5"/>
    <sheet name="Легенда" sheetId="4" state="visible" r:id="rId6"/>
  </sheets>
  <definedNames>
    <definedName function="false" hidden="true" localSheetId="0" name="_xlnm._FilterDatabase" vbProcedure="false">KHL!$A$7:$AR$1000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Arial"/>
            <family val="2"/>
          </rPr>
          <t xml:space="preserve">Тотал: линия тотала. Фора: фора ХОЗЯЕВ (−1.5 = Ф1(−1.5); выбор away = Ф2(+1.5)).</t>
        </r>
      </text>
    </comment>
    <comment ref="K7" authorId="0">
      <text>
        <r>
          <rPr>
            <sz val="10"/>
            <rFont val="Arial"/>
            <family val="2"/>
          </rPr>
          <t xml:space="preserve">В портфель и P&amp;L идёт только ВИРТУАЛЬНЫЙ ВЫБОР (максимум один на матч). НАБЛЮДЕНИЕ — прошло фильтр, но не выбрано; в P&amp;L не входит.</t>
        </r>
      </text>
    </comment>
    <comment ref="S7" authorId="0">
      <text>
        <r>
          <rPr>
            <sz val="10"/>
            <rFont val="Arial"/>
            <family val="2"/>
          </rPr>
          <t xml:space="preserve">Вероятность рынка без маржи (одна БК, один срез). Для целых линий — условная, без возврата.</t>
        </r>
      </text>
    </comment>
  </commentList>
</comments>
</file>

<file path=xl/sharedStrings.xml><?xml version="1.0" encoding="utf-8"?>
<sst xmlns="http://schemas.openxmlformats.org/spreadsheetml/2006/main" count="120" uniqueCount="115">
  <si>
    <t xml:space="preserve">Начальный банк</t>
  </si>
  <si>
    <t xml:space="preserve">Ставок всего</t>
  </si>
  <si>
    <t xml:space="preserve">Средний EV при входе</t>
  </si>
  <si>
    <t xml:space="preserve">Текущий банк</t>
  </si>
  <si>
    <t xml:space="preserve">✅ Зашло</t>
  </si>
  <si>
    <t xml:space="preserve">Средний CLV</t>
  </si>
  <si>
    <t xml:space="preserve">P&amp;L</t>
  </si>
  <si>
    <t xml:space="preserve">❌ Не зашло</t>
  </si>
  <si>
    <t xml:space="preserve">Доля CLV &gt; 0</t>
  </si>
  <si>
    <t xml:space="preserve">Оборот (рассчитано)</t>
  </si>
  <si>
    <t xml:space="preserve">Возврат / отмена</t>
  </si>
  <si>
    <t xml:space="preserve">Brier (бинарные)</t>
  </si>
  <si>
    <t xml:space="preserve">Yield</t>
  </si>
  <si>
    <t xml:space="preserve">В игре</t>
  </si>
  <si>
    <t xml:space="preserve">Макс. просадка</t>
  </si>
  <si>
    <t xml:space="preserve">Доверять yield можно только при сотнях ставок; раньше смотрите на CLV и Brier. Строка 8 — пример, удалите её перед работой.</t>
  </si>
  <si>
    <t xml:space="preserve">ID матча</t>
  </si>
  <si>
    <t xml:space="preserve">Дата</t>
  </si>
  <si>
    <t xml:space="preserve">Время МСК</t>
  </si>
  <si>
    <t xml:space="preserve">Хозяева</t>
  </si>
  <si>
    <t xml:space="preserve">Гости</t>
  </si>
  <si>
    <t xml:space="preserve">Cutoff</t>
  </si>
  <si>
    <t xml:space="preserve">Версия</t>
  </si>
  <si>
    <t xml:space="preserve">Рынок</t>
  </si>
  <si>
    <t xml:space="preserve">Линия</t>
  </si>
  <si>
    <t xml:space="preserve">Выбор</t>
  </si>
  <si>
    <t xml:space="preserve">Решение</t>
  </si>
  <si>
    <t xml:space="preserve">p_win</t>
  </si>
  <si>
    <t xml:space="preserve">p_push</t>
  </si>
  <si>
    <t xml:space="preserve">p_loss</t>
  </si>
  <si>
    <t xml:space="preserve">Fair кэф</t>
  </si>
  <si>
    <t xml:space="preserve">Коэффициент</t>
  </si>
  <si>
    <t xml:space="preserve">Букмекер</t>
  </si>
  <si>
    <t xml:space="preserve">Время котировки</t>
  </si>
  <si>
    <t xml:space="preserve">q_market</t>
  </si>
  <si>
    <t xml:space="preserve">Преимущество</t>
  </si>
  <si>
    <t xml:space="preserve">EV</t>
  </si>
  <si>
    <t xml:space="preserve">EV_low</t>
  </si>
  <si>
    <t xml:space="preserve">Ставка</t>
  </si>
  <si>
    <t xml:space="preserve">Счёт 60м</t>
  </si>
  <si>
    <t xml:space="preserve">Счёт итог</t>
  </si>
  <si>
    <t xml:space="preserve">Результат</t>
  </si>
  <si>
    <t xml:space="preserve">Оборот</t>
  </si>
  <si>
    <t xml:space="preserve">Кэф закрытия</t>
  </si>
  <si>
    <t xml:space="preserve">CLV</t>
  </si>
  <si>
    <t xml:space="preserve">Brier</t>
  </si>
  <si>
    <t xml:space="preserve">λ хозяев</t>
  </si>
  <si>
    <t xml:space="preserve">λ гостей</t>
  </si>
  <si>
    <t xml:space="preserve">П1 60м</t>
  </si>
  <si>
    <t xml:space="preserve">Х 60м</t>
  </si>
  <si>
    <t xml:space="preserve">П2 60м</t>
  </si>
  <si>
    <t xml:space="preserve">Проверка П1+Х+П2</t>
  </si>
  <si>
    <t xml:space="preserve">Поб1 ОТ/Б</t>
  </si>
  <si>
    <t xml:space="preserve">Диапазон П1 (10–90%)</t>
  </si>
  <si>
    <t xml:space="preserve">Ограничения</t>
  </si>
  <si>
    <t xml:space="preserve">URL котировки / снимок</t>
  </si>
  <si>
    <t xml:space="preserve">Разбор после матча</t>
  </si>
  <si>
    <t xml:space="preserve">P&amp;L нарастающий</t>
  </si>
  <si>
    <t xml:space="preserve">Просадка</t>
  </si>
  <si>
    <t xml:space="preserve">ПРИМЕР-удалить</t>
  </si>
  <si>
    <t xml:space="preserve">02.10.2026</t>
  </si>
  <si>
    <t xml:space="preserve">19:30</t>
  </si>
  <si>
    <t xml:space="preserve">Команда А</t>
  </si>
  <si>
    <t xml:space="preserve">Команда Б</t>
  </si>
  <si>
    <t xml:space="preserve">02.10.2026 13:00 MSK</t>
  </si>
  <si>
    <t xml:space="preserve">v2.0</t>
  </si>
  <si>
    <t xml:space="preserve">1x2_60</t>
  </si>
  <si>
    <t xml:space="preserve">1</t>
  </si>
  <si>
    <t xml:space="preserve">ВИРТУАЛЬНЫЙ ВЫБОР</t>
  </si>
  <si>
    <t xml:space="preserve">БК</t>
  </si>
  <si>
    <t xml:space="preserve">02.10.2026 12:55</t>
  </si>
  <si>
    <t xml:space="preserve">3:1</t>
  </si>
  <si>
    <t xml:space="preserve">✅ ЗАШЛО</t>
  </si>
  <si>
    <t xml:space="preserve">0.47–0.55</t>
  </si>
  <si>
    <t xml:space="preserve">вратарь гостей — вероятно</t>
  </si>
  <si>
    <t xml:space="preserve">ссылка на страницу линии / файл bets_*.csv</t>
  </si>
  <si>
    <t xml:space="preserve">Параметр</t>
  </si>
  <si>
    <t xml:space="preserve">Значение</t>
  </si>
  <si>
    <t xml:space="preserve">Описание</t>
  </si>
  <si>
    <t xml:space="preserve">у.е.; один общий портфель (одна ставка на матч)</t>
  </si>
  <si>
    <t xml:space="preserve">Минимальный EV</t>
  </si>
  <si>
    <t xml:space="preserve">точечный EV после пула с рынком</t>
  </si>
  <si>
    <t xml:space="preserve">Минимальный EV_low</t>
  </si>
  <si>
    <t xml:space="preserve">консервативный EV (25-й перцентиль по неопределённости параметров)</t>
  </si>
  <si>
    <t xml:space="preserve">Макс. расхождение с рынком</t>
  </si>
  <si>
    <t xml:space="preserve">|p_model − q_market| больше — проверять данные, не ставить</t>
  </si>
  <si>
    <t xml:space="preserve">Макс. коэффициент</t>
  </si>
  <si>
    <t xml:space="preserve">длинные коэффициенты хуже откалиброваны</t>
  </si>
  <si>
    <t xml:space="preserve">Доля Келли</t>
  </si>
  <si>
    <t xml:space="preserve">дробный Келли</t>
  </si>
  <si>
    <t xml:space="preserve">Потолок ставки</t>
  </si>
  <si>
    <t xml:space="preserve">не больше 2% текущего банка</t>
  </si>
  <si>
    <t xml:space="preserve">Вес модели в пуле (w)</t>
  </si>
  <si>
    <t xml:space="preserve">подбирается walk-forward бэктестом: python khl_model.py backtest</t>
  </si>
  <si>
    <t xml:space="preserve">Период полураспада, дней</t>
  </si>
  <si>
    <t xml:space="preserve">подбирается: python khl_model.py tune</t>
  </si>
  <si>
    <t xml:space="preserve">Усадка команд (l2_team)</t>
  </si>
  <si>
    <t xml:space="preserve">Версия модели</t>
  </si>
  <si>
    <t xml:space="preserve">khl_model.py; при изменении — новая версия, старые строки не переписывать</t>
  </si>
  <si>
    <t xml:space="preserve">p_win от</t>
  </si>
  <si>
    <t xml:space="preserve">p_win до</t>
  </si>
  <si>
    <t xml:space="preserve">Ставок (бинарные, рассчитанные)</t>
  </si>
  <si>
    <t xml:space="preserve">Средняя p_win</t>
  </si>
  <si>
    <t xml:space="preserve">Факт: доля зашло</t>
  </si>
  <si>
    <t xml:space="preserve">Отклонение</t>
  </si>
  <si>
    <t xml:space="preserve">Хорошая калибровка: отклонения в пределах шума (при n&lt;30 в корзине не делайте выводов).</t>
  </si>
  <si>
    <t xml:space="preserve">Как заполнять</t>
  </si>
  <si>
    <t xml:space="preserve">Синий шрифт — ввод (из файлов predictions_*.csv и bets_*.csv, которые создаёт khl_model.py predict).</t>
  </si>
  <si>
    <t xml:space="preserve">Чёрный шрифт — формулы: Fair, Преимущество, EV, P&amp;L, Оборот, CLV, Brier, проверка П1+Х+П2, просадка. Не перезаписывать.</t>
  </si>
  <si>
    <t xml:space="preserve">Зелёный — ссылка на лист Настройки.</t>
  </si>
  <si>
    <t xml:space="preserve">Одна строка = один контракт. В портфель идёт максимум один ВИРТУАЛЬНЫЙ ВЫБОР на матч; остальное — НАБЛЮДЕНИЕ.</t>
  </si>
  <si>
    <t xml:space="preserve">Ставка = доля Келли × банк, не больше потолка из Настроек (берётся из колонки stake в bets_*.csv).</t>
  </si>
  <si>
    <t xml:space="preserve">Кэф закрытия вносите перед стартовым вбрасыванием — без него нет CLV.</t>
  </si>
  <si>
    <t xml:space="preserve">Результат выбирайте из списка; цвет ставится автоматически.</t>
  </si>
  <si>
    <t xml:space="preserve">Старые строки не переписывать: новая версия модели = новые строки с новой версией.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</si>
</sst>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0.0%"/>
    <numFmt numFmtId="168" formatCode="#,##0;\(#,##0\);\-"/>
    <numFmt numFmtId="169" formatCode="0%"/>
    <numFmt numFmtId="170" formatCode="0.000"/>
    <numFmt numFmtId="171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FFEB9C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9"/>
    <col collapsed="false" customWidth="true" hidden="false" outlineLevel="0" max="16" min="12" style="0" width="8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2" min="21" style="0" width="8"/>
    <col collapsed="false" customWidth="true" hidden="false" outlineLevel="0" max="23" min="23" style="0" width="9"/>
    <col collapsed="false" customWidth="true" hidden="false" outlineLevel="0" max="25" min="24" style="0" width="8"/>
    <col collapsed="false" customWidth="true" hidden="false" outlineLevel="0" max="26" min="26" style="0" width="15"/>
    <col collapsed="false" customWidth="true" hidden="false" outlineLevel="0" max="29" min="27" style="0" width="9"/>
    <col collapsed="false" customWidth="true" hidden="false" outlineLevel="0" max="36" min="30" style="0" width="8"/>
    <col collapsed="false" customWidth="true" hidden="false" outlineLevel="0" max="37" min="37" style="0" width="9"/>
    <col collapsed="false" customWidth="true" hidden="false" outlineLevel="0" max="38" min="38" style="0" width="8"/>
    <col collapsed="false" customWidth="true" hidden="false" outlineLevel="0" max="39" min="39" style="0" width="13"/>
    <col collapsed="false" customWidth="true" hidden="false" outlineLevel="0" max="40" min="40" style="0" width="30"/>
    <col collapsed="false" customWidth="true" hidden="false" outlineLevel="0" max="41" min="41" style="0" width="25"/>
    <col collapsed="false" customWidth="true" hidden="false" outlineLevel="0" max="42" min="42" style="0" width="30"/>
    <col collapsed="false" customWidth="true" hidden="false" outlineLevel="0" max="43" min="43" style="0" width="10"/>
    <col collapsed="false" customWidth="true" hidden="false" outlineLevel="0" max="44" min="44" style="0" width="9"/>
  </cols>
  <sheetData>
    <row r="1" customFormat="false" ht="15" hidden="false" customHeight="false" outlineLevel="0" collapsed="false">
      <c r="A1" s="1" t="s">
        <v>0</v>
      </c>
      <c r="B1" s="2" t="n">
        <f aca="false">Настройки!B2</f>
        <v>10000</v>
      </c>
      <c r="C1" s="3"/>
      <c r="D1" s="1" t="s">
        <v>1</v>
      </c>
      <c r="E1" s="4" t="n">
        <f aca="false">COUNTIFS($K$8:$K$1000,"ВИРТУАЛЬНЫЙ ВЫБОР")</f>
        <v>1</v>
      </c>
      <c r="F1" s="3"/>
      <c r="G1" s="1" t="s">
        <v>2</v>
      </c>
      <c r="H1" s="5" t="n">
        <f aca="false">IFERROR(AVERAGEIFS($U$8:$U$1000,$K$8:$K$1000,"ВИРТУАЛЬНЫЙ ВЫБОР"),"")</f>
        <v>0.06496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customFormat="false" ht="15" hidden="false" customHeight="false" outlineLevel="0" collapsed="false">
      <c r="A2" s="1" t="s">
        <v>3</v>
      </c>
      <c r="B2" s="6" t="n">
        <f aca="false">B1+SUM($AA$8:$AA$1000)</f>
        <v>10162</v>
      </c>
      <c r="C2" s="3"/>
      <c r="D2" s="1" t="s">
        <v>4</v>
      </c>
      <c r="E2" s="4" t="n">
        <f aca="false">COUNTIFS($K$8:$K$1000,"ВИРТУАЛЬНЫЙ ВЫБОР",$Z$8:$Z$1000,"✅ ЗАШЛО")+COUNTIFS($K$8:$K$1000,"ВИРТУАЛЬНЫЙ ВЫБОР",$Z$8:$Z$1000,"½ ЗАШЛО")</f>
        <v>1</v>
      </c>
      <c r="F2" s="3"/>
      <c r="G2" s="1" t="s">
        <v>5</v>
      </c>
      <c r="H2" s="5" t="n">
        <f aca="false">IFERROR(AVERAGEIFS($AD$8:$AD$1000,$K$8:$K$1000,"ВИРТУАЛЬНЫЙ ВЫБОР"),"")</f>
        <v>0.0505050505050506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customFormat="false" ht="15" hidden="false" customHeight="false" outlineLevel="0" collapsed="false">
      <c r="A3" s="1" t="s">
        <v>6</v>
      </c>
      <c r="B3" s="7" t="n">
        <f aca="false">SUM($AA$8:$AA$1000)</f>
        <v>162</v>
      </c>
      <c r="C3" s="3"/>
      <c r="D3" s="1" t="s">
        <v>7</v>
      </c>
      <c r="E3" s="4" t="n">
        <f aca="false">COUNTIFS($K$8:$K$1000,"ВИРТУАЛЬНЫЙ ВЫБОР",$Z$8:$Z$1000,"❌ НЕ ЗАШЛО")+COUNTIFS($K$8:$K$1000,"ВИРТУАЛЬНЫЙ ВЫБОР",$Z$8:$Z$1000,"½ НЕ ЗАШЛО")</f>
        <v>0</v>
      </c>
      <c r="F3" s="3"/>
      <c r="G3" s="1" t="s">
        <v>8</v>
      </c>
      <c r="H3" s="8" t="n">
        <f aca="false">IFERROR(COUNTIFS($K$8:$K$1000,"ВИРТУАЛЬНЫЙ ВЫБОР",$AD$8:$AD$1000,"&gt;0")/COUNTIFS($K$8:$K$1000,"ВИРТУАЛЬНЫЙ ВЫБОР",$AD$8:$AD$1000,"&lt;&gt;"),"")</f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customFormat="false" ht="15" hidden="false" customHeight="false" outlineLevel="0" collapsed="false">
      <c r="A4" s="1" t="s">
        <v>9</v>
      </c>
      <c r="B4" s="6" t="n">
        <f aca="false">SUM($AB$8:$AB$1000)</f>
        <v>150</v>
      </c>
      <c r="C4" s="3"/>
      <c r="D4" s="1" t="s">
        <v>10</v>
      </c>
      <c r="E4" s="4" t="n">
        <f aca="false">COUNTIFS($K$8:$K$1000,"ВИРТУАЛЬНЫЙ ВЫБОР",$Z$8:$Z$1000,"ВОЗВРАТ")+COUNTIFS($K$8:$K$1000,"ВИРТУАЛЬНЫЙ ВЫБОР",$Z$8:$Z$1000,"ОТМЕНА")</f>
        <v>0</v>
      </c>
      <c r="F4" s="3"/>
      <c r="G4" s="1" t="s">
        <v>11</v>
      </c>
      <c r="H4" s="9" t="n">
        <f aca="false">IFERROR(AVERAGE($AE$8:$AE$1000),"")</f>
        <v>0.238144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customFormat="false" ht="15" hidden="false" customHeight="false" outlineLevel="0" collapsed="false">
      <c r="A5" s="1" t="s">
        <v>12</v>
      </c>
      <c r="B5" s="5" t="n">
        <f aca="false">IF(B4=0,"",B3/B4)</f>
        <v>1.08</v>
      </c>
      <c r="C5" s="3"/>
      <c r="D5" s="1" t="s">
        <v>13</v>
      </c>
      <c r="E5" s="4" t="n">
        <f aca="false">COUNTIFS($K$8:$K$1000,"ВИРТУАЛЬНЫЙ ВЫБОР",$Z$8:$Z$1000,"ОЖИДАНИЕ")+COUNTIFS($K$8:$K$1000,"ВИРТУАЛЬНЫЙ ВЫБОР",$Z$8:$Z$1000,"")</f>
        <v>0</v>
      </c>
      <c r="F5" s="3"/>
      <c r="G5" s="1" t="s">
        <v>14</v>
      </c>
      <c r="H5" s="6" t="n">
        <f aca="false">MAX($AR$8:$AR$1000)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customFormat="false" ht="15" hidden="false" customHeight="false" outlineLevel="0" collapsed="false">
      <c r="A6" s="10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customFormat="false" ht="31.5" hidden="false" customHeight="true" outlineLevel="0" collapsed="false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1" t="s">
        <v>23</v>
      </c>
      <c r="I7" s="11" t="s">
        <v>24</v>
      </c>
      <c r="J7" s="11" t="s">
        <v>25</v>
      </c>
      <c r="K7" s="11" t="s">
        <v>26</v>
      </c>
      <c r="L7" s="11" t="s">
        <v>27</v>
      </c>
      <c r="M7" s="11" t="s">
        <v>28</v>
      </c>
      <c r="N7" s="11" t="s">
        <v>29</v>
      </c>
      <c r="O7" s="11" t="s">
        <v>30</v>
      </c>
      <c r="P7" s="11" t="s">
        <v>31</v>
      </c>
      <c r="Q7" s="11" t="s">
        <v>32</v>
      </c>
      <c r="R7" s="11" t="s">
        <v>33</v>
      </c>
      <c r="S7" s="11" t="s">
        <v>34</v>
      </c>
      <c r="T7" s="11" t="s">
        <v>35</v>
      </c>
      <c r="U7" s="11" t="s">
        <v>36</v>
      </c>
      <c r="V7" s="11" t="s">
        <v>37</v>
      </c>
      <c r="W7" s="11" t="s">
        <v>38</v>
      </c>
      <c r="X7" s="11" t="s">
        <v>39</v>
      </c>
      <c r="Y7" s="11" t="s">
        <v>40</v>
      </c>
      <c r="Z7" s="11" t="s">
        <v>41</v>
      </c>
      <c r="AA7" s="11" t="s">
        <v>6</v>
      </c>
      <c r="AB7" s="11" t="s">
        <v>42</v>
      </c>
      <c r="AC7" s="11" t="s">
        <v>43</v>
      </c>
      <c r="AD7" s="11" t="s">
        <v>44</v>
      </c>
      <c r="AE7" s="11" t="s">
        <v>45</v>
      </c>
      <c r="AF7" s="11" t="s">
        <v>46</v>
      </c>
      <c r="AG7" s="11" t="s">
        <v>47</v>
      </c>
      <c r="AH7" s="11" t="s">
        <v>48</v>
      </c>
      <c r="AI7" s="11" t="s">
        <v>49</v>
      </c>
      <c r="AJ7" s="11" t="s">
        <v>50</v>
      </c>
      <c r="AK7" s="11" t="s">
        <v>51</v>
      </c>
      <c r="AL7" s="11" t="s">
        <v>52</v>
      </c>
      <c r="AM7" s="11" t="s">
        <v>53</v>
      </c>
      <c r="AN7" s="11" t="s">
        <v>54</v>
      </c>
      <c r="AO7" s="11" t="s">
        <v>55</v>
      </c>
      <c r="AP7" s="11" t="s">
        <v>56</v>
      </c>
      <c r="AQ7" s="11" t="s">
        <v>57</v>
      </c>
      <c r="AR7" s="11" t="s">
        <v>58</v>
      </c>
    </row>
    <row r="8" customFormat="false" ht="15" hidden="false" customHeight="false" outlineLevel="0" collapsed="false">
      <c r="A8" s="12" t="s">
        <v>59</v>
      </c>
      <c r="B8" s="12" t="s">
        <v>60</v>
      </c>
      <c r="C8" s="12" t="s">
        <v>61</v>
      </c>
      <c r="D8" s="12" t="s">
        <v>62</v>
      </c>
      <c r="E8" s="12" t="s">
        <v>63</v>
      </c>
      <c r="F8" s="12" t="s">
        <v>64</v>
      </c>
      <c r="G8" s="12" t="s">
        <v>65</v>
      </c>
      <c r="H8" s="12" t="s">
        <v>66</v>
      </c>
      <c r="I8" s="12" t="n">
        <v>0</v>
      </c>
      <c r="J8" s="12" t="s">
        <v>67</v>
      </c>
      <c r="K8" s="12" t="s">
        <v>68</v>
      </c>
      <c r="L8" s="13" t="n">
        <v>0.512</v>
      </c>
      <c r="M8" s="13" t="n">
        <v>0</v>
      </c>
      <c r="N8" s="13" t="n">
        <v>0.488</v>
      </c>
      <c r="O8" s="14" t="n">
        <f aca="false">IF(OR(L8="",L8=0),"",(1-M8)/L8)</f>
        <v>1.953125</v>
      </c>
      <c r="P8" s="15" t="n">
        <v>2.08</v>
      </c>
      <c r="Q8" s="12" t="s">
        <v>69</v>
      </c>
      <c r="R8" s="12" t="s">
        <v>70</v>
      </c>
      <c r="S8" s="13" t="n">
        <v>0.468</v>
      </c>
      <c r="T8" s="16" t="n">
        <f aca="false">IF(OR(S8="",L8=""),"",L8/(1-M8)-S8)</f>
        <v>0.044</v>
      </c>
      <c r="U8" s="16" t="n">
        <f aca="false">IF(OR(L8="",P8=""),"",L8*(P8-1)-N8)</f>
        <v>0.06496</v>
      </c>
      <c r="V8" s="13" t="n">
        <v>0.021</v>
      </c>
      <c r="W8" s="17" t="n">
        <v>150</v>
      </c>
      <c r="X8" s="12" t="s">
        <v>71</v>
      </c>
      <c r="Y8" s="12" t="s">
        <v>71</v>
      </c>
      <c r="Z8" s="12" t="s">
        <v>72</v>
      </c>
      <c r="AA8" s="18" t="n">
        <f aca="false">IF(K8&lt;&gt;"ВИРТУАЛЬНЫЙ ВЫБОР","",IF(Z8="✅ ЗАШЛО",W8*(P8-1),IF(Z8="❌ НЕ ЗАШЛО",-W8,IF(Z8="½ ЗАШЛО",W8*(P8-1)/2,IF(Z8="½ НЕ ЗАШЛО",-W8/2,IF(Z8="ВОЗВРАТ",0,""))))))</f>
        <v>162</v>
      </c>
      <c r="AB8" s="18" t="n">
        <f aca="false">IF(AND(K8="ВИРТУАЛЬНЫЙ ВЫБОР",OR(Z8="✅ ЗАШЛО",Z8="❌ НЕ ЗАШЛО",Z8="½ ЗАШЛО",Z8="½ НЕ ЗАШЛО",Z8="ВОЗВРАТ")),W8,"")</f>
        <v>150</v>
      </c>
      <c r="AC8" s="15" t="n">
        <v>1.98</v>
      </c>
      <c r="AD8" s="16" t="n">
        <f aca="false">IF(OR(AC8="",P8=""),"",P8/AC8-1)</f>
        <v>0.0505050505050506</v>
      </c>
      <c r="AE8" s="19" t="n">
        <f aca="false">IF(AND(M8=0,OR(Z8="✅ ЗАШЛО",Z8="❌ НЕ ЗАШЛО"),L8&lt;&gt;""),(L8-IF(Z8="✅ ЗАШЛО",1,0))^2,"")</f>
        <v>0.238144</v>
      </c>
      <c r="AF8" s="15" t="n">
        <v>2.95</v>
      </c>
      <c r="AG8" s="15" t="n">
        <v>2.31</v>
      </c>
      <c r="AH8" s="13" t="n">
        <v>0.512</v>
      </c>
      <c r="AI8" s="13" t="n">
        <v>0.214</v>
      </c>
      <c r="AJ8" s="13" t="n">
        <v>0.274</v>
      </c>
      <c r="AK8" s="20" t="str">
        <f aca="false">IF(AH8="","",IF(ABS(AH8+AI8+AJ8-1)&lt;0.000001,"OK","ОШИБКА"))</f>
        <v>OK</v>
      </c>
      <c r="AL8" s="13" t="n">
        <v>0.622</v>
      </c>
      <c r="AM8" s="12" t="s">
        <v>73</v>
      </c>
      <c r="AN8" s="12" t="s">
        <v>74</v>
      </c>
      <c r="AO8" s="12" t="s">
        <v>75</v>
      </c>
      <c r="AP8" s="12"/>
      <c r="AQ8" s="18" t="n">
        <f aca="false">IF(A8="","",N(0)+N(AA8))</f>
        <v>162</v>
      </c>
      <c r="AR8" s="18" t="n">
        <f aca="false">IF(AQ8="","",MAX(0,MAX($AQ$8:AQ8))-AQ8)</f>
        <v>0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3"/>
      <c r="N9" s="13"/>
      <c r="O9" s="14" t="str">
        <f aca="false">IF(OR(L9="",L9=0),"",(1-M9)/L9)</f>
        <v/>
      </c>
      <c r="P9" s="15"/>
      <c r="Q9" s="12"/>
      <c r="R9" s="12"/>
      <c r="S9" s="13"/>
      <c r="T9" s="16" t="str">
        <f aca="false">IF(OR(S9="",L9=""),"",L9/(1-M9)-S9)</f>
        <v/>
      </c>
      <c r="U9" s="16" t="str">
        <f aca="false">IF(OR(L9="",P9=""),"",L9*(P9-1)-N9)</f>
        <v/>
      </c>
      <c r="V9" s="13"/>
      <c r="W9" s="17"/>
      <c r="X9" s="12"/>
      <c r="Y9" s="12"/>
      <c r="Z9" s="12"/>
      <c r="AA9" s="18" t="str">
        <f aca="false">IF(K9&lt;&gt;"ВИРТУАЛЬНЫЙ ВЫБОР","",IF(Z9="✅ ЗАШЛО",W9*(P9-1),IF(Z9="❌ НЕ ЗАШЛО",-W9,IF(Z9="½ ЗАШЛО",W9*(P9-1)/2,IF(Z9="½ НЕ ЗАШЛО",-W9/2,IF(Z9="ВОЗВРАТ",0,""))))))</f>
        <v/>
      </c>
      <c r="AB9" s="18" t="str">
        <f aca="false">IF(AND(K9="ВИРТУАЛЬНЫЙ ВЫБОР",OR(Z9="✅ ЗАШЛО",Z9="❌ НЕ ЗАШЛО",Z9="½ ЗАШЛО",Z9="½ НЕ ЗАШЛО",Z9="ВОЗВРАТ")),W9,"")</f>
        <v/>
      </c>
      <c r="AC9" s="15"/>
      <c r="AD9" s="16" t="str">
        <f aca="false">IF(OR(AC9="",P9=""),"",P9/AC9-1)</f>
        <v/>
      </c>
      <c r="AE9" s="19" t="str">
        <f aca="false">IF(AND(M9=0,OR(Z9="✅ ЗАШЛО",Z9="❌ НЕ ЗАШЛО"),L9&lt;&gt;""),(L9-IF(Z9="✅ ЗАШЛО",1,0))^2,"")</f>
        <v/>
      </c>
      <c r="AF9" s="15"/>
      <c r="AG9" s="15"/>
      <c r="AH9" s="13"/>
      <c r="AI9" s="13"/>
      <c r="AJ9" s="13"/>
      <c r="AK9" s="20" t="str">
        <f aca="false">IF(AH9="","",IF(ABS(AH9+AI9+AJ9-1)&lt;0.000001,"OK","ОШИБКА"))</f>
        <v/>
      </c>
      <c r="AL9" s="13"/>
      <c r="AM9" s="12"/>
      <c r="AN9" s="12"/>
      <c r="AO9" s="12"/>
      <c r="AP9" s="12"/>
      <c r="AQ9" s="18" t="str">
        <f aca="false">IF(A9="","",N(AQ8)+N(AA9))</f>
        <v/>
      </c>
      <c r="AR9" s="18" t="str">
        <f aca="false">IF(AQ9="","",MAX(0,MAX($AQ$8:AQ9))-AQ9)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3"/>
      <c r="O10" s="14" t="str">
        <f aca="false">IF(OR(L10="",L10=0),"",(1-M10)/L10)</f>
        <v/>
      </c>
      <c r="P10" s="15"/>
      <c r="Q10" s="12"/>
      <c r="R10" s="12"/>
      <c r="S10" s="13"/>
      <c r="T10" s="16" t="str">
        <f aca="false">IF(OR(S10="",L10=""),"",L10/(1-M10)-S10)</f>
        <v/>
      </c>
      <c r="U10" s="16" t="str">
        <f aca="false">IF(OR(L10="",P10=""),"",L10*(P10-1)-N10)</f>
        <v/>
      </c>
      <c r="V10" s="13"/>
      <c r="W10" s="17"/>
      <c r="X10" s="12"/>
      <c r="Y10" s="12"/>
      <c r="Z10" s="12"/>
      <c r="AA10" s="18" t="str">
        <f aca="false">IF(K10&lt;&gt;"ВИРТУАЛЬНЫЙ ВЫБОР","",IF(Z10="✅ ЗАШЛО",W10*(P10-1),IF(Z10="❌ НЕ ЗАШЛО",-W10,IF(Z10="½ ЗАШЛО",W10*(P10-1)/2,IF(Z10="½ НЕ ЗАШЛО",-W10/2,IF(Z10="ВОЗВРАТ",0,""))))))</f>
        <v/>
      </c>
      <c r="AB10" s="18" t="str">
        <f aca="false">IF(AND(K10="ВИРТУАЛЬНЫЙ ВЫБОР",OR(Z10="✅ ЗАШЛО",Z10="❌ НЕ ЗАШЛО",Z10="½ ЗАШЛО",Z10="½ НЕ ЗАШЛО",Z10="ВОЗВРАТ")),W10,"")</f>
        <v/>
      </c>
      <c r="AC10" s="15"/>
      <c r="AD10" s="16" t="str">
        <f aca="false">IF(OR(AC10="",P10=""),"",P10/AC10-1)</f>
        <v/>
      </c>
      <c r="AE10" s="19" t="str">
        <f aca="false">IF(AND(M10=0,OR(Z10="✅ ЗАШЛО",Z10="❌ НЕ ЗАШЛО"),L10&lt;&gt;""),(L10-IF(Z10="✅ ЗАШЛО",1,0))^2,"")</f>
        <v/>
      </c>
      <c r="AF10" s="15"/>
      <c r="AG10" s="15"/>
      <c r="AH10" s="13"/>
      <c r="AI10" s="13"/>
      <c r="AJ10" s="13"/>
      <c r="AK10" s="20" t="str">
        <f aca="false">IF(AH10="","",IF(ABS(AH10+AI10+AJ10-1)&lt;0.000001,"OK","ОШИБКА"))</f>
        <v/>
      </c>
      <c r="AL10" s="13"/>
      <c r="AM10" s="12"/>
      <c r="AN10" s="12"/>
      <c r="AO10" s="12"/>
      <c r="AP10" s="12"/>
      <c r="AQ10" s="18" t="str">
        <f aca="false">IF(A10="","",N(AQ9)+N(AA10))</f>
        <v/>
      </c>
      <c r="AR10" s="18" t="str">
        <f aca="false">IF(AQ10="","",MAX(0,MAX($AQ$8:AQ10))-AQ10)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3"/>
      <c r="N11" s="13"/>
      <c r="O11" s="14" t="str">
        <f aca="false">IF(OR(L11="",L11=0),"",(1-M11)/L11)</f>
        <v/>
      </c>
      <c r="P11" s="15"/>
      <c r="Q11" s="12"/>
      <c r="R11" s="12"/>
      <c r="S11" s="13"/>
      <c r="T11" s="16" t="str">
        <f aca="false">IF(OR(S11="",L11=""),"",L11/(1-M11)-S11)</f>
        <v/>
      </c>
      <c r="U11" s="16" t="str">
        <f aca="false">IF(OR(L11="",P11=""),"",L11*(P11-1)-N11)</f>
        <v/>
      </c>
      <c r="V11" s="13"/>
      <c r="W11" s="17"/>
      <c r="X11" s="12"/>
      <c r="Y11" s="12"/>
      <c r="Z11" s="12"/>
      <c r="AA11" s="18" t="str">
        <f aca="false">IF(K11&lt;&gt;"ВИРТУАЛЬНЫЙ ВЫБОР","",IF(Z11="✅ ЗАШЛО",W11*(P11-1),IF(Z11="❌ НЕ ЗАШЛО",-W11,IF(Z11="½ ЗАШЛО",W11*(P11-1)/2,IF(Z11="½ НЕ ЗАШЛО",-W11/2,IF(Z11="ВОЗВРАТ",0,""))))))</f>
        <v/>
      </c>
      <c r="AB11" s="18" t="str">
        <f aca="false">IF(AND(K11="ВИРТУАЛЬНЫЙ ВЫБОР",OR(Z11="✅ ЗАШЛО",Z11="❌ НЕ ЗАШЛО",Z11="½ ЗАШЛО",Z11="½ НЕ ЗАШЛО",Z11="ВОЗВРАТ")),W11,"")</f>
        <v/>
      </c>
      <c r="AC11" s="15"/>
      <c r="AD11" s="16" t="str">
        <f aca="false">IF(OR(AC11="",P11=""),"",P11/AC11-1)</f>
        <v/>
      </c>
      <c r="AE11" s="19" t="str">
        <f aca="false">IF(AND(M11=0,OR(Z11="✅ ЗАШЛО",Z11="❌ НЕ ЗАШЛО"),L11&lt;&gt;""),(L11-IF(Z11="✅ ЗАШЛО",1,0))^2,"")</f>
        <v/>
      </c>
      <c r="AF11" s="15"/>
      <c r="AG11" s="15"/>
      <c r="AH11" s="13"/>
      <c r="AI11" s="13"/>
      <c r="AJ11" s="13"/>
      <c r="AK11" s="20" t="str">
        <f aca="false">IF(AH11="","",IF(ABS(AH11+AI11+AJ11-1)&lt;0.000001,"OK","ОШИБКА"))</f>
        <v/>
      </c>
      <c r="AL11" s="13"/>
      <c r="AM11" s="12"/>
      <c r="AN11" s="12"/>
      <c r="AO11" s="12"/>
      <c r="AP11" s="12"/>
      <c r="AQ11" s="18" t="str">
        <f aca="false">IF(A11="","",N(AQ10)+N(AA11))</f>
        <v/>
      </c>
      <c r="AR11" s="18" t="str">
        <f aca="false">IF(AQ11="","",MAX(0,MAX($AQ$8:AQ11))-AQ11)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3"/>
      <c r="N12" s="13"/>
      <c r="O12" s="14" t="str">
        <f aca="false">IF(OR(L12="",L12=0),"",(1-M12)/L12)</f>
        <v/>
      </c>
      <c r="P12" s="15"/>
      <c r="Q12" s="12"/>
      <c r="R12" s="12"/>
      <c r="S12" s="13"/>
      <c r="T12" s="16" t="str">
        <f aca="false">IF(OR(S12="",L12=""),"",L12/(1-M12)-S12)</f>
        <v/>
      </c>
      <c r="U12" s="16" t="str">
        <f aca="false">IF(OR(L12="",P12=""),"",L12*(P12-1)-N12)</f>
        <v/>
      </c>
      <c r="V12" s="13"/>
      <c r="W12" s="17"/>
      <c r="X12" s="12"/>
      <c r="Y12" s="12"/>
      <c r="Z12" s="12"/>
      <c r="AA12" s="18" t="str">
        <f aca="false">IF(K12&lt;&gt;"ВИРТУАЛЬНЫЙ ВЫБОР","",IF(Z12="✅ ЗАШЛО",W12*(P12-1),IF(Z12="❌ НЕ ЗАШЛО",-W12,IF(Z12="½ ЗАШЛО",W12*(P12-1)/2,IF(Z12="½ НЕ ЗАШЛО",-W12/2,IF(Z12="ВОЗВРАТ",0,""))))))</f>
        <v/>
      </c>
      <c r="AB12" s="18" t="str">
        <f aca="false">IF(AND(K12="ВИРТУАЛЬНЫЙ ВЫБОР",OR(Z12="✅ ЗАШЛО",Z12="❌ НЕ ЗАШЛО",Z12="½ ЗАШЛО",Z12="½ НЕ ЗАШЛО",Z12="ВОЗВРАТ")),W12,"")</f>
        <v/>
      </c>
      <c r="AC12" s="15"/>
      <c r="AD12" s="16" t="str">
        <f aca="false">IF(OR(AC12="",P12=""),"",P12/AC12-1)</f>
        <v/>
      </c>
      <c r="AE12" s="19" t="str">
        <f aca="false">IF(AND(M12=0,OR(Z12="✅ ЗАШЛО",Z12="❌ НЕ ЗАШЛО"),L12&lt;&gt;""),(L12-IF(Z12="✅ ЗАШЛО",1,0))^2,"")</f>
        <v/>
      </c>
      <c r="AF12" s="15"/>
      <c r="AG12" s="15"/>
      <c r="AH12" s="13"/>
      <c r="AI12" s="13"/>
      <c r="AJ12" s="13"/>
      <c r="AK12" s="20" t="str">
        <f aca="false">IF(AH12="","",IF(ABS(AH12+AI12+AJ12-1)&lt;0.000001,"OK","ОШИБКА"))</f>
        <v/>
      </c>
      <c r="AL12" s="13"/>
      <c r="AM12" s="12"/>
      <c r="AN12" s="12"/>
      <c r="AO12" s="12"/>
      <c r="AP12" s="12"/>
      <c r="AQ12" s="18" t="str">
        <f aca="false">IF(A12="","",N(AQ11)+N(AA12))</f>
        <v/>
      </c>
      <c r="AR12" s="18" t="str">
        <f aca="false">IF(AQ12="","",MAX(0,MAX($AQ$8:AQ12))-AQ12)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4" t="str">
        <f aca="false">IF(OR(L13="",L13=0),"",(1-M13)/L13)</f>
        <v/>
      </c>
      <c r="P13" s="15"/>
      <c r="Q13" s="12"/>
      <c r="R13" s="12"/>
      <c r="S13" s="13"/>
      <c r="T13" s="16" t="str">
        <f aca="false">IF(OR(S13="",L13=""),"",L13/(1-M13)-S13)</f>
        <v/>
      </c>
      <c r="U13" s="16" t="str">
        <f aca="false">IF(OR(L13="",P13=""),"",L13*(P13-1)-N13)</f>
        <v/>
      </c>
      <c r="V13" s="13"/>
      <c r="W13" s="17"/>
      <c r="X13" s="12"/>
      <c r="Y13" s="12"/>
      <c r="Z13" s="12"/>
      <c r="AA13" s="18" t="str">
        <f aca="false">IF(K13&lt;&gt;"ВИРТУАЛЬНЫЙ ВЫБОР","",IF(Z13="✅ ЗАШЛО",W13*(P13-1),IF(Z13="❌ НЕ ЗАШЛО",-W13,IF(Z13="½ ЗАШЛО",W13*(P13-1)/2,IF(Z13="½ НЕ ЗАШЛО",-W13/2,IF(Z13="ВОЗВРАТ",0,""))))))</f>
        <v/>
      </c>
      <c r="AB13" s="18" t="str">
        <f aca="false">IF(AND(K13="ВИРТУАЛЬНЫЙ ВЫБОР",OR(Z13="✅ ЗАШЛО",Z13="❌ НЕ ЗАШЛО",Z13="½ ЗАШЛО",Z13="½ НЕ ЗАШЛО",Z13="ВОЗВРАТ")),W13,"")</f>
        <v/>
      </c>
      <c r="AC13" s="15"/>
      <c r="AD13" s="16" t="str">
        <f aca="false">IF(OR(AC13="",P13=""),"",P13/AC13-1)</f>
        <v/>
      </c>
      <c r="AE13" s="19" t="str">
        <f aca="false">IF(AND(M13=0,OR(Z13="✅ ЗАШЛО",Z13="❌ НЕ ЗАШЛО"),L13&lt;&gt;""),(L13-IF(Z13="✅ ЗАШЛО",1,0))^2,"")</f>
        <v/>
      </c>
      <c r="AF13" s="15"/>
      <c r="AG13" s="15"/>
      <c r="AH13" s="13"/>
      <c r="AI13" s="13"/>
      <c r="AJ13" s="13"/>
      <c r="AK13" s="20" t="str">
        <f aca="false">IF(AH13="","",IF(ABS(AH13+AI13+AJ13-1)&lt;0.000001,"OK","ОШИБКА"))</f>
        <v/>
      </c>
      <c r="AL13" s="13"/>
      <c r="AM13" s="12"/>
      <c r="AN13" s="12"/>
      <c r="AO13" s="12"/>
      <c r="AP13" s="12"/>
      <c r="AQ13" s="18" t="str">
        <f aca="false">IF(A13="","",N(AQ12)+N(AA13))</f>
        <v/>
      </c>
      <c r="AR13" s="18" t="str">
        <f aca="false">IF(AQ13="","",MAX(0,MAX($AQ$8:AQ13))-AQ13)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3"/>
      <c r="N14" s="13"/>
      <c r="O14" s="14" t="str">
        <f aca="false">IF(OR(L14="",L14=0),"",(1-M14)/L14)</f>
        <v/>
      </c>
      <c r="P14" s="15"/>
      <c r="Q14" s="12"/>
      <c r="R14" s="12"/>
      <c r="S14" s="13"/>
      <c r="T14" s="16" t="str">
        <f aca="false">IF(OR(S14="",L14=""),"",L14/(1-M14)-S14)</f>
        <v/>
      </c>
      <c r="U14" s="16" t="str">
        <f aca="false">IF(OR(L14="",P14=""),"",L14*(P14-1)-N14)</f>
        <v/>
      </c>
      <c r="V14" s="13"/>
      <c r="W14" s="17"/>
      <c r="X14" s="12"/>
      <c r="Y14" s="12"/>
      <c r="Z14" s="12"/>
      <c r="AA14" s="18" t="str">
        <f aca="false">IF(K14&lt;&gt;"ВИРТУАЛЬНЫЙ ВЫБОР","",IF(Z14="✅ ЗАШЛО",W14*(P14-1),IF(Z14="❌ НЕ ЗАШЛО",-W14,IF(Z14="½ ЗАШЛО",W14*(P14-1)/2,IF(Z14="½ НЕ ЗАШЛО",-W14/2,IF(Z14="ВОЗВРАТ",0,""))))))</f>
        <v/>
      </c>
      <c r="AB14" s="18" t="str">
        <f aca="false">IF(AND(K14="ВИРТУАЛЬНЫЙ ВЫБОР",OR(Z14="✅ ЗАШЛО",Z14="❌ НЕ ЗАШЛО",Z14="½ ЗАШЛО",Z14="½ НЕ ЗАШЛО",Z14="ВОЗВРАТ")),W14,"")</f>
        <v/>
      </c>
      <c r="AC14" s="15"/>
      <c r="AD14" s="16" t="str">
        <f aca="false">IF(OR(AC14="",P14=""),"",P14/AC14-1)</f>
        <v/>
      </c>
      <c r="AE14" s="19" t="str">
        <f aca="false">IF(AND(M14=0,OR(Z14="✅ ЗАШЛО",Z14="❌ НЕ ЗАШЛО"),L14&lt;&gt;""),(L14-IF(Z14="✅ ЗАШЛО",1,0))^2,"")</f>
        <v/>
      </c>
      <c r="AF14" s="15"/>
      <c r="AG14" s="15"/>
      <c r="AH14" s="13"/>
      <c r="AI14" s="13"/>
      <c r="AJ14" s="13"/>
      <c r="AK14" s="20" t="str">
        <f aca="false">IF(AH14="","",IF(ABS(AH14+AI14+AJ14-1)&lt;0.000001,"OK","ОШИБКА"))</f>
        <v/>
      </c>
      <c r="AL14" s="13"/>
      <c r="AM14" s="12"/>
      <c r="AN14" s="12"/>
      <c r="AO14" s="12"/>
      <c r="AP14" s="12"/>
      <c r="AQ14" s="18" t="str">
        <f aca="false">IF(A14="","",N(AQ13)+N(AA14))</f>
        <v/>
      </c>
      <c r="AR14" s="18" t="str">
        <f aca="false">IF(AQ14="","",MAX(0,MAX($AQ$8:AQ14))-AQ14)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3"/>
      <c r="N15" s="13"/>
      <c r="O15" s="14" t="str">
        <f aca="false">IF(OR(L15="",L15=0),"",(1-M15)/L15)</f>
        <v/>
      </c>
      <c r="P15" s="15"/>
      <c r="Q15" s="12"/>
      <c r="R15" s="12"/>
      <c r="S15" s="13"/>
      <c r="T15" s="16" t="str">
        <f aca="false">IF(OR(S15="",L15=""),"",L15/(1-M15)-S15)</f>
        <v/>
      </c>
      <c r="U15" s="16" t="str">
        <f aca="false">IF(OR(L15="",P15=""),"",L15*(P15-1)-N15)</f>
        <v/>
      </c>
      <c r="V15" s="13"/>
      <c r="W15" s="17"/>
      <c r="X15" s="12"/>
      <c r="Y15" s="12"/>
      <c r="Z15" s="12"/>
      <c r="AA15" s="18" t="str">
        <f aca="false">IF(K15&lt;&gt;"ВИРТУАЛЬНЫЙ ВЫБОР","",IF(Z15="✅ ЗАШЛО",W15*(P15-1),IF(Z15="❌ НЕ ЗАШЛО",-W15,IF(Z15="½ ЗАШЛО",W15*(P15-1)/2,IF(Z15="½ НЕ ЗАШЛО",-W15/2,IF(Z15="ВОЗВРАТ",0,""))))))</f>
        <v/>
      </c>
      <c r="AB15" s="18" t="str">
        <f aca="false">IF(AND(K15="ВИРТУАЛЬНЫЙ ВЫБОР",OR(Z15="✅ ЗАШЛО",Z15="❌ НЕ ЗАШЛО",Z15="½ ЗАШЛО",Z15="½ НЕ ЗАШЛО",Z15="ВОЗВРАТ")),W15,"")</f>
        <v/>
      </c>
      <c r="AC15" s="15"/>
      <c r="AD15" s="16" t="str">
        <f aca="false">IF(OR(AC15="",P15=""),"",P15/AC15-1)</f>
        <v/>
      </c>
      <c r="AE15" s="19" t="str">
        <f aca="false">IF(AND(M15=0,OR(Z15="✅ ЗАШЛО",Z15="❌ НЕ ЗАШЛО"),L15&lt;&gt;""),(L15-IF(Z15="✅ ЗАШЛО",1,0))^2,"")</f>
        <v/>
      </c>
      <c r="AF15" s="15"/>
      <c r="AG15" s="15"/>
      <c r="AH15" s="13"/>
      <c r="AI15" s="13"/>
      <c r="AJ15" s="13"/>
      <c r="AK15" s="20" t="str">
        <f aca="false">IF(AH15="","",IF(ABS(AH15+AI15+AJ15-1)&lt;0.000001,"OK","ОШИБКА"))</f>
        <v/>
      </c>
      <c r="AL15" s="13"/>
      <c r="AM15" s="12"/>
      <c r="AN15" s="12"/>
      <c r="AO15" s="12"/>
      <c r="AP15" s="12"/>
      <c r="AQ15" s="18" t="str">
        <f aca="false">IF(A15="","",N(AQ14)+N(AA15))</f>
        <v/>
      </c>
      <c r="AR15" s="18" t="str">
        <f aca="false">IF(AQ15="","",MAX(0,MAX($AQ$8:AQ15))-AQ15)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3"/>
      <c r="N16" s="13"/>
      <c r="O16" s="14" t="str">
        <f aca="false">IF(OR(L16="",L16=0),"",(1-M16)/L16)</f>
        <v/>
      </c>
      <c r="P16" s="15"/>
      <c r="Q16" s="12"/>
      <c r="R16" s="12"/>
      <c r="S16" s="13"/>
      <c r="T16" s="16" t="str">
        <f aca="false">IF(OR(S16="",L16=""),"",L16/(1-M16)-S16)</f>
        <v/>
      </c>
      <c r="U16" s="16" t="str">
        <f aca="false">IF(OR(L16="",P16=""),"",L16*(P16-1)-N16)</f>
        <v/>
      </c>
      <c r="V16" s="13"/>
      <c r="W16" s="17"/>
      <c r="X16" s="12"/>
      <c r="Y16" s="12"/>
      <c r="Z16" s="12"/>
      <c r="AA16" s="18" t="str">
        <f aca="false">IF(K16&lt;&gt;"ВИРТУАЛЬНЫЙ ВЫБОР","",IF(Z16="✅ ЗАШЛО",W16*(P16-1),IF(Z16="❌ НЕ ЗАШЛО",-W16,IF(Z16="½ ЗАШЛО",W16*(P16-1)/2,IF(Z16="½ НЕ ЗАШЛО",-W16/2,IF(Z16="ВОЗВРАТ",0,""))))))</f>
        <v/>
      </c>
      <c r="AB16" s="18" t="str">
        <f aca="false">IF(AND(K16="ВИРТУАЛЬНЫЙ ВЫБОР",OR(Z16="✅ ЗАШЛО",Z16="❌ НЕ ЗАШЛО",Z16="½ ЗАШЛО",Z16="½ НЕ ЗАШЛО",Z16="ВОЗВРАТ")),W16,"")</f>
        <v/>
      </c>
      <c r="AC16" s="15"/>
      <c r="AD16" s="16" t="str">
        <f aca="false">IF(OR(AC16="",P16=""),"",P16/AC16-1)</f>
        <v/>
      </c>
      <c r="AE16" s="19" t="str">
        <f aca="false">IF(AND(M16=0,OR(Z16="✅ ЗАШЛО",Z16="❌ НЕ ЗАШЛО"),L16&lt;&gt;""),(L16-IF(Z16="✅ ЗАШЛО",1,0))^2,"")</f>
        <v/>
      </c>
      <c r="AF16" s="15"/>
      <c r="AG16" s="15"/>
      <c r="AH16" s="13"/>
      <c r="AI16" s="13"/>
      <c r="AJ16" s="13"/>
      <c r="AK16" s="20" t="str">
        <f aca="false">IF(AH16="","",IF(ABS(AH16+AI16+AJ16-1)&lt;0.000001,"OK","ОШИБКА"))</f>
        <v/>
      </c>
      <c r="AL16" s="13"/>
      <c r="AM16" s="12"/>
      <c r="AN16" s="12"/>
      <c r="AO16" s="12"/>
      <c r="AP16" s="12"/>
      <c r="AQ16" s="18" t="str">
        <f aca="false">IF(A16="","",N(AQ15)+N(AA16))</f>
        <v/>
      </c>
      <c r="AR16" s="18" t="str">
        <f aca="false">IF(AQ16="","",MAX(0,MAX($AQ$8:AQ16))-AQ16)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3"/>
      <c r="N17" s="13"/>
      <c r="O17" s="14" t="str">
        <f aca="false">IF(OR(L17="",L17=0),"",(1-M17)/L17)</f>
        <v/>
      </c>
      <c r="P17" s="15"/>
      <c r="Q17" s="12"/>
      <c r="R17" s="12"/>
      <c r="S17" s="13"/>
      <c r="T17" s="16" t="str">
        <f aca="false">IF(OR(S17="",L17=""),"",L17/(1-M17)-S17)</f>
        <v/>
      </c>
      <c r="U17" s="16" t="str">
        <f aca="false">IF(OR(L17="",P17=""),"",L17*(P17-1)-N17)</f>
        <v/>
      </c>
      <c r="V17" s="13"/>
      <c r="W17" s="17"/>
      <c r="X17" s="12"/>
      <c r="Y17" s="12"/>
      <c r="Z17" s="12"/>
      <c r="AA17" s="18" t="str">
        <f aca="false">IF(K17&lt;&gt;"ВИРТУАЛЬНЫЙ ВЫБОР","",IF(Z17="✅ ЗАШЛО",W17*(P17-1),IF(Z17="❌ НЕ ЗАШЛО",-W17,IF(Z17="½ ЗАШЛО",W17*(P17-1)/2,IF(Z17="½ НЕ ЗАШЛО",-W17/2,IF(Z17="ВОЗВРАТ",0,""))))))</f>
        <v/>
      </c>
      <c r="AB17" s="18" t="str">
        <f aca="false">IF(AND(K17="ВИРТУАЛЬНЫЙ ВЫБОР",OR(Z17="✅ ЗАШЛО",Z17="❌ НЕ ЗАШЛО",Z17="½ ЗАШЛО",Z17="½ НЕ ЗАШЛО",Z17="ВОЗВРАТ")),W17,"")</f>
        <v/>
      </c>
      <c r="AC17" s="15"/>
      <c r="AD17" s="16" t="str">
        <f aca="false">IF(OR(AC17="",P17=""),"",P17/AC17-1)</f>
        <v/>
      </c>
      <c r="AE17" s="19" t="str">
        <f aca="false">IF(AND(M17=0,OR(Z17="✅ ЗАШЛО",Z17="❌ НЕ ЗАШЛО"),L17&lt;&gt;""),(L17-IF(Z17="✅ ЗАШЛО",1,0))^2,"")</f>
        <v/>
      </c>
      <c r="AF17" s="15"/>
      <c r="AG17" s="15"/>
      <c r="AH17" s="13"/>
      <c r="AI17" s="13"/>
      <c r="AJ17" s="13"/>
      <c r="AK17" s="20" t="str">
        <f aca="false">IF(AH17="","",IF(ABS(AH17+AI17+AJ17-1)&lt;0.000001,"OK","ОШИБКА"))</f>
        <v/>
      </c>
      <c r="AL17" s="13"/>
      <c r="AM17" s="12"/>
      <c r="AN17" s="12"/>
      <c r="AO17" s="12"/>
      <c r="AP17" s="12"/>
      <c r="AQ17" s="18" t="str">
        <f aca="false">IF(A17="","",N(AQ16)+N(AA17))</f>
        <v/>
      </c>
      <c r="AR17" s="18" t="str">
        <f aca="false">IF(AQ17="","",MAX(0,MAX($AQ$8:AQ17))-AQ17)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/>
      <c r="M18" s="13"/>
      <c r="N18" s="13"/>
      <c r="O18" s="14" t="str">
        <f aca="false">IF(OR(L18="",L18=0),"",(1-M18)/L18)</f>
        <v/>
      </c>
      <c r="P18" s="15"/>
      <c r="Q18" s="12"/>
      <c r="R18" s="12"/>
      <c r="S18" s="13"/>
      <c r="T18" s="16" t="str">
        <f aca="false">IF(OR(S18="",L18=""),"",L18/(1-M18)-S18)</f>
        <v/>
      </c>
      <c r="U18" s="16" t="str">
        <f aca="false">IF(OR(L18="",P18=""),"",L18*(P18-1)-N18)</f>
        <v/>
      </c>
      <c r="V18" s="13"/>
      <c r="W18" s="17"/>
      <c r="X18" s="12"/>
      <c r="Y18" s="12"/>
      <c r="Z18" s="12"/>
      <c r="AA18" s="18" t="str">
        <f aca="false">IF(K18&lt;&gt;"ВИРТУАЛЬНЫЙ ВЫБОР","",IF(Z18="✅ ЗАШЛО",W18*(P18-1),IF(Z18="❌ НЕ ЗАШЛО",-W18,IF(Z18="½ ЗАШЛО",W18*(P18-1)/2,IF(Z18="½ НЕ ЗАШЛО",-W18/2,IF(Z18="ВОЗВРАТ",0,""))))))</f>
        <v/>
      </c>
      <c r="AB18" s="18" t="str">
        <f aca="false">IF(AND(K18="ВИРТУАЛЬНЫЙ ВЫБОР",OR(Z18="✅ ЗАШЛО",Z18="❌ НЕ ЗАШЛО",Z18="½ ЗАШЛО",Z18="½ НЕ ЗАШЛО",Z18="ВОЗВРАТ")),W18,"")</f>
        <v/>
      </c>
      <c r="AC18" s="15"/>
      <c r="AD18" s="16" t="str">
        <f aca="false">IF(OR(AC18="",P18=""),"",P18/AC18-1)</f>
        <v/>
      </c>
      <c r="AE18" s="19" t="str">
        <f aca="false">IF(AND(M18=0,OR(Z18="✅ ЗАШЛО",Z18="❌ НЕ ЗАШЛО"),L18&lt;&gt;""),(L18-IF(Z18="✅ ЗАШЛО",1,0))^2,"")</f>
        <v/>
      </c>
      <c r="AF18" s="15"/>
      <c r="AG18" s="15"/>
      <c r="AH18" s="13"/>
      <c r="AI18" s="13"/>
      <c r="AJ18" s="13"/>
      <c r="AK18" s="20" t="str">
        <f aca="false">IF(AH18="","",IF(ABS(AH18+AI18+AJ18-1)&lt;0.000001,"OK","ОШИБКА"))</f>
        <v/>
      </c>
      <c r="AL18" s="13"/>
      <c r="AM18" s="12"/>
      <c r="AN18" s="12"/>
      <c r="AO18" s="12"/>
      <c r="AP18" s="12"/>
      <c r="AQ18" s="18" t="str">
        <f aca="false">IF(A18="","",N(AQ17)+N(AA18))</f>
        <v/>
      </c>
      <c r="AR18" s="18" t="str">
        <f aca="false">IF(AQ18="","",MAX(0,MAX($AQ$8:AQ18))-AQ18)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3"/>
      <c r="N19" s="13"/>
      <c r="O19" s="14" t="str">
        <f aca="false">IF(OR(L19="",L19=0),"",(1-M19)/L19)</f>
        <v/>
      </c>
      <c r="P19" s="15"/>
      <c r="Q19" s="12"/>
      <c r="R19" s="12"/>
      <c r="S19" s="13"/>
      <c r="T19" s="16" t="str">
        <f aca="false">IF(OR(S19="",L19=""),"",L19/(1-M19)-S19)</f>
        <v/>
      </c>
      <c r="U19" s="16" t="str">
        <f aca="false">IF(OR(L19="",P19=""),"",L19*(P19-1)-N19)</f>
        <v/>
      </c>
      <c r="V19" s="13"/>
      <c r="W19" s="17"/>
      <c r="X19" s="12"/>
      <c r="Y19" s="12"/>
      <c r="Z19" s="12"/>
      <c r="AA19" s="18" t="str">
        <f aca="false">IF(K19&lt;&gt;"ВИРТУАЛЬНЫЙ ВЫБОР","",IF(Z19="✅ ЗАШЛО",W19*(P19-1),IF(Z19="❌ НЕ ЗАШЛО",-W19,IF(Z19="½ ЗАШЛО",W19*(P19-1)/2,IF(Z19="½ НЕ ЗАШЛО",-W19/2,IF(Z19="ВОЗВРАТ",0,""))))))</f>
        <v/>
      </c>
      <c r="AB19" s="18" t="str">
        <f aca="false">IF(AND(K19="ВИРТУАЛЬНЫЙ ВЫБОР",OR(Z19="✅ ЗАШЛО",Z19="❌ НЕ ЗАШЛО",Z19="½ ЗАШЛО",Z19="½ НЕ ЗАШЛО",Z19="ВОЗВРАТ")),W19,"")</f>
        <v/>
      </c>
      <c r="AC19" s="15"/>
      <c r="AD19" s="16" t="str">
        <f aca="false">IF(OR(AC19="",P19=""),"",P19/AC19-1)</f>
        <v/>
      </c>
      <c r="AE19" s="19" t="str">
        <f aca="false">IF(AND(M19=0,OR(Z19="✅ ЗАШЛО",Z19="❌ НЕ ЗАШЛО"),L19&lt;&gt;""),(L19-IF(Z19="✅ ЗАШЛО",1,0))^2,"")</f>
        <v/>
      </c>
      <c r="AF19" s="15"/>
      <c r="AG19" s="15"/>
      <c r="AH19" s="13"/>
      <c r="AI19" s="13"/>
      <c r="AJ19" s="13"/>
      <c r="AK19" s="20" t="str">
        <f aca="false">IF(AH19="","",IF(ABS(AH19+AI19+AJ19-1)&lt;0.000001,"OK","ОШИБКА"))</f>
        <v/>
      </c>
      <c r="AL19" s="13"/>
      <c r="AM19" s="12"/>
      <c r="AN19" s="12"/>
      <c r="AO19" s="12"/>
      <c r="AP19" s="12"/>
      <c r="AQ19" s="18" t="str">
        <f aca="false">IF(A19="","",N(AQ18)+N(AA19))</f>
        <v/>
      </c>
      <c r="AR19" s="18" t="str">
        <f aca="false">IF(AQ19="","",MAX(0,MAX($AQ$8:AQ19))-AQ19)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"/>
      <c r="M20" s="13"/>
      <c r="N20" s="13"/>
      <c r="O20" s="14" t="str">
        <f aca="false">IF(OR(L20="",L20=0),"",(1-M20)/L20)</f>
        <v/>
      </c>
      <c r="P20" s="15"/>
      <c r="Q20" s="12"/>
      <c r="R20" s="12"/>
      <c r="S20" s="13"/>
      <c r="T20" s="16" t="str">
        <f aca="false">IF(OR(S20="",L20=""),"",L20/(1-M20)-S20)</f>
        <v/>
      </c>
      <c r="U20" s="16" t="str">
        <f aca="false">IF(OR(L20="",P20=""),"",L20*(P20-1)-N20)</f>
        <v/>
      </c>
      <c r="V20" s="13"/>
      <c r="W20" s="17"/>
      <c r="X20" s="12"/>
      <c r="Y20" s="12"/>
      <c r="Z20" s="12"/>
      <c r="AA20" s="18" t="str">
        <f aca="false">IF(K20&lt;&gt;"ВИРТУАЛЬНЫЙ ВЫБОР","",IF(Z20="✅ ЗАШЛО",W20*(P20-1),IF(Z20="❌ НЕ ЗАШЛО",-W20,IF(Z20="½ ЗАШЛО",W20*(P20-1)/2,IF(Z20="½ НЕ ЗАШЛО",-W20/2,IF(Z20="ВОЗВРАТ",0,""))))))</f>
        <v/>
      </c>
      <c r="AB20" s="18" t="str">
        <f aca="false">IF(AND(K20="ВИРТУАЛЬНЫЙ ВЫБОР",OR(Z20="✅ ЗАШЛО",Z20="❌ НЕ ЗАШЛО",Z20="½ ЗАШЛО",Z20="½ НЕ ЗАШЛО",Z20="ВОЗВРАТ")),W20,"")</f>
        <v/>
      </c>
      <c r="AC20" s="15"/>
      <c r="AD20" s="16" t="str">
        <f aca="false">IF(OR(AC20="",P20=""),"",P20/AC20-1)</f>
        <v/>
      </c>
      <c r="AE20" s="19" t="str">
        <f aca="false">IF(AND(M20=0,OR(Z20="✅ ЗАШЛО",Z20="❌ НЕ ЗАШЛО"),L20&lt;&gt;""),(L20-IF(Z20="✅ ЗАШЛО",1,0))^2,"")</f>
        <v/>
      </c>
      <c r="AF20" s="15"/>
      <c r="AG20" s="15"/>
      <c r="AH20" s="13"/>
      <c r="AI20" s="13"/>
      <c r="AJ20" s="13"/>
      <c r="AK20" s="20" t="str">
        <f aca="false">IF(AH20="","",IF(ABS(AH20+AI20+AJ20-1)&lt;0.000001,"OK","ОШИБКА"))</f>
        <v/>
      </c>
      <c r="AL20" s="13"/>
      <c r="AM20" s="12"/>
      <c r="AN20" s="12"/>
      <c r="AO20" s="12"/>
      <c r="AP20" s="12"/>
      <c r="AQ20" s="18" t="str">
        <f aca="false">IF(A20="","",N(AQ19)+N(AA20))</f>
        <v/>
      </c>
      <c r="AR20" s="18" t="str">
        <f aca="false">IF(AQ20="","",MAX(0,MAX($AQ$8:AQ20))-AQ20)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3"/>
      <c r="N21" s="13"/>
      <c r="O21" s="14" t="str">
        <f aca="false">IF(OR(L21="",L21=0),"",(1-M21)/L21)</f>
        <v/>
      </c>
      <c r="P21" s="15"/>
      <c r="Q21" s="12"/>
      <c r="R21" s="12"/>
      <c r="S21" s="13"/>
      <c r="T21" s="16" t="str">
        <f aca="false">IF(OR(S21="",L21=""),"",L21/(1-M21)-S21)</f>
        <v/>
      </c>
      <c r="U21" s="16" t="str">
        <f aca="false">IF(OR(L21="",P21=""),"",L21*(P21-1)-N21)</f>
        <v/>
      </c>
      <c r="V21" s="13"/>
      <c r="W21" s="17"/>
      <c r="X21" s="12"/>
      <c r="Y21" s="12"/>
      <c r="Z21" s="12"/>
      <c r="AA21" s="18" t="str">
        <f aca="false">IF(K21&lt;&gt;"ВИРТУАЛЬНЫЙ ВЫБОР","",IF(Z21="✅ ЗАШЛО",W21*(P21-1),IF(Z21="❌ НЕ ЗАШЛО",-W21,IF(Z21="½ ЗАШЛО",W21*(P21-1)/2,IF(Z21="½ НЕ ЗАШЛО",-W21/2,IF(Z21="ВОЗВРАТ",0,""))))))</f>
        <v/>
      </c>
      <c r="AB21" s="18" t="str">
        <f aca="false">IF(AND(K21="ВИРТУАЛЬНЫЙ ВЫБОР",OR(Z21="✅ ЗАШЛО",Z21="❌ НЕ ЗАШЛО",Z21="½ ЗАШЛО",Z21="½ НЕ ЗАШЛО",Z21="ВОЗВРАТ")),W21,"")</f>
        <v/>
      </c>
      <c r="AC21" s="15"/>
      <c r="AD21" s="16" t="str">
        <f aca="false">IF(OR(AC21="",P21=""),"",P21/AC21-1)</f>
        <v/>
      </c>
      <c r="AE21" s="19" t="str">
        <f aca="false">IF(AND(M21=0,OR(Z21="✅ ЗАШЛО",Z21="❌ НЕ ЗАШЛО"),L21&lt;&gt;""),(L21-IF(Z21="✅ ЗАШЛО",1,0))^2,"")</f>
        <v/>
      </c>
      <c r="AF21" s="15"/>
      <c r="AG21" s="15"/>
      <c r="AH21" s="13"/>
      <c r="AI21" s="13"/>
      <c r="AJ21" s="13"/>
      <c r="AK21" s="20" t="str">
        <f aca="false">IF(AH21="","",IF(ABS(AH21+AI21+AJ21-1)&lt;0.000001,"OK","ОШИБКА"))</f>
        <v/>
      </c>
      <c r="AL21" s="13"/>
      <c r="AM21" s="12"/>
      <c r="AN21" s="12"/>
      <c r="AO21" s="12"/>
      <c r="AP21" s="12"/>
      <c r="AQ21" s="18" t="str">
        <f aca="false">IF(A21="","",N(AQ20)+N(AA21))</f>
        <v/>
      </c>
      <c r="AR21" s="18" t="str">
        <f aca="false">IF(AQ21="","",MAX(0,MAX($AQ$8:AQ21))-AQ21)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13"/>
      <c r="N22" s="13"/>
      <c r="O22" s="14" t="str">
        <f aca="false">IF(OR(L22="",L22=0),"",(1-M22)/L22)</f>
        <v/>
      </c>
      <c r="P22" s="15"/>
      <c r="Q22" s="12"/>
      <c r="R22" s="12"/>
      <c r="S22" s="13"/>
      <c r="T22" s="16" t="str">
        <f aca="false">IF(OR(S22="",L22=""),"",L22/(1-M22)-S22)</f>
        <v/>
      </c>
      <c r="U22" s="16" t="str">
        <f aca="false">IF(OR(L22="",P22=""),"",L22*(P22-1)-N22)</f>
        <v/>
      </c>
      <c r="V22" s="13"/>
      <c r="W22" s="17"/>
      <c r="X22" s="12"/>
      <c r="Y22" s="12"/>
      <c r="Z22" s="12"/>
      <c r="AA22" s="18" t="str">
        <f aca="false">IF(K22&lt;&gt;"ВИРТУАЛЬНЫЙ ВЫБОР","",IF(Z22="✅ ЗАШЛО",W22*(P22-1),IF(Z22="❌ НЕ ЗАШЛО",-W22,IF(Z22="½ ЗАШЛО",W22*(P22-1)/2,IF(Z22="½ НЕ ЗАШЛО",-W22/2,IF(Z22="ВОЗВРАТ",0,""))))))</f>
        <v/>
      </c>
      <c r="AB22" s="18" t="str">
        <f aca="false">IF(AND(K22="ВИРТУАЛЬНЫЙ ВЫБОР",OR(Z22="✅ ЗАШЛО",Z22="❌ НЕ ЗАШЛО",Z22="½ ЗАШЛО",Z22="½ НЕ ЗАШЛО",Z22="ВОЗВРАТ")),W22,"")</f>
        <v/>
      </c>
      <c r="AC22" s="15"/>
      <c r="AD22" s="16" t="str">
        <f aca="false">IF(OR(AC22="",P22=""),"",P22/AC22-1)</f>
        <v/>
      </c>
      <c r="AE22" s="19" t="str">
        <f aca="false">IF(AND(M22=0,OR(Z22="✅ ЗАШЛО",Z22="❌ НЕ ЗАШЛО"),L22&lt;&gt;""),(L22-IF(Z22="✅ ЗАШЛО",1,0))^2,"")</f>
        <v/>
      </c>
      <c r="AF22" s="15"/>
      <c r="AG22" s="15"/>
      <c r="AH22" s="13"/>
      <c r="AI22" s="13"/>
      <c r="AJ22" s="13"/>
      <c r="AK22" s="20" t="str">
        <f aca="false">IF(AH22="","",IF(ABS(AH22+AI22+AJ22-1)&lt;0.000001,"OK","ОШИБКА"))</f>
        <v/>
      </c>
      <c r="AL22" s="13"/>
      <c r="AM22" s="12"/>
      <c r="AN22" s="12"/>
      <c r="AO22" s="12"/>
      <c r="AP22" s="12"/>
      <c r="AQ22" s="18" t="str">
        <f aca="false">IF(A22="","",N(AQ21)+N(AA22))</f>
        <v/>
      </c>
      <c r="AR22" s="18" t="str">
        <f aca="false">IF(AQ22="","",MAX(0,MAX($AQ$8:AQ22))-AQ22)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3"/>
      <c r="N23" s="13"/>
      <c r="O23" s="14" t="str">
        <f aca="false">IF(OR(L23="",L23=0),"",(1-M23)/L23)</f>
        <v/>
      </c>
      <c r="P23" s="15"/>
      <c r="Q23" s="12"/>
      <c r="R23" s="12"/>
      <c r="S23" s="13"/>
      <c r="T23" s="16" t="str">
        <f aca="false">IF(OR(S23="",L23=""),"",L23/(1-M23)-S23)</f>
        <v/>
      </c>
      <c r="U23" s="16" t="str">
        <f aca="false">IF(OR(L23="",P23=""),"",L23*(P23-1)-N23)</f>
        <v/>
      </c>
      <c r="V23" s="13"/>
      <c r="W23" s="17"/>
      <c r="X23" s="12"/>
      <c r="Y23" s="12"/>
      <c r="Z23" s="12"/>
      <c r="AA23" s="18" t="str">
        <f aca="false">IF(K23&lt;&gt;"ВИРТУАЛЬНЫЙ ВЫБОР","",IF(Z23="✅ ЗАШЛО",W23*(P23-1),IF(Z23="❌ НЕ ЗАШЛО",-W23,IF(Z23="½ ЗАШЛО",W23*(P23-1)/2,IF(Z23="½ НЕ ЗАШЛО",-W23/2,IF(Z23="ВОЗВРАТ",0,""))))))</f>
        <v/>
      </c>
      <c r="AB23" s="18" t="str">
        <f aca="false">IF(AND(K23="ВИРТУАЛЬНЫЙ ВЫБОР",OR(Z23="✅ ЗАШЛО",Z23="❌ НЕ ЗАШЛО",Z23="½ ЗАШЛО",Z23="½ НЕ ЗАШЛО",Z23="ВОЗВРАТ")),W23,"")</f>
        <v/>
      </c>
      <c r="AC23" s="15"/>
      <c r="AD23" s="16" t="str">
        <f aca="false">IF(OR(AC23="",P23=""),"",P23/AC23-1)</f>
        <v/>
      </c>
      <c r="AE23" s="19" t="str">
        <f aca="false">IF(AND(M23=0,OR(Z23="✅ ЗАШЛО",Z23="❌ НЕ ЗАШЛО"),L23&lt;&gt;""),(L23-IF(Z23="✅ ЗАШЛО",1,0))^2,"")</f>
        <v/>
      </c>
      <c r="AF23" s="15"/>
      <c r="AG23" s="15"/>
      <c r="AH23" s="13"/>
      <c r="AI23" s="13"/>
      <c r="AJ23" s="13"/>
      <c r="AK23" s="20" t="str">
        <f aca="false">IF(AH23="","",IF(ABS(AH23+AI23+AJ23-1)&lt;0.000001,"OK","ОШИБКА"))</f>
        <v/>
      </c>
      <c r="AL23" s="13"/>
      <c r="AM23" s="12"/>
      <c r="AN23" s="12"/>
      <c r="AO23" s="12"/>
      <c r="AP23" s="12"/>
      <c r="AQ23" s="18" t="str">
        <f aca="false">IF(A23="","",N(AQ22)+N(AA23))</f>
        <v/>
      </c>
      <c r="AR23" s="18" t="str">
        <f aca="false">IF(AQ23="","",MAX(0,MAX($AQ$8:AQ23))-AQ23)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/>
      <c r="M24" s="13"/>
      <c r="N24" s="13"/>
      <c r="O24" s="14" t="str">
        <f aca="false">IF(OR(L24="",L24=0),"",(1-M24)/L24)</f>
        <v/>
      </c>
      <c r="P24" s="15"/>
      <c r="Q24" s="12"/>
      <c r="R24" s="12"/>
      <c r="S24" s="13"/>
      <c r="T24" s="16" t="str">
        <f aca="false">IF(OR(S24="",L24=""),"",L24/(1-M24)-S24)</f>
        <v/>
      </c>
      <c r="U24" s="16" t="str">
        <f aca="false">IF(OR(L24="",P24=""),"",L24*(P24-1)-N24)</f>
        <v/>
      </c>
      <c r="V24" s="13"/>
      <c r="W24" s="17"/>
      <c r="X24" s="12"/>
      <c r="Y24" s="12"/>
      <c r="Z24" s="12"/>
      <c r="AA24" s="18" t="str">
        <f aca="false">IF(K24&lt;&gt;"ВИРТУАЛЬНЫЙ ВЫБОР","",IF(Z24="✅ ЗАШЛО",W24*(P24-1),IF(Z24="❌ НЕ ЗАШЛО",-W24,IF(Z24="½ ЗАШЛО",W24*(P24-1)/2,IF(Z24="½ НЕ ЗАШЛО",-W24/2,IF(Z24="ВОЗВРАТ",0,""))))))</f>
        <v/>
      </c>
      <c r="AB24" s="18" t="str">
        <f aca="false">IF(AND(K24="ВИРТУАЛЬНЫЙ ВЫБОР",OR(Z24="✅ ЗАШЛО",Z24="❌ НЕ ЗАШЛО",Z24="½ ЗАШЛО",Z24="½ НЕ ЗАШЛО",Z24="ВОЗВРАТ")),W24,"")</f>
        <v/>
      </c>
      <c r="AC24" s="15"/>
      <c r="AD24" s="16" t="str">
        <f aca="false">IF(OR(AC24="",P24=""),"",P24/AC24-1)</f>
        <v/>
      </c>
      <c r="AE24" s="19" t="str">
        <f aca="false">IF(AND(M24=0,OR(Z24="✅ ЗАШЛО",Z24="❌ НЕ ЗАШЛО"),L24&lt;&gt;""),(L24-IF(Z24="✅ ЗАШЛО",1,0))^2,"")</f>
        <v/>
      </c>
      <c r="AF24" s="15"/>
      <c r="AG24" s="15"/>
      <c r="AH24" s="13"/>
      <c r="AI24" s="13"/>
      <c r="AJ24" s="13"/>
      <c r="AK24" s="20" t="str">
        <f aca="false">IF(AH24="","",IF(ABS(AH24+AI24+AJ24-1)&lt;0.000001,"OK","ОШИБКА"))</f>
        <v/>
      </c>
      <c r="AL24" s="13"/>
      <c r="AM24" s="12"/>
      <c r="AN24" s="12"/>
      <c r="AO24" s="12"/>
      <c r="AP24" s="12"/>
      <c r="AQ24" s="18" t="str">
        <f aca="false">IF(A24="","",N(AQ23)+N(AA24))</f>
        <v/>
      </c>
      <c r="AR24" s="18" t="str">
        <f aca="false">IF(AQ24="","",MAX(0,MAX($AQ$8:AQ24))-AQ24)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3"/>
      <c r="N25" s="13"/>
      <c r="O25" s="14" t="str">
        <f aca="false">IF(OR(L25="",L25=0),"",(1-M25)/L25)</f>
        <v/>
      </c>
      <c r="P25" s="15"/>
      <c r="Q25" s="12"/>
      <c r="R25" s="12"/>
      <c r="S25" s="13"/>
      <c r="T25" s="16" t="str">
        <f aca="false">IF(OR(S25="",L25=""),"",L25/(1-M25)-S25)</f>
        <v/>
      </c>
      <c r="U25" s="16" t="str">
        <f aca="false">IF(OR(L25="",P25=""),"",L25*(P25-1)-N25)</f>
        <v/>
      </c>
      <c r="V25" s="13"/>
      <c r="W25" s="17"/>
      <c r="X25" s="12"/>
      <c r="Y25" s="12"/>
      <c r="Z25" s="12"/>
      <c r="AA25" s="18" t="str">
        <f aca="false">IF(K25&lt;&gt;"ВИРТУАЛЬНЫЙ ВЫБОР","",IF(Z25="✅ ЗАШЛО",W25*(P25-1),IF(Z25="❌ НЕ ЗАШЛО",-W25,IF(Z25="½ ЗАШЛО",W25*(P25-1)/2,IF(Z25="½ НЕ ЗАШЛО",-W25/2,IF(Z25="ВОЗВРАТ",0,""))))))</f>
        <v/>
      </c>
      <c r="AB25" s="18" t="str">
        <f aca="false">IF(AND(K25="ВИРТУАЛЬНЫЙ ВЫБОР",OR(Z25="✅ ЗАШЛО",Z25="❌ НЕ ЗАШЛО",Z25="½ ЗАШЛО",Z25="½ НЕ ЗАШЛО",Z25="ВОЗВРАТ")),W25,"")</f>
        <v/>
      </c>
      <c r="AC25" s="15"/>
      <c r="AD25" s="16" t="str">
        <f aca="false">IF(OR(AC25="",P25=""),"",P25/AC25-1)</f>
        <v/>
      </c>
      <c r="AE25" s="19" t="str">
        <f aca="false">IF(AND(M25=0,OR(Z25="✅ ЗАШЛО",Z25="❌ НЕ ЗАШЛО"),L25&lt;&gt;""),(L25-IF(Z25="✅ ЗАШЛО",1,0))^2,"")</f>
        <v/>
      </c>
      <c r="AF25" s="15"/>
      <c r="AG25" s="15"/>
      <c r="AH25" s="13"/>
      <c r="AI25" s="13"/>
      <c r="AJ25" s="13"/>
      <c r="AK25" s="20" t="str">
        <f aca="false">IF(AH25="","",IF(ABS(AH25+AI25+AJ25-1)&lt;0.000001,"OK","ОШИБКА"))</f>
        <v/>
      </c>
      <c r="AL25" s="13"/>
      <c r="AM25" s="12"/>
      <c r="AN25" s="12"/>
      <c r="AO25" s="12"/>
      <c r="AP25" s="12"/>
      <c r="AQ25" s="18" t="str">
        <f aca="false">IF(A25="","",N(AQ24)+N(AA25))</f>
        <v/>
      </c>
      <c r="AR25" s="18" t="str">
        <f aca="false">IF(AQ25="","",MAX(0,MAX($AQ$8:AQ25))-AQ25)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3"/>
      <c r="N26" s="13"/>
      <c r="O26" s="14" t="str">
        <f aca="false">IF(OR(L26="",L26=0),"",(1-M26)/L26)</f>
        <v/>
      </c>
      <c r="P26" s="15"/>
      <c r="Q26" s="12"/>
      <c r="R26" s="12"/>
      <c r="S26" s="13"/>
      <c r="T26" s="16" t="str">
        <f aca="false">IF(OR(S26="",L26=""),"",L26/(1-M26)-S26)</f>
        <v/>
      </c>
      <c r="U26" s="16" t="str">
        <f aca="false">IF(OR(L26="",P26=""),"",L26*(P26-1)-N26)</f>
        <v/>
      </c>
      <c r="V26" s="13"/>
      <c r="W26" s="17"/>
      <c r="X26" s="12"/>
      <c r="Y26" s="12"/>
      <c r="Z26" s="12"/>
      <c r="AA26" s="18" t="str">
        <f aca="false">IF(K26&lt;&gt;"ВИРТУАЛЬНЫЙ ВЫБОР","",IF(Z26="✅ ЗАШЛО",W26*(P26-1),IF(Z26="❌ НЕ ЗАШЛО",-W26,IF(Z26="½ ЗАШЛО",W26*(P26-1)/2,IF(Z26="½ НЕ ЗАШЛО",-W26/2,IF(Z26="ВОЗВРАТ",0,""))))))</f>
        <v/>
      </c>
      <c r="AB26" s="18" t="str">
        <f aca="false">IF(AND(K26="ВИРТУАЛЬНЫЙ ВЫБОР",OR(Z26="✅ ЗАШЛО",Z26="❌ НЕ ЗАШЛО",Z26="½ ЗАШЛО",Z26="½ НЕ ЗАШЛО",Z26="ВОЗВРАТ")),W26,"")</f>
        <v/>
      </c>
      <c r="AC26" s="15"/>
      <c r="AD26" s="16" t="str">
        <f aca="false">IF(OR(AC26="",P26=""),"",P26/AC26-1)</f>
        <v/>
      </c>
      <c r="AE26" s="19" t="str">
        <f aca="false">IF(AND(M26=0,OR(Z26="✅ ЗАШЛО",Z26="❌ НЕ ЗАШЛО"),L26&lt;&gt;""),(L26-IF(Z26="✅ ЗАШЛО",1,0))^2,"")</f>
        <v/>
      </c>
      <c r="AF26" s="15"/>
      <c r="AG26" s="15"/>
      <c r="AH26" s="13"/>
      <c r="AI26" s="13"/>
      <c r="AJ26" s="13"/>
      <c r="AK26" s="20" t="str">
        <f aca="false">IF(AH26="","",IF(ABS(AH26+AI26+AJ26-1)&lt;0.000001,"OK","ОШИБКА"))</f>
        <v/>
      </c>
      <c r="AL26" s="13"/>
      <c r="AM26" s="12"/>
      <c r="AN26" s="12"/>
      <c r="AO26" s="12"/>
      <c r="AP26" s="12"/>
      <c r="AQ26" s="18" t="str">
        <f aca="false">IF(A26="","",N(AQ25)+N(AA26))</f>
        <v/>
      </c>
      <c r="AR26" s="18" t="str">
        <f aca="false">IF(AQ26="","",MAX(0,MAX($AQ$8:AQ26))-AQ26)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3"/>
      <c r="N27" s="13"/>
      <c r="O27" s="14" t="str">
        <f aca="false">IF(OR(L27="",L27=0),"",(1-M27)/L27)</f>
        <v/>
      </c>
      <c r="P27" s="15"/>
      <c r="Q27" s="12"/>
      <c r="R27" s="12"/>
      <c r="S27" s="13"/>
      <c r="T27" s="16" t="str">
        <f aca="false">IF(OR(S27="",L27=""),"",L27/(1-M27)-S27)</f>
        <v/>
      </c>
      <c r="U27" s="16" t="str">
        <f aca="false">IF(OR(L27="",P27=""),"",L27*(P27-1)-N27)</f>
        <v/>
      </c>
      <c r="V27" s="13"/>
      <c r="W27" s="17"/>
      <c r="X27" s="12"/>
      <c r="Y27" s="12"/>
      <c r="Z27" s="12"/>
      <c r="AA27" s="18" t="str">
        <f aca="false">IF(K27&lt;&gt;"ВИРТУАЛЬНЫЙ ВЫБОР","",IF(Z27="✅ ЗАШЛО",W27*(P27-1),IF(Z27="❌ НЕ ЗАШЛО",-W27,IF(Z27="½ ЗАШЛО",W27*(P27-1)/2,IF(Z27="½ НЕ ЗАШЛО",-W27/2,IF(Z27="ВОЗВРАТ",0,""))))))</f>
        <v/>
      </c>
      <c r="AB27" s="18" t="str">
        <f aca="false">IF(AND(K27="ВИРТУАЛЬНЫЙ ВЫБОР",OR(Z27="✅ ЗАШЛО",Z27="❌ НЕ ЗАШЛО",Z27="½ ЗАШЛО",Z27="½ НЕ ЗАШЛО",Z27="ВОЗВРАТ")),W27,"")</f>
        <v/>
      </c>
      <c r="AC27" s="15"/>
      <c r="AD27" s="16" t="str">
        <f aca="false">IF(OR(AC27="",P27=""),"",P27/AC27-1)</f>
        <v/>
      </c>
      <c r="AE27" s="19" t="str">
        <f aca="false">IF(AND(M27=0,OR(Z27="✅ ЗАШЛО",Z27="❌ НЕ ЗАШЛО"),L27&lt;&gt;""),(L27-IF(Z27="✅ ЗАШЛО",1,0))^2,"")</f>
        <v/>
      </c>
      <c r="AF27" s="15"/>
      <c r="AG27" s="15"/>
      <c r="AH27" s="13"/>
      <c r="AI27" s="13"/>
      <c r="AJ27" s="13"/>
      <c r="AK27" s="20" t="str">
        <f aca="false">IF(AH27="","",IF(ABS(AH27+AI27+AJ27-1)&lt;0.000001,"OK","ОШИБКА"))</f>
        <v/>
      </c>
      <c r="AL27" s="13"/>
      <c r="AM27" s="12"/>
      <c r="AN27" s="12"/>
      <c r="AO27" s="12"/>
      <c r="AP27" s="12"/>
      <c r="AQ27" s="18" t="str">
        <f aca="false">IF(A27="","",N(AQ26)+N(AA27))</f>
        <v/>
      </c>
      <c r="AR27" s="18" t="str">
        <f aca="false">IF(AQ27="","",MAX(0,MAX($AQ$8:AQ27))-AQ27)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3"/>
      <c r="N28" s="13"/>
      <c r="O28" s="14" t="str">
        <f aca="false">IF(OR(L28="",L28=0),"",(1-M28)/L28)</f>
        <v/>
      </c>
      <c r="P28" s="15"/>
      <c r="Q28" s="12"/>
      <c r="R28" s="12"/>
      <c r="S28" s="13"/>
      <c r="T28" s="16" t="str">
        <f aca="false">IF(OR(S28="",L28=""),"",L28/(1-M28)-S28)</f>
        <v/>
      </c>
      <c r="U28" s="16" t="str">
        <f aca="false">IF(OR(L28="",P28=""),"",L28*(P28-1)-N28)</f>
        <v/>
      </c>
      <c r="V28" s="13"/>
      <c r="W28" s="17"/>
      <c r="X28" s="12"/>
      <c r="Y28" s="12"/>
      <c r="Z28" s="12"/>
      <c r="AA28" s="18" t="str">
        <f aca="false">IF(K28&lt;&gt;"ВИРТУАЛЬНЫЙ ВЫБОР","",IF(Z28="✅ ЗАШЛО",W28*(P28-1),IF(Z28="❌ НЕ ЗАШЛО",-W28,IF(Z28="½ ЗАШЛО",W28*(P28-1)/2,IF(Z28="½ НЕ ЗАШЛО",-W28/2,IF(Z28="ВОЗВРАТ",0,""))))))</f>
        <v/>
      </c>
      <c r="AB28" s="18" t="str">
        <f aca="false">IF(AND(K28="ВИРТУАЛЬНЫЙ ВЫБОР",OR(Z28="✅ ЗАШЛО",Z28="❌ НЕ ЗАШЛО",Z28="½ ЗАШЛО",Z28="½ НЕ ЗАШЛО",Z28="ВОЗВРАТ")),W28,"")</f>
        <v/>
      </c>
      <c r="AC28" s="15"/>
      <c r="AD28" s="16" t="str">
        <f aca="false">IF(OR(AC28="",P28=""),"",P28/AC28-1)</f>
        <v/>
      </c>
      <c r="AE28" s="19" t="str">
        <f aca="false">IF(AND(M28=0,OR(Z28="✅ ЗАШЛО",Z28="❌ НЕ ЗАШЛО"),L28&lt;&gt;""),(L28-IF(Z28="✅ ЗАШЛО",1,0))^2,"")</f>
        <v/>
      </c>
      <c r="AF28" s="15"/>
      <c r="AG28" s="15"/>
      <c r="AH28" s="13"/>
      <c r="AI28" s="13"/>
      <c r="AJ28" s="13"/>
      <c r="AK28" s="20" t="str">
        <f aca="false">IF(AH28="","",IF(ABS(AH28+AI28+AJ28-1)&lt;0.000001,"OK","ОШИБКА"))</f>
        <v/>
      </c>
      <c r="AL28" s="13"/>
      <c r="AM28" s="12"/>
      <c r="AN28" s="12"/>
      <c r="AO28" s="12"/>
      <c r="AP28" s="12"/>
      <c r="AQ28" s="18" t="str">
        <f aca="false">IF(A28="","",N(AQ27)+N(AA28))</f>
        <v/>
      </c>
      <c r="AR28" s="18" t="str">
        <f aca="false">IF(AQ28="","",MAX(0,MAX($AQ$8:AQ28))-AQ28)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3"/>
      <c r="N29" s="13"/>
      <c r="O29" s="14" t="str">
        <f aca="false">IF(OR(L29="",L29=0),"",(1-M29)/L29)</f>
        <v/>
      </c>
      <c r="P29" s="15"/>
      <c r="Q29" s="12"/>
      <c r="R29" s="12"/>
      <c r="S29" s="13"/>
      <c r="T29" s="16" t="str">
        <f aca="false">IF(OR(S29="",L29=""),"",L29/(1-M29)-S29)</f>
        <v/>
      </c>
      <c r="U29" s="16" t="str">
        <f aca="false">IF(OR(L29="",P29=""),"",L29*(P29-1)-N29)</f>
        <v/>
      </c>
      <c r="V29" s="13"/>
      <c r="W29" s="17"/>
      <c r="X29" s="12"/>
      <c r="Y29" s="12"/>
      <c r="Z29" s="12"/>
      <c r="AA29" s="18" t="str">
        <f aca="false">IF(K29&lt;&gt;"ВИРТУАЛЬНЫЙ ВЫБОР","",IF(Z29="✅ ЗАШЛО",W29*(P29-1),IF(Z29="❌ НЕ ЗАШЛО",-W29,IF(Z29="½ ЗАШЛО",W29*(P29-1)/2,IF(Z29="½ НЕ ЗАШЛО",-W29/2,IF(Z29="ВОЗВРАТ",0,""))))))</f>
        <v/>
      </c>
      <c r="AB29" s="18" t="str">
        <f aca="false">IF(AND(K29="ВИРТУАЛЬНЫЙ ВЫБОР",OR(Z29="✅ ЗАШЛО",Z29="❌ НЕ ЗАШЛО",Z29="½ ЗАШЛО",Z29="½ НЕ ЗАШЛО",Z29="ВОЗВРАТ")),W29,"")</f>
        <v/>
      </c>
      <c r="AC29" s="15"/>
      <c r="AD29" s="16" t="str">
        <f aca="false">IF(OR(AC29="",P29=""),"",P29/AC29-1)</f>
        <v/>
      </c>
      <c r="AE29" s="19" t="str">
        <f aca="false">IF(AND(M29=0,OR(Z29="✅ ЗАШЛО",Z29="❌ НЕ ЗАШЛО"),L29&lt;&gt;""),(L29-IF(Z29="✅ ЗАШЛО",1,0))^2,"")</f>
        <v/>
      </c>
      <c r="AF29" s="15"/>
      <c r="AG29" s="15"/>
      <c r="AH29" s="13"/>
      <c r="AI29" s="13"/>
      <c r="AJ29" s="13"/>
      <c r="AK29" s="20" t="str">
        <f aca="false">IF(AH29="","",IF(ABS(AH29+AI29+AJ29-1)&lt;0.000001,"OK","ОШИБКА"))</f>
        <v/>
      </c>
      <c r="AL29" s="13"/>
      <c r="AM29" s="12"/>
      <c r="AN29" s="12"/>
      <c r="AO29" s="12"/>
      <c r="AP29" s="12"/>
      <c r="AQ29" s="18" t="str">
        <f aca="false">IF(A29="","",N(AQ28)+N(AA29))</f>
        <v/>
      </c>
      <c r="AR29" s="18" t="str">
        <f aca="false">IF(AQ29="","",MAX(0,MAX($AQ$8:AQ29))-AQ29)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3"/>
      <c r="N30" s="13"/>
      <c r="O30" s="14" t="str">
        <f aca="false">IF(OR(L30="",L30=0),"",(1-M30)/L30)</f>
        <v/>
      </c>
      <c r="P30" s="15"/>
      <c r="Q30" s="12"/>
      <c r="R30" s="12"/>
      <c r="S30" s="13"/>
      <c r="T30" s="16" t="str">
        <f aca="false">IF(OR(S30="",L30=""),"",L30/(1-M30)-S30)</f>
        <v/>
      </c>
      <c r="U30" s="16" t="str">
        <f aca="false">IF(OR(L30="",P30=""),"",L30*(P30-1)-N30)</f>
        <v/>
      </c>
      <c r="V30" s="13"/>
      <c r="W30" s="17"/>
      <c r="X30" s="12"/>
      <c r="Y30" s="12"/>
      <c r="Z30" s="12"/>
      <c r="AA30" s="18" t="str">
        <f aca="false">IF(K30&lt;&gt;"ВИРТУАЛЬНЫЙ ВЫБОР","",IF(Z30="✅ ЗАШЛО",W30*(P30-1),IF(Z30="❌ НЕ ЗАШЛО",-W30,IF(Z30="½ ЗАШЛО",W30*(P30-1)/2,IF(Z30="½ НЕ ЗАШЛО",-W30/2,IF(Z30="ВОЗВРАТ",0,""))))))</f>
        <v/>
      </c>
      <c r="AB30" s="18" t="str">
        <f aca="false">IF(AND(K30="ВИРТУАЛЬНЫЙ ВЫБОР",OR(Z30="✅ ЗАШЛО",Z30="❌ НЕ ЗАШЛО",Z30="½ ЗАШЛО",Z30="½ НЕ ЗАШЛО",Z30="ВОЗВРАТ")),W30,"")</f>
        <v/>
      </c>
      <c r="AC30" s="15"/>
      <c r="AD30" s="16" t="str">
        <f aca="false">IF(OR(AC30="",P30=""),"",P30/AC30-1)</f>
        <v/>
      </c>
      <c r="AE30" s="19" t="str">
        <f aca="false">IF(AND(M30=0,OR(Z30="✅ ЗАШЛО",Z30="❌ НЕ ЗАШЛО"),L30&lt;&gt;""),(L30-IF(Z30="✅ ЗАШЛО",1,0))^2,"")</f>
        <v/>
      </c>
      <c r="AF30" s="15"/>
      <c r="AG30" s="15"/>
      <c r="AH30" s="13"/>
      <c r="AI30" s="13"/>
      <c r="AJ30" s="13"/>
      <c r="AK30" s="20" t="str">
        <f aca="false">IF(AH30="","",IF(ABS(AH30+AI30+AJ30-1)&lt;0.000001,"OK","ОШИБКА"))</f>
        <v/>
      </c>
      <c r="AL30" s="13"/>
      <c r="AM30" s="12"/>
      <c r="AN30" s="12"/>
      <c r="AO30" s="12"/>
      <c r="AP30" s="12"/>
      <c r="AQ30" s="18" t="str">
        <f aca="false">IF(A30="","",N(AQ29)+N(AA30))</f>
        <v/>
      </c>
      <c r="AR30" s="18" t="str">
        <f aca="false">IF(AQ30="","",MAX(0,MAX($AQ$8:AQ30))-AQ30)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3"/>
      <c r="N31" s="13"/>
      <c r="O31" s="14" t="str">
        <f aca="false">IF(OR(L31="",L31=0),"",(1-M31)/L31)</f>
        <v/>
      </c>
      <c r="P31" s="15"/>
      <c r="Q31" s="12"/>
      <c r="R31" s="12"/>
      <c r="S31" s="13"/>
      <c r="T31" s="16" t="str">
        <f aca="false">IF(OR(S31="",L31=""),"",L31/(1-M31)-S31)</f>
        <v/>
      </c>
      <c r="U31" s="16" t="str">
        <f aca="false">IF(OR(L31="",P31=""),"",L31*(P31-1)-N31)</f>
        <v/>
      </c>
      <c r="V31" s="13"/>
      <c r="W31" s="17"/>
      <c r="X31" s="12"/>
      <c r="Y31" s="12"/>
      <c r="Z31" s="12"/>
      <c r="AA31" s="18" t="str">
        <f aca="false">IF(K31&lt;&gt;"ВИРТУАЛЬНЫЙ ВЫБОР","",IF(Z31="✅ ЗАШЛО",W31*(P31-1),IF(Z31="❌ НЕ ЗАШЛО",-W31,IF(Z31="½ ЗАШЛО",W31*(P31-1)/2,IF(Z31="½ НЕ ЗАШЛО",-W31/2,IF(Z31="ВОЗВРАТ",0,""))))))</f>
        <v/>
      </c>
      <c r="AB31" s="18" t="str">
        <f aca="false">IF(AND(K31="ВИРТУАЛЬНЫЙ ВЫБОР",OR(Z31="✅ ЗАШЛО",Z31="❌ НЕ ЗАШЛО",Z31="½ ЗАШЛО",Z31="½ НЕ ЗАШЛО",Z31="ВОЗВРАТ")),W31,"")</f>
        <v/>
      </c>
      <c r="AC31" s="15"/>
      <c r="AD31" s="16" t="str">
        <f aca="false">IF(OR(AC31="",P31=""),"",P31/AC31-1)</f>
        <v/>
      </c>
      <c r="AE31" s="19" t="str">
        <f aca="false">IF(AND(M31=0,OR(Z31="✅ ЗАШЛО",Z31="❌ НЕ ЗАШЛО"),L31&lt;&gt;""),(L31-IF(Z31="✅ ЗАШЛО",1,0))^2,"")</f>
        <v/>
      </c>
      <c r="AF31" s="15"/>
      <c r="AG31" s="15"/>
      <c r="AH31" s="13"/>
      <c r="AI31" s="13"/>
      <c r="AJ31" s="13"/>
      <c r="AK31" s="20" t="str">
        <f aca="false">IF(AH31="","",IF(ABS(AH31+AI31+AJ31-1)&lt;0.000001,"OK","ОШИБКА"))</f>
        <v/>
      </c>
      <c r="AL31" s="13"/>
      <c r="AM31" s="12"/>
      <c r="AN31" s="12"/>
      <c r="AO31" s="12"/>
      <c r="AP31" s="12"/>
      <c r="AQ31" s="18" t="str">
        <f aca="false">IF(A31="","",N(AQ30)+N(AA31))</f>
        <v/>
      </c>
      <c r="AR31" s="18" t="str">
        <f aca="false">IF(AQ31="","",MAX(0,MAX($AQ$8:AQ31))-AQ31)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3"/>
      <c r="N32" s="13"/>
      <c r="O32" s="14" t="str">
        <f aca="false">IF(OR(L32="",L32=0),"",(1-M32)/L32)</f>
        <v/>
      </c>
      <c r="P32" s="15"/>
      <c r="Q32" s="12"/>
      <c r="R32" s="12"/>
      <c r="S32" s="13"/>
      <c r="T32" s="16" t="str">
        <f aca="false">IF(OR(S32="",L32=""),"",L32/(1-M32)-S32)</f>
        <v/>
      </c>
      <c r="U32" s="16" t="str">
        <f aca="false">IF(OR(L32="",P32=""),"",L32*(P32-1)-N32)</f>
        <v/>
      </c>
      <c r="V32" s="13"/>
      <c r="W32" s="17"/>
      <c r="X32" s="12"/>
      <c r="Y32" s="12"/>
      <c r="Z32" s="12"/>
      <c r="AA32" s="18" t="str">
        <f aca="false">IF(K32&lt;&gt;"ВИРТУАЛЬНЫЙ ВЫБОР","",IF(Z32="✅ ЗАШЛО",W32*(P32-1),IF(Z32="❌ НЕ ЗАШЛО",-W32,IF(Z32="½ ЗАШЛО",W32*(P32-1)/2,IF(Z32="½ НЕ ЗАШЛО",-W32/2,IF(Z32="ВОЗВРАТ",0,""))))))</f>
        <v/>
      </c>
      <c r="AB32" s="18" t="str">
        <f aca="false">IF(AND(K32="ВИРТУАЛЬНЫЙ ВЫБОР",OR(Z32="✅ ЗАШЛО",Z32="❌ НЕ ЗАШЛО",Z32="½ ЗАШЛО",Z32="½ НЕ ЗАШЛО",Z32="ВОЗВРАТ")),W32,"")</f>
        <v/>
      </c>
      <c r="AC32" s="15"/>
      <c r="AD32" s="16" t="str">
        <f aca="false">IF(OR(AC32="",P32=""),"",P32/AC32-1)</f>
        <v/>
      </c>
      <c r="AE32" s="19" t="str">
        <f aca="false">IF(AND(M32=0,OR(Z32="✅ ЗАШЛО",Z32="❌ НЕ ЗАШЛО"),L32&lt;&gt;""),(L32-IF(Z32="✅ ЗАШЛО",1,0))^2,"")</f>
        <v/>
      </c>
      <c r="AF32" s="15"/>
      <c r="AG32" s="15"/>
      <c r="AH32" s="13"/>
      <c r="AI32" s="13"/>
      <c r="AJ32" s="13"/>
      <c r="AK32" s="20" t="str">
        <f aca="false">IF(AH32="","",IF(ABS(AH32+AI32+AJ32-1)&lt;0.000001,"OK","ОШИБКА"))</f>
        <v/>
      </c>
      <c r="AL32" s="13"/>
      <c r="AM32" s="12"/>
      <c r="AN32" s="12"/>
      <c r="AO32" s="12"/>
      <c r="AP32" s="12"/>
      <c r="AQ32" s="18" t="str">
        <f aca="false">IF(A32="","",N(AQ31)+N(AA32))</f>
        <v/>
      </c>
      <c r="AR32" s="18" t="str">
        <f aca="false">IF(AQ32="","",MAX(0,MAX($AQ$8:AQ32))-AQ32)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3"/>
      <c r="N33" s="13"/>
      <c r="O33" s="14" t="str">
        <f aca="false">IF(OR(L33="",L33=0),"",(1-M33)/L33)</f>
        <v/>
      </c>
      <c r="P33" s="15"/>
      <c r="Q33" s="12"/>
      <c r="R33" s="12"/>
      <c r="S33" s="13"/>
      <c r="T33" s="16" t="str">
        <f aca="false">IF(OR(S33="",L33=""),"",L33/(1-M33)-S33)</f>
        <v/>
      </c>
      <c r="U33" s="16" t="str">
        <f aca="false">IF(OR(L33="",P33=""),"",L33*(P33-1)-N33)</f>
        <v/>
      </c>
      <c r="V33" s="13"/>
      <c r="W33" s="17"/>
      <c r="X33" s="12"/>
      <c r="Y33" s="12"/>
      <c r="Z33" s="12"/>
      <c r="AA33" s="18" t="str">
        <f aca="false">IF(K33&lt;&gt;"ВИРТУАЛЬНЫЙ ВЫБОР","",IF(Z33="✅ ЗАШЛО",W33*(P33-1),IF(Z33="❌ НЕ ЗАШЛО",-W33,IF(Z33="½ ЗАШЛО",W33*(P33-1)/2,IF(Z33="½ НЕ ЗАШЛО",-W33/2,IF(Z33="ВОЗВРАТ",0,""))))))</f>
        <v/>
      </c>
      <c r="AB33" s="18" t="str">
        <f aca="false">IF(AND(K33="ВИРТУАЛЬНЫЙ ВЫБОР",OR(Z33="✅ ЗАШЛО",Z33="❌ НЕ ЗАШЛО",Z33="½ ЗАШЛО",Z33="½ НЕ ЗАШЛО",Z33="ВОЗВРАТ")),W33,"")</f>
        <v/>
      </c>
      <c r="AC33" s="15"/>
      <c r="AD33" s="16" t="str">
        <f aca="false">IF(OR(AC33="",P33=""),"",P33/AC33-1)</f>
        <v/>
      </c>
      <c r="AE33" s="19" t="str">
        <f aca="false">IF(AND(M33=0,OR(Z33="✅ ЗАШЛО",Z33="❌ НЕ ЗАШЛО"),L33&lt;&gt;""),(L33-IF(Z33="✅ ЗАШЛО",1,0))^2,"")</f>
        <v/>
      </c>
      <c r="AF33" s="15"/>
      <c r="AG33" s="15"/>
      <c r="AH33" s="13"/>
      <c r="AI33" s="13"/>
      <c r="AJ33" s="13"/>
      <c r="AK33" s="20" t="str">
        <f aca="false">IF(AH33="","",IF(ABS(AH33+AI33+AJ33-1)&lt;0.000001,"OK","ОШИБКА"))</f>
        <v/>
      </c>
      <c r="AL33" s="13"/>
      <c r="AM33" s="12"/>
      <c r="AN33" s="12"/>
      <c r="AO33" s="12"/>
      <c r="AP33" s="12"/>
      <c r="AQ33" s="18" t="str">
        <f aca="false">IF(A33="","",N(AQ32)+N(AA33))</f>
        <v/>
      </c>
      <c r="AR33" s="18" t="str">
        <f aca="false">IF(AQ33="","",MAX(0,MAX($AQ$8:AQ33))-AQ33)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  <c r="M34" s="13"/>
      <c r="N34" s="13"/>
      <c r="O34" s="14" t="str">
        <f aca="false">IF(OR(L34="",L34=0),"",(1-M34)/L34)</f>
        <v/>
      </c>
      <c r="P34" s="15"/>
      <c r="Q34" s="12"/>
      <c r="R34" s="12"/>
      <c r="S34" s="13"/>
      <c r="T34" s="16" t="str">
        <f aca="false">IF(OR(S34="",L34=""),"",L34/(1-M34)-S34)</f>
        <v/>
      </c>
      <c r="U34" s="16" t="str">
        <f aca="false">IF(OR(L34="",P34=""),"",L34*(P34-1)-N34)</f>
        <v/>
      </c>
      <c r="V34" s="13"/>
      <c r="W34" s="17"/>
      <c r="X34" s="12"/>
      <c r="Y34" s="12"/>
      <c r="Z34" s="12"/>
      <c r="AA34" s="18" t="str">
        <f aca="false">IF(K34&lt;&gt;"ВИРТУАЛЬНЫЙ ВЫБОР","",IF(Z34="✅ ЗАШЛО",W34*(P34-1),IF(Z34="❌ НЕ ЗАШЛО",-W34,IF(Z34="½ ЗАШЛО",W34*(P34-1)/2,IF(Z34="½ НЕ ЗАШЛО",-W34/2,IF(Z34="ВОЗВРАТ",0,""))))))</f>
        <v/>
      </c>
      <c r="AB34" s="18" t="str">
        <f aca="false">IF(AND(K34="ВИРТУАЛЬНЫЙ ВЫБОР",OR(Z34="✅ ЗАШЛО",Z34="❌ НЕ ЗАШЛО",Z34="½ ЗАШЛО",Z34="½ НЕ ЗАШЛО",Z34="ВОЗВРАТ")),W34,"")</f>
        <v/>
      </c>
      <c r="AC34" s="15"/>
      <c r="AD34" s="16" t="str">
        <f aca="false">IF(OR(AC34="",P34=""),"",P34/AC34-1)</f>
        <v/>
      </c>
      <c r="AE34" s="19" t="str">
        <f aca="false">IF(AND(M34=0,OR(Z34="✅ ЗАШЛО",Z34="❌ НЕ ЗАШЛО"),L34&lt;&gt;""),(L34-IF(Z34="✅ ЗАШЛО",1,0))^2,"")</f>
        <v/>
      </c>
      <c r="AF34" s="15"/>
      <c r="AG34" s="15"/>
      <c r="AH34" s="13"/>
      <c r="AI34" s="13"/>
      <c r="AJ34" s="13"/>
      <c r="AK34" s="20" t="str">
        <f aca="false">IF(AH34="","",IF(ABS(AH34+AI34+AJ34-1)&lt;0.000001,"OK","ОШИБКА"))</f>
        <v/>
      </c>
      <c r="AL34" s="13"/>
      <c r="AM34" s="12"/>
      <c r="AN34" s="12"/>
      <c r="AO34" s="12"/>
      <c r="AP34" s="12"/>
      <c r="AQ34" s="18" t="str">
        <f aca="false">IF(A34="","",N(AQ33)+N(AA34))</f>
        <v/>
      </c>
      <c r="AR34" s="18" t="str">
        <f aca="false">IF(AQ34="","",MAX(0,MAX($AQ$8:AQ34))-AQ34)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3"/>
      <c r="N35" s="13"/>
      <c r="O35" s="14" t="str">
        <f aca="false">IF(OR(L35="",L35=0),"",(1-M35)/L35)</f>
        <v/>
      </c>
      <c r="P35" s="15"/>
      <c r="Q35" s="12"/>
      <c r="R35" s="12"/>
      <c r="S35" s="13"/>
      <c r="T35" s="16" t="str">
        <f aca="false">IF(OR(S35="",L35=""),"",L35/(1-M35)-S35)</f>
        <v/>
      </c>
      <c r="U35" s="16" t="str">
        <f aca="false">IF(OR(L35="",P35=""),"",L35*(P35-1)-N35)</f>
        <v/>
      </c>
      <c r="V35" s="13"/>
      <c r="W35" s="17"/>
      <c r="X35" s="12"/>
      <c r="Y35" s="12"/>
      <c r="Z35" s="12"/>
      <c r="AA35" s="18" t="str">
        <f aca="false">IF(K35&lt;&gt;"ВИРТУАЛЬНЫЙ ВЫБОР","",IF(Z35="✅ ЗАШЛО",W35*(P35-1),IF(Z35="❌ НЕ ЗАШЛО",-W35,IF(Z35="½ ЗАШЛО",W35*(P35-1)/2,IF(Z35="½ НЕ ЗАШЛО",-W35/2,IF(Z35="ВОЗВРАТ",0,""))))))</f>
        <v/>
      </c>
      <c r="AB35" s="18" t="str">
        <f aca="false">IF(AND(K35="ВИРТУАЛЬНЫЙ ВЫБОР",OR(Z35="✅ ЗАШЛО",Z35="❌ НЕ ЗАШЛО",Z35="½ ЗАШЛО",Z35="½ НЕ ЗАШЛО",Z35="ВОЗВРАТ")),W35,"")</f>
        <v/>
      </c>
      <c r="AC35" s="15"/>
      <c r="AD35" s="16" t="str">
        <f aca="false">IF(OR(AC35="",P35=""),"",P35/AC35-1)</f>
        <v/>
      </c>
      <c r="AE35" s="19" t="str">
        <f aca="false">IF(AND(M35=0,OR(Z35="✅ ЗАШЛО",Z35="❌ НЕ ЗАШЛО"),L35&lt;&gt;""),(L35-IF(Z35="✅ ЗАШЛО",1,0))^2,"")</f>
        <v/>
      </c>
      <c r="AF35" s="15"/>
      <c r="AG35" s="15"/>
      <c r="AH35" s="13"/>
      <c r="AI35" s="13"/>
      <c r="AJ35" s="13"/>
      <c r="AK35" s="20" t="str">
        <f aca="false">IF(AH35="","",IF(ABS(AH35+AI35+AJ35-1)&lt;0.000001,"OK","ОШИБКА"))</f>
        <v/>
      </c>
      <c r="AL35" s="13"/>
      <c r="AM35" s="12"/>
      <c r="AN35" s="12"/>
      <c r="AO35" s="12"/>
      <c r="AP35" s="12"/>
      <c r="AQ35" s="18" t="str">
        <f aca="false">IF(A35="","",N(AQ34)+N(AA35))</f>
        <v/>
      </c>
      <c r="AR35" s="18" t="str">
        <f aca="false">IF(AQ35="","",MAX(0,MAX($AQ$8:AQ35))-AQ35)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/>
      <c r="M36" s="13"/>
      <c r="N36" s="13"/>
      <c r="O36" s="14" t="str">
        <f aca="false">IF(OR(L36="",L36=0),"",(1-M36)/L36)</f>
        <v/>
      </c>
      <c r="P36" s="15"/>
      <c r="Q36" s="12"/>
      <c r="R36" s="12"/>
      <c r="S36" s="13"/>
      <c r="T36" s="16" t="str">
        <f aca="false">IF(OR(S36="",L36=""),"",L36/(1-M36)-S36)</f>
        <v/>
      </c>
      <c r="U36" s="16" t="str">
        <f aca="false">IF(OR(L36="",P36=""),"",L36*(P36-1)-N36)</f>
        <v/>
      </c>
      <c r="V36" s="13"/>
      <c r="W36" s="17"/>
      <c r="X36" s="12"/>
      <c r="Y36" s="12"/>
      <c r="Z36" s="12"/>
      <c r="AA36" s="18" t="str">
        <f aca="false">IF(K36&lt;&gt;"ВИРТУАЛЬНЫЙ ВЫБОР","",IF(Z36="✅ ЗАШЛО",W36*(P36-1),IF(Z36="❌ НЕ ЗАШЛО",-W36,IF(Z36="½ ЗАШЛО",W36*(P36-1)/2,IF(Z36="½ НЕ ЗАШЛО",-W36/2,IF(Z36="ВОЗВРАТ",0,""))))))</f>
        <v/>
      </c>
      <c r="AB36" s="18" t="str">
        <f aca="false">IF(AND(K36="ВИРТУАЛЬНЫЙ ВЫБОР",OR(Z36="✅ ЗАШЛО",Z36="❌ НЕ ЗАШЛО",Z36="½ ЗАШЛО",Z36="½ НЕ ЗАШЛО",Z36="ВОЗВРАТ")),W36,"")</f>
        <v/>
      </c>
      <c r="AC36" s="15"/>
      <c r="AD36" s="16" t="str">
        <f aca="false">IF(OR(AC36="",P36=""),"",P36/AC36-1)</f>
        <v/>
      </c>
      <c r="AE36" s="19" t="str">
        <f aca="false">IF(AND(M36=0,OR(Z36="✅ ЗАШЛО",Z36="❌ НЕ ЗАШЛО"),L36&lt;&gt;""),(L36-IF(Z36="✅ ЗАШЛО",1,0))^2,"")</f>
        <v/>
      </c>
      <c r="AF36" s="15"/>
      <c r="AG36" s="15"/>
      <c r="AH36" s="13"/>
      <c r="AI36" s="13"/>
      <c r="AJ36" s="13"/>
      <c r="AK36" s="20" t="str">
        <f aca="false">IF(AH36="","",IF(ABS(AH36+AI36+AJ36-1)&lt;0.000001,"OK","ОШИБКА"))</f>
        <v/>
      </c>
      <c r="AL36" s="13"/>
      <c r="AM36" s="12"/>
      <c r="AN36" s="12"/>
      <c r="AO36" s="12"/>
      <c r="AP36" s="12"/>
      <c r="AQ36" s="18" t="str">
        <f aca="false">IF(A36="","",N(AQ35)+N(AA36))</f>
        <v/>
      </c>
      <c r="AR36" s="18" t="str">
        <f aca="false">IF(AQ36="","",MAX(0,MAX($AQ$8:AQ36))-AQ36)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3"/>
      <c r="M37" s="13"/>
      <c r="N37" s="13"/>
      <c r="O37" s="14" t="str">
        <f aca="false">IF(OR(L37="",L37=0),"",(1-M37)/L37)</f>
        <v/>
      </c>
      <c r="P37" s="15"/>
      <c r="Q37" s="12"/>
      <c r="R37" s="12"/>
      <c r="S37" s="13"/>
      <c r="T37" s="16" t="str">
        <f aca="false">IF(OR(S37="",L37=""),"",L37/(1-M37)-S37)</f>
        <v/>
      </c>
      <c r="U37" s="16" t="str">
        <f aca="false">IF(OR(L37="",P37=""),"",L37*(P37-1)-N37)</f>
        <v/>
      </c>
      <c r="V37" s="13"/>
      <c r="W37" s="17"/>
      <c r="X37" s="12"/>
      <c r="Y37" s="12"/>
      <c r="Z37" s="12"/>
      <c r="AA37" s="18" t="str">
        <f aca="false">IF(K37&lt;&gt;"ВИРТУАЛЬНЫЙ ВЫБОР","",IF(Z37="✅ ЗАШЛО",W37*(P37-1),IF(Z37="❌ НЕ ЗАШЛО",-W37,IF(Z37="½ ЗАШЛО",W37*(P37-1)/2,IF(Z37="½ НЕ ЗАШЛО",-W37/2,IF(Z37="ВОЗВРАТ",0,""))))))</f>
        <v/>
      </c>
      <c r="AB37" s="18" t="str">
        <f aca="false">IF(AND(K37="ВИРТУАЛЬНЫЙ ВЫБОР",OR(Z37="✅ ЗАШЛО",Z37="❌ НЕ ЗАШЛО",Z37="½ ЗАШЛО",Z37="½ НЕ ЗАШЛО",Z37="ВОЗВРАТ")),W37,"")</f>
        <v/>
      </c>
      <c r="AC37" s="15"/>
      <c r="AD37" s="16" t="str">
        <f aca="false">IF(OR(AC37="",P37=""),"",P37/AC37-1)</f>
        <v/>
      </c>
      <c r="AE37" s="19" t="str">
        <f aca="false">IF(AND(M37=0,OR(Z37="✅ ЗАШЛО",Z37="❌ НЕ ЗАШЛО"),L37&lt;&gt;""),(L37-IF(Z37="✅ ЗАШЛО",1,0))^2,"")</f>
        <v/>
      </c>
      <c r="AF37" s="15"/>
      <c r="AG37" s="15"/>
      <c r="AH37" s="13"/>
      <c r="AI37" s="13"/>
      <c r="AJ37" s="13"/>
      <c r="AK37" s="20" t="str">
        <f aca="false">IF(AH37="","",IF(ABS(AH37+AI37+AJ37-1)&lt;0.000001,"OK","ОШИБКА"))</f>
        <v/>
      </c>
      <c r="AL37" s="13"/>
      <c r="AM37" s="12"/>
      <c r="AN37" s="12"/>
      <c r="AO37" s="12"/>
      <c r="AP37" s="12"/>
      <c r="AQ37" s="18" t="str">
        <f aca="false">IF(A37="","",N(AQ36)+N(AA37))</f>
        <v/>
      </c>
      <c r="AR37" s="18" t="str">
        <f aca="false">IF(AQ37="","",MAX(0,MAX($AQ$8:AQ37))-AQ37)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/>
      <c r="M38" s="13"/>
      <c r="N38" s="13"/>
      <c r="O38" s="14" t="str">
        <f aca="false">IF(OR(L38="",L38=0),"",(1-M38)/L38)</f>
        <v/>
      </c>
      <c r="P38" s="15"/>
      <c r="Q38" s="12"/>
      <c r="R38" s="12"/>
      <c r="S38" s="13"/>
      <c r="T38" s="16" t="str">
        <f aca="false">IF(OR(S38="",L38=""),"",L38/(1-M38)-S38)</f>
        <v/>
      </c>
      <c r="U38" s="16" t="str">
        <f aca="false">IF(OR(L38="",P38=""),"",L38*(P38-1)-N38)</f>
        <v/>
      </c>
      <c r="V38" s="13"/>
      <c r="W38" s="17"/>
      <c r="X38" s="12"/>
      <c r="Y38" s="12"/>
      <c r="Z38" s="12"/>
      <c r="AA38" s="18" t="str">
        <f aca="false">IF(K38&lt;&gt;"ВИРТУАЛЬНЫЙ ВЫБОР","",IF(Z38="✅ ЗАШЛО",W38*(P38-1),IF(Z38="❌ НЕ ЗАШЛО",-W38,IF(Z38="½ ЗАШЛО",W38*(P38-1)/2,IF(Z38="½ НЕ ЗАШЛО",-W38/2,IF(Z38="ВОЗВРАТ",0,""))))))</f>
        <v/>
      </c>
      <c r="AB38" s="18" t="str">
        <f aca="false">IF(AND(K38="ВИРТУАЛЬНЫЙ ВЫБОР",OR(Z38="✅ ЗАШЛО",Z38="❌ НЕ ЗАШЛО",Z38="½ ЗАШЛО",Z38="½ НЕ ЗАШЛО",Z38="ВОЗВРАТ")),W38,"")</f>
        <v/>
      </c>
      <c r="AC38" s="15"/>
      <c r="AD38" s="16" t="str">
        <f aca="false">IF(OR(AC38="",P38=""),"",P38/AC38-1)</f>
        <v/>
      </c>
      <c r="AE38" s="19" t="str">
        <f aca="false">IF(AND(M38=0,OR(Z38="✅ ЗАШЛО",Z38="❌ НЕ ЗАШЛО"),L38&lt;&gt;""),(L38-IF(Z38="✅ ЗАШЛО",1,0))^2,"")</f>
        <v/>
      </c>
      <c r="AF38" s="15"/>
      <c r="AG38" s="15"/>
      <c r="AH38" s="13"/>
      <c r="AI38" s="13"/>
      <c r="AJ38" s="13"/>
      <c r="AK38" s="20" t="str">
        <f aca="false">IF(AH38="","",IF(ABS(AH38+AI38+AJ38-1)&lt;0.000001,"OK","ОШИБКА"))</f>
        <v/>
      </c>
      <c r="AL38" s="13"/>
      <c r="AM38" s="12"/>
      <c r="AN38" s="12"/>
      <c r="AO38" s="12"/>
      <c r="AP38" s="12"/>
      <c r="AQ38" s="18" t="str">
        <f aca="false">IF(A38="","",N(AQ37)+N(AA38))</f>
        <v/>
      </c>
      <c r="AR38" s="18" t="str">
        <f aca="false">IF(AQ38="","",MAX(0,MAX($AQ$8:AQ38))-AQ38)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3"/>
      <c r="M39" s="13"/>
      <c r="N39" s="13"/>
      <c r="O39" s="14" t="str">
        <f aca="false">IF(OR(L39="",L39=0),"",(1-M39)/L39)</f>
        <v/>
      </c>
      <c r="P39" s="15"/>
      <c r="Q39" s="12"/>
      <c r="R39" s="12"/>
      <c r="S39" s="13"/>
      <c r="T39" s="16" t="str">
        <f aca="false">IF(OR(S39="",L39=""),"",L39/(1-M39)-S39)</f>
        <v/>
      </c>
      <c r="U39" s="16" t="str">
        <f aca="false">IF(OR(L39="",P39=""),"",L39*(P39-1)-N39)</f>
        <v/>
      </c>
      <c r="V39" s="13"/>
      <c r="W39" s="17"/>
      <c r="X39" s="12"/>
      <c r="Y39" s="12"/>
      <c r="Z39" s="12"/>
      <c r="AA39" s="18" t="str">
        <f aca="false">IF(K39&lt;&gt;"ВИРТУАЛЬНЫЙ ВЫБОР","",IF(Z39="✅ ЗАШЛО",W39*(P39-1),IF(Z39="❌ НЕ ЗАШЛО",-W39,IF(Z39="½ ЗАШЛО",W39*(P39-1)/2,IF(Z39="½ НЕ ЗАШЛО",-W39/2,IF(Z39="ВОЗВРАТ",0,""))))))</f>
        <v/>
      </c>
      <c r="AB39" s="18" t="str">
        <f aca="false">IF(AND(K39="ВИРТУАЛЬНЫЙ ВЫБОР",OR(Z39="✅ ЗАШЛО",Z39="❌ НЕ ЗАШЛО",Z39="½ ЗАШЛО",Z39="½ НЕ ЗАШЛО",Z39="ВОЗВРАТ")),W39,"")</f>
        <v/>
      </c>
      <c r="AC39" s="15"/>
      <c r="AD39" s="16" t="str">
        <f aca="false">IF(OR(AC39="",P39=""),"",P39/AC39-1)</f>
        <v/>
      </c>
      <c r="AE39" s="19" t="str">
        <f aca="false">IF(AND(M39=0,OR(Z39="✅ ЗАШЛО",Z39="❌ НЕ ЗАШЛО"),L39&lt;&gt;""),(L39-IF(Z39="✅ ЗАШЛО",1,0))^2,"")</f>
        <v/>
      </c>
      <c r="AF39" s="15"/>
      <c r="AG39" s="15"/>
      <c r="AH39" s="13"/>
      <c r="AI39" s="13"/>
      <c r="AJ39" s="13"/>
      <c r="AK39" s="20" t="str">
        <f aca="false">IF(AH39="","",IF(ABS(AH39+AI39+AJ39-1)&lt;0.000001,"OK","ОШИБКА"))</f>
        <v/>
      </c>
      <c r="AL39" s="13"/>
      <c r="AM39" s="12"/>
      <c r="AN39" s="12"/>
      <c r="AO39" s="12"/>
      <c r="AP39" s="12"/>
      <c r="AQ39" s="18" t="str">
        <f aca="false">IF(A39="","",N(AQ38)+N(AA39))</f>
        <v/>
      </c>
      <c r="AR39" s="18" t="str">
        <f aca="false">IF(AQ39="","",MAX(0,MAX($AQ$8:AQ39))-AQ39)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3"/>
      <c r="M40" s="13"/>
      <c r="N40" s="13"/>
      <c r="O40" s="14" t="str">
        <f aca="false">IF(OR(L40="",L40=0),"",(1-M40)/L40)</f>
        <v/>
      </c>
      <c r="P40" s="15"/>
      <c r="Q40" s="12"/>
      <c r="R40" s="12"/>
      <c r="S40" s="13"/>
      <c r="T40" s="16" t="str">
        <f aca="false">IF(OR(S40="",L40=""),"",L40/(1-M40)-S40)</f>
        <v/>
      </c>
      <c r="U40" s="16" t="str">
        <f aca="false">IF(OR(L40="",P40=""),"",L40*(P40-1)-N40)</f>
        <v/>
      </c>
      <c r="V40" s="13"/>
      <c r="W40" s="17"/>
      <c r="X40" s="12"/>
      <c r="Y40" s="12"/>
      <c r="Z40" s="12"/>
      <c r="AA40" s="18" t="str">
        <f aca="false">IF(K40&lt;&gt;"ВИРТУАЛЬНЫЙ ВЫБОР","",IF(Z40="✅ ЗАШЛО",W40*(P40-1),IF(Z40="❌ НЕ ЗАШЛО",-W40,IF(Z40="½ ЗАШЛО",W40*(P40-1)/2,IF(Z40="½ НЕ ЗАШЛО",-W40/2,IF(Z40="ВОЗВРАТ",0,""))))))</f>
        <v/>
      </c>
      <c r="AB40" s="18" t="str">
        <f aca="false">IF(AND(K40="ВИРТУАЛЬНЫЙ ВЫБОР",OR(Z40="✅ ЗАШЛО",Z40="❌ НЕ ЗАШЛО",Z40="½ ЗАШЛО",Z40="½ НЕ ЗАШЛО",Z40="ВОЗВРАТ")),W40,"")</f>
        <v/>
      </c>
      <c r="AC40" s="15"/>
      <c r="AD40" s="16" t="str">
        <f aca="false">IF(OR(AC40="",P40=""),"",P40/AC40-1)</f>
        <v/>
      </c>
      <c r="AE40" s="19" t="str">
        <f aca="false">IF(AND(M40=0,OR(Z40="✅ ЗАШЛО",Z40="❌ НЕ ЗАШЛО"),L40&lt;&gt;""),(L40-IF(Z40="✅ ЗАШЛО",1,0))^2,"")</f>
        <v/>
      </c>
      <c r="AF40" s="15"/>
      <c r="AG40" s="15"/>
      <c r="AH40" s="13"/>
      <c r="AI40" s="13"/>
      <c r="AJ40" s="13"/>
      <c r="AK40" s="20" t="str">
        <f aca="false">IF(AH40="","",IF(ABS(AH40+AI40+AJ40-1)&lt;0.000001,"OK","ОШИБКА"))</f>
        <v/>
      </c>
      <c r="AL40" s="13"/>
      <c r="AM40" s="12"/>
      <c r="AN40" s="12"/>
      <c r="AO40" s="12"/>
      <c r="AP40" s="12"/>
      <c r="AQ40" s="18" t="str">
        <f aca="false">IF(A40="","",N(AQ39)+N(AA40))</f>
        <v/>
      </c>
      <c r="AR40" s="18" t="str">
        <f aca="false">IF(AQ40="","",MAX(0,MAX($AQ$8:AQ40))-AQ40)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13"/>
      <c r="N41" s="13"/>
      <c r="O41" s="14" t="str">
        <f aca="false">IF(OR(L41="",L41=0),"",(1-M41)/L41)</f>
        <v/>
      </c>
      <c r="P41" s="15"/>
      <c r="Q41" s="12"/>
      <c r="R41" s="12"/>
      <c r="S41" s="13"/>
      <c r="T41" s="16" t="str">
        <f aca="false">IF(OR(S41="",L41=""),"",L41/(1-M41)-S41)</f>
        <v/>
      </c>
      <c r="U41" s="16" t="str">
        <f aca="false">IF(OR(L41="",P41=""),"",L41*(P41-1)-N41)</f>
        <v/>
      </c>
      <c r="V41" s="13"/>
      <c r="W41" s="17"/>
      <c r="X41" s="12"/>
      <c r="Y41" s="12"/>
      <c r="Z41" s="12"/>
      <c r="AA41" s="18" t="str">
        <f aca="false">IF(K41&lt;&gt;"ВИРТУАЛЬНЫЙ ВЫБОР","",IF(Z41="✅ ЗАШЛО",W41*(P41-1),IF(Z41="❌ НЕ ЗАШЛО",-W41,IF(Z41="½ ЗАШЛО",W41*(P41-1)/2,IF(Z41="½ НЕ ЗАШЛО",-W41/2,IF(Z41="ВОЗВРАТ",0,""))))))</f>
        <v/>
      </c>
      <c r="AB41" s="18" t="str">
        <f aca="false">IF(AND(K41="ВИРТУАЛЬНЫЙ ВЫБОР",OR(Z41="✅ ЗАШЛО",Z41="❌ НЕ ЗАШЛО",Z41="½ ЗАШЛО",Z41="½ НЕ ЗАШЛО",Z41="ВОЗВРАТ")),W41,"")</f>
        <v/>
      </c>
      <c r="AC41" s="15"/>
      <c r="AD41" s="16" t="str">
        <f aca="false">IF(OR(AC41="",P41=""),"",P41/AC41-1)</f>
        <v/>
      </c>
      <c r="AE41" s="19" t="str">
        <f aca="false">IF(AND(M41=0,OR(Z41="✅ ЗАШЛО",Z41="❌ НЕ ЗАШЛО"),L41&lt;&gt;""),(L41-IF(Z41="✅ ЗАШЛО",1,0))^2,"")</f>
        <v/>
      </c>
      <c r="AF41" s="15"/>
      <c r="AG41" s="15"/>
      <c r="AH41" s="13"/>
      <c r="AI41" s="13"/>
      <c r="AJ41" s="13"/>
      <c r="AK41" s="20" t="str">
        <f aca="false">IF(AH41="","",IF(ABS(AH41+AI41+AJ41-1)&lt;0.000001,"OK","ОШИБКА"))</f>
        <v/>
      </c>
      <c r="AL41" s="13"/>
      <c r="AM41" s="12"/>
      <c r="AN41" s="12"/>
      <c r="AO41" s="12"/>
      <c r="AP41" s="12"/>
      <c r="AQ41" s="18" t="str">
        <f aca="false">IF(A41="","",N(AQ40)+N(AA41))</f>
        <v/>
      </c>
      <c r="AR41" s="18" t="str">
        <f aca="false">IF(AQ41="","",MAX(0,MAX($AQ$8:AQ41))-AQ41)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/>
      <c r="M42" s="13"/>
      <c r="N42" s="13"/>
      <c r="O42" s="14" t="str">
        <f aca="false">IF(OR(L42="",L42=0),"",(1-M42)/L42)</f>
        <v/>
      </c>
      <c r="P42" s="15"/>
      <c r="Q42" s="12"/>
      <c r="R42" s="12"/>
      <c r="S42" s="13"/>
      <c r="T42" s="16" t="str">
        <f aca="false">IF(OR(S42="",L42=""),"",L42/(1-M42)-S42)</f>
        <v/>
      </c>
      <c r="U42" s="16" t="str">
        <f aca="false">IF(OR(L42="",P42=""),"",L42*(P42-1)-N42)</f>
        <v/>
      </c>
      <c r="V42" s="13"/>
      <c r="W42" s="17"/>
      <c r="X42" s="12"/>
      <c r="Y42" s="12"/>
      <c r="Z42" s="12"/>
      <c r="AA42" s="18" t="str">
        <f aca="false">IF(K42&lt;&gt;"ВИРТУАЛЬНЫЙ ВЫБОР","",IF(Z42="✅ ЗАШЛО",W42*(P42-1),IF(Z42="❌ НЕ ЗАШЛО",-W42,IF(Z42="½ ЗАШЛО",W42*(P42-1)/2,IF(Z42="½ НЕ ЗАШЛО",-W42/2,IF(Z42="ВОЗВРАТ",0,""))))))</f>
        <v/>
      </c>
      <c r="AB42" s="18" t="str">
        <f aca="false">IF(AND(K42="ВИРТУАЛЬНЫЙ ВЫБОР",OR(Z42="✅ ЗАШЛО",Z42="❌ НЕ ЗАШЛО",Z42="½ ЗАШЛО",Z42="½ НЕ ЗАШЛО",Z42="ВОЗВРАТ")),W42,"")</f>
        <v/>
      </c>
      <c r="AC42" s="15"/>
      <c r="AD42" s="16" t="str">
        <f aca="false">IF(OR(AC42="",P42=""),"",P42/AC42-1)</f>
        <v/>
      </c>
      <c r="AE42" s="19" t="str">
        <f aca="false">IF(AND(M42=0,OR(Z42="✅ ЗАШЛО",Z42="❌ НЕ ЗАШЛО"),L42&lt;&gt;""),(L42-IF(Z42="✅ ЗАШЛО",1,0))^2,"")</f>
        <v/>
      </c>
      <c r="AF42" s="15"/>
      <c r="AG42" s="15"/>
      <c r="AH42" s="13"/>
      <c r="AI42" s="13"/>
      <c r="AJ42" s="13"/>
      <c r="AK42" s="20" t="str">
        <f aca="false">IF(AH42="","",IF(ABS(AH42+AI42+AJ42-1)&lt;0.000001,"OK","ОШИБКА"))</f>
        <v/>
      </c>
      <c r="AL42" s="13"/>
      <c r="AM42" s="12"/>
      <c r="AN42" s="12"/>
      <c r="AO42" s="12"/>
      <c r="AP42" s="12"/>
      <c r="AQ42" s="18" t="str">
        <f aca="false">IF(A42="","",N(AQ41)+N(AA42))</f>
        <v/>
      </c>
      <c r="AR42" s="18" t="str">
        <f aca="false">IF(AQ42="","",MAX(0,MAX($AQ$8:AQ42))-AQ42)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  <c r="M43" s="13"/>
      <c r="N43" s="13"/>
      <c r="O43" s="14" t="str">
        <f aca="false">IF(OR(L43="",L43=0),"",(1-M43)/L43)</f>
        <v/>
      </c>
      <c r="P43" s="15"/>
      <c r="Q43" s="12"/>
      <c r="R43" s="12"/>
      <c r="S43" s="13"/>
      <c r="T43" s="16" t="str">
        <f aca="false">IF(OR(S43="",L43=""),"",L43/(1-M43)-S43)</f>
        <v/>
      </c>
      <c r="U43" s="16" t="str">
        <f aca="false">IF(OR(L43="",P43=""),"",L43*(P43-1)-N43)</f>
        <v/>
      </c>
      <c r="V43" s="13"/>
      <c r="W43" s="17"/>
      <c r="X43" s="12"/>
      <c r="Y43" s="12"/>
      <c r="Z43" s="12"/>
      <c r="AA43" s="18" t="str">
        <f aca="false">IF(K43&lt;&gt;"ВИРТУАЛЬНЫЙ ВЫБОР","",IF(Z43="✅ ЗАШЛО",W43*(P43-1),IF(Z43="❌ НЕ ЗАШЛО",-W43,IF(Z43="½ ЗАШЛО",W43*(P43-1)/2,IF(Z43="½ НЕ ЗАШЛО",-W43/2,IF(Z43="ВОЗВРАТ",0,""))))))</f>
        <v/>
      </c>
      <c r="AB43" s="18" t="str">
        <f aca="false">IF(AND(K43="ВИРТУАЛЬНЫЙ ВЫБОР",OR(Z43="✅ ЗАШЛО",Z43="❌ НЕ ЗАШЛО",Z43="½ ЗАШЛО",Z43="½ НЕ ЗАШЛО",Z43="ВОЗВРАТ")),W43,"")</f>
        <v/>
      </c>
      <c r="AC43" s="15"/>
      <c r="AD43" s="16" t="str">
        <f aca="false">IF(OR(AC43="",P43=""),"",P43/AC43-1)</f>
        <v/>
      </c>
      <c r="AE43" s="19" t="str">
        <f aca="false">IF(AND(M43=0,OR(Z43="✅ ЗАШЛО",Z43="❌ НЕ ЗАШЛО"),L43&lt;&gt;""),(L43-IF(Z43="✅ ЗАШЛО",1,0))^2,"")</f>
        <v/>
      </c>
      <c r="AF43" s="15"/>
      <c r="AG43" s="15"/>
      <c r="AH43" s="13"/>
      <c r="AI43" s="13"/>
      <c r="AJ43" s="13"/>
      <c r="AK43" s="20" t="str">
        <f aca="false">IF(AH43="","",IF(ABS(AH43+AI43+AJ43-1)&lt;0.000001,"OK","ОШИБКА"))</f>
        <v/>
      </c>
      <c r="AL43" s="13"/>
      <c r="AM43" s="12"/>
      <c r="AN43" s="12"/>
      <c r="AO43" s="12"/>
      <c r="AP43" s="12"/>
      <c r="AQ43" s="18" t="str">
        <f aca="false">IF(A43="","",N(AQ42)+N(AA43))</f>
        <v/>
      </c>
      <c r="AR43" s="18" t="str">
        <f aca="false">IF(AQ43="","",MAX(0,MAX($AQ$8:AQ43))-AQ43)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3"/>
      <c r="N44" s="13"/>
      <c r="O44" s="14" t="str">
        <f aca="false">IF(OR(L44="",L44=0),"",(1-M44)/L44)</f>
        <v/>
      </c>
      <c r="P44" s="15"/>
      <c r="Q44" s="12"/>
      <c r="R44" s="12"/>
      <c r="S44" s="13"/>
      <c r="T44" s="16" t="str">
        <f aca="false">IF(OR(S44="",L44=""),"",L44/(1-M44)-S44)</f>
        <v/>
      </c>
      <c r="U44" s="16" t="str">
        <f aca="false">IF(OR(L44="",P44=""),"",L44*(P44-1)-N44)</f>
        <v/>
      </c>
      <c r="V44" s="13"/>
      <c r="W44" s="17"/>
      <c r="X44" s="12"/>
      <c r="Y44" s="12"/>
      <c r="Z44" s="12"/>
      <c r="AA44" s="18" t="str">
        <f aca="false">IF(K44&lt;&gt;"ВИРТУАЛЬНЫЙ ВЫБОР","",IF(Z44="✅ ЗАШЛО",W44*(P44-1),IF(Z44="❌ НЕ ЗАШЛО",-W44,IF(Z44="½ ЗАШЛО",W44*(P44-1)/2,IF(Z44="½ НЕ ЗАШЛО",-W44/2,IF(Z44="ВОЗВРАТ",0,""))))))</f>
        <v/>
      </c>
      <c r="AB44" s="18" t="str">
        <f aca="false">IF(AND(K44="ВИРТУАЛЬНЫЙ ВЫБОР",OR(Z44="✅ ЗАШЛО",Z44="❌ НЕ ЗАШЛО",Z44="½ ЗАШЛО",Z44="½ НЕ ЗАШЛО",Z44="ВОЗВРАТ")),W44,"")</f>
        <v/>
      </c>
      <c r="AC44" s="15"/>
      <c r="AD44" s="16" t="str">
        <f aca="false">IF(OR(AC44="",P44=""),"",P44/AC44-1)</f>
        <v/>
      </c>
      <c r="AE44" s="19" t="str">
        <f aca="false">IF(AND(M44=0,OR(Z44="✅ ЗАШЛО",Z44="❌ НЕ ЗАШЛО"),L44&lt;&gt;""),(L44-IF(Z44="✅ ЗАШЛО",1,0))^2,"")</f>
        <v/>
      </c>
      <c r="AF44" s="15"/>
      <c r="AG44" s="15"/>
      <c r="AH44" s="13"/>
      <c r="AI44" s="13"/>
      <c r="AJ44" s="13"/>
      <c r="AK44" s="20" t="str">
        <f aca="false">IF(AH44="","",IF(ABS(AH44+AI44+AJ44-1)&lt;0.000001,"OK","ОШИБКА"))</f>
        <v/>
      </c>
      <c r="AL44" s="13"/>
      <c r="AM44" s="12"/>
      <c r="AN44" s="12"/>
      <c r="AO44" s="12"/>
      <c r="AP44" s="12"/>
      <c r="AQ44" s="18" t="str">
        <f aca="false">IF(A44="","",N(AQ43)+N(AA44))</f>
        <v/>
      </c>
      <c r="AR44" s="18" t="str">
        <f aca="false">IF(AQ44="","",MAX(0,MAX($AQ$8:AQ44))-AQ44)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3"/>
      <c r="N45" s="13"/>
      <c r="O45" s="14" t="str">
        <f aca="false">IF(OR(L45="",L45=0),"",(1-M45)/L45)</f>
        <v/>
      </c>
      <c r="P45" s="15"/>
      <c r="Q45" s="12"/>
      <c r="R45" s="12"/>
      <c r="S45" s="13"/>
      <c r="T45" s="16" t="str">
        <f aca="false">IF(OR(S45="",L45=""),"",L45/(1-M45)-S45)</f>
        <v/>
      </c>
      <c r="U45" s="16" t="str">
        <f aca="false">IF(OR(L45="",P45=""),"",L45*(P45-1)-N45)</f>
        <v/>
      </c>
      <c r="V45" s="13"/>
      <c r="W45" s="17"/>
      <c r="X45" s="12"/>
      <c r="Y45" s="12"/>
      <c r="Z45" s="12"/>
      <c r="AA45" s="18" t="str">
        <f aca="false">IF(K45&lt;&gt;"ВИРТУАЛЬНЫЙ ВЫБОР","",IF(Z45="✅ ЗАШЛО",W45*(P45-1),IF(Z45="❌ НЕ ЗАШЛО",-W45,IF(Z45="½ ЗАШЛО",W45*(P45-1)/2,IF(Z45="½ НЕ ЗАШЛО",-W45/2,IF(Z45="ВОЗВРАТ",0,""))))))</f>
        <v/>
      </c>
      <c r="AB45" s="18" t="str">
        <f aca="false">IF(AND(K45="ВИРТУАЛЬНЫЙ ВЫБОР",OR(Z45="✅ ЗАШЛО",Z45="❌ НЕ ЗАШЛО",Z45="½ ЗАШЛО",Z45="½ НЕ ЗАШЛО",Z45="ВОЗВРАТ")),W45,"")</f>
        <v/>
      </c>
      <c r="AC45" s="15"/>
      <c r="AD45" s="16" t="str">
        <f aca="false">IF(OR(AC45="",P45=""),"",P45/AC45-1)</f>
        <v/>
      </c>
      <c r="AE45" s="19" t="str">
        <f aca="false">IF(AND(M45=0,OR(Z45="✅ ЗАШЛО",Z45="❌ НЕ ЗАШЛО"),L45&lt;&gt;""),(L45-IF(Z45="✅ ЗАШЛО",1,0))^2,"")</f>
        <v/>
      </c>
      <c r="AF45" s="15"/>
      <c r="AG45" s="15"/>
      <c r="AH45" s="13"/>
      <c r="AI45" s="13"/>
      <c r="AJ45" s="13"/>
      <c r="AK45" s="20" t="str">
        <f aca="false">IF(AH45="","",IF(ABS(AH45+AI45+AJ45-1)&lt;0.000001,"OK","ОШИБКА"))</f>
        <v/>
      </c>
      <c r="AL45" s="13"/>
      <c r="AM45" s="12"/>
      <c r="AN45" s="12"/>
      <c r="AO45" s="12"/>
      <c r="AP45" s="12"/>
      <c r="AQ45" s="18" t="str">
        <f aca="false">IF(A45="","",N(AQ44)+N(AA45))</f>
        <v/>
      </c>
      <c r="AR45" s="18" t="str">
        <f aca="false">IF(AQ45="","",MAX(0,MAX($AQ$8:AQ45))-AQ45)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  <c r="M46" s="13"/>
      <c r="N46" s="13"/>
      <c r="O46" s="14" t="str">
        <f aca="false">IF(OR(L46="",L46=0),"",(1-M46)/L46)</f>
        <v/>
      </c>
      <c r="P46" s="15"/>
      <c r="Q46" s="12"/>
      <c r="R46" s="12"/>
      <c r="S46" s="13"/>
      <c r="T46" s="16" t="str">
        <f aca="false">IF(OR(S46="",L46=""),"",L46/(1-M46)-S46)</f>
        <v/>
      </c>
      <c r="U46" s="16" t="str">
        <f aca="false">IF(OR(L46="",P46=""),"",L46*(P46-1)-N46)</f>
        <v/>
      </c>
      <c r="V46" s="13"/>
      <c r="W46" s="17"/>
      <c r="X46" s="12"/>
      <c r="Y46" s="12"/>
      <c r="Z46" s="12"/>
      <c r="AA46" s="18" t="str">
        <f aca="false">IF(K46&lt;&gt;"ВИРТУАЛЬНЫЙ ВЫБОР","",IF(Z46="✅ ЗАШЛО",W46*(P46-1),IF(Z46="❌ НЕ ЗАШЛО",-W46,IF(Z46="½ ЗАШЛО",W46*(P46-1)/2,IF(Z46="½ НЕ ЗАШЛО",-W46/2,IF(Z46="ВОЗВРАТ",0,""))))))</f>
        <v/>
      </c>
      <c r="AB46" s="18" t="str">
        <f aca="false">IF(AND(K46="ВИРТУАЛЬНЫЙ ВЫБОР",OR(Z46="✅ ЗАШЛО",Z46="❌ НЕ ЗАШЛО",Z46="½ ЗАШЛО",Z46="½ НЕ ЗАШЛО",Z46="ВОЗВРАТ")),W46,"")</f>
        <v/>
      </c>
      <c r="AC46" s="15"/>
      <c r="AD46" s="16" t="str">
        <f aca="false">IF(OR(AC46="",P46=""),"",P46/AC46-1)</f>
        <v/>
      </c>
      <c r="AE46" s="19" t="str">
        <f aca="false">IF(AND(M46=0,OR(Z46="✅ ЗАШЛО",Z46="❌ НЕ ЗАШЛО"),L46&lt;&gt;""),(L46-IF(Z46="✅ ЗАШЛО",1,0))^2,"")</f>
        <v/>
      </c>
      <c r="AF46" s="15"/>
      <c r="AG46" s="15"/>
      <c r="AH46" s="13"/>
      <c r="AI46" s="13"/>
      <c r="AJ46" s="13"/>
      <c r="AK46" s="20" t="str">
        <f aca="false">IF(AH46="","",IF(ABS(AH46+AI46+AJ46-1)&lt;0.000001,"OK","ОШИБКА"))</f>
        <v/>
      </c>
      <c r="AL46" s="13"/>
      <c r="AM46" s="12"/>
      <c r="AN46" s="12"/>
      <c r="AO46" s="12"/>
      <c r="AP46" s="12"/>
      <c r="AQ46" s="18" t="str">
        <f aca="false">IF(A46="","",N(AQ45)+N(AA46))</f>
        <v/>
      </c>
      <c r="AR46" s="18" t="str">
        <f aca="false">IF(AQ46="","",MAX(0,MAX($AQ$8:AQ46))-AQ46)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3"/>
      <c r="M47" s="13"/>
      <c r="N47" s="13"/>
      <c r="O47" s="14" t="str">
        <f aca="false">IF(OR(L47="",L47=0),"",(1-M47)/L47)</f>
        <v/>
      </c>
      <c r="P47" s="15"/>
      <c r="Q47" s="12"/>
      <c r="R47" s="12"/>
      <c r="S47" s="13"/>
      <c r="T47" s="16" t="str">
        <f aca="false">IF(OR(S47="",L47=""),"",L47/(1-M47)-S47)</f>
        <v/>
      </c>
      <c r="U47" s="16" t="str">
        <f aca="false">IF(OR(L47="",P47=""),"",L47*(P47-1)-N47)</f>
        <v/>
      </c>
      <c r="V47" s="13"/>
      <c r="W47" s="17"/>
      <c r="X47" s="12"/>
      <c r="Y47" s="12"/>
      <c r="Z47" s="12"/>
      <c r="AA47" s="18" t="str">
        <f aca="false">IF(K47&lt;&gt;"ВИРТУАЛЬНЫЙ ВЫБОР","",IF(Z47="✅ ЗАШЛО",W47*(P47-1),IF(Z47="❌ НЕ ЗАШЛО",-W47,IF(Z47="½ ЗАШЛО",W47*(P47-1)/2,IF(Z47="½ НЕ ЗАШЛО",-W47/2,IF(Z47="ВОЗВРАТ",0,""))))))</f>
        <v/>
      </c>
      <c r="AB47" s="18" t="str">
        <f aca="false">IF(AND(K47="ВИРТУАЛЬНЫЙ ВЫБОР",OR(Z47="✅ ЗАШЛО",Z47="❌ НЕ ЗАШЛО",Z47="½ ЗАШЛО",Z47="½ НЕ ЗАШЛО",Z47="ВОЗВРАТ")),W47,"")</f>
        <v/>
      </c>
      <c r="AC47" s="15"/>
      <c r="AD47" s="16" t="str">
        <f aca="false">IF(OR(AC47="",P47=""),"",P47/AC47-1)</f>
        <v/>
      </c>
      <c r="AE47" s="19" t="str">
        <f aca="false">IF(AND(M47=0,OR(Z47="✅ ЗАШЛО",Z47="❌ НЕ ЗАШЛО"),L47&lt;&gt;""),(L47-IF(Z47="✅ ЗАШЛО",1,0))^2,"")</f>
        <v/>
      </c>
      <c r="AF47" s="15"/>
      <c r="AG47" s="15"/>
      <c r="AH47" s="13"/>
      <c r="AI47" s="13"/>
      <c r="AJ47" s="13"/>
      <c r="AK47" s="20" t="str">
        <f aca="false">IF(AH47="","",IF(ABS(AH47+AI47+AJ47-1)&lt;0.000001,"OK","ОШИБКА"))</f>
        <v/>
      </c>
      <c r="AL47" s="13"/>
      <c r="AM47" s="12"/>
      <c r="AN47" s="12"/>
      <c r="AO47" s="12"/>
      <c r="AP47" s="12"/>
      <c r="AQ47" s="18" t="str">
        <f aca="false">IF(A47="","",N(AQ46)+N(AA47))</f>
        <v/>
      </c>
      <c r="AR47" s="18" t="str">
        <f aca="false">IF(AQ47="","",MAX(0,MAX($AQ$8:AQ47))-AQ47)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/>
      <c r="M48" s="13"/>
      <c r="N48" s="13"/>
      <c r="O48" s="14" t="str">
        <f aca="false">IF(OR(L48="",L48=0),"",(1-M48)/L48)</f>
        <v/>
      </c>
      <c r="P48" s="15"/>
      <c r="Q48" s="12"/>
      <c r="R48" s="12"/>
      <c r="S48" s="13"/>
      <c r="T48" s="16" t="str">
        <f aca="false">IF(OR(S48="",L48=""),"",L48/(1-M48)-S48)</f>
        <v/>
      </c>
      <c r="U48" s="16" t="str">
        <f aca="false">IF(OR(L48="",P48=""),"",L48*(P48-1)-N48)</f>
        <v/>
      </c>
      <c r="V48" s="13"/>
      <c r="W48" s="17"/>
      <c r="X48" s="12"/>
      <c r="Y48" s="12"/>
      <c r="Z48" s="12"/>
      <c r="AA48" s="18" t="str">
        <f aca="false">IF(K48&lt;&gt;"ВИРТУАЛЬНЫЙ ВЫБОР","",IF(Z48="✅ ЗАШЛО",W48*(P48-1),IF(Z48="❌ НЕ ЗАШЛО",-W48,IF(Z48="½ ЗАШЛО",W48*(P48-1)/2,IF(Z48="½ НЕ ЗАШЛО",-W48/2,IF(Z48="ВОЗВРАТ",0,""))))))</f>
        <v/>
      </c>
      <c r="AB48" s="18" t="str">
        <f aca="false">IF(AND(K48="ВИРТУАЛЬНЫЙ ВЫБОР",OR(Z48="✅ ЗАШЛО",Z48="❌ НЕ ЗАШЛО",Z48="½ ЗАШЛО",Z48="½ НЕ ЗАШЛО",Z48="ВОЗВРАТ")),W48,"")</f>
        <v/>
      </c>
      <c r="AC48" s="15"/>
      <c r="AD48" s="16" t="str">
        <f aca="false">IF(OR(AC48="",P48=""),"",P48/AC48-1)</f>
        <v/>
      </c>
      <c r="AE48" s="19" t="str">
        <f aca="false">IF(AND(M48=0,OR(Z48="✅ ЗАШЛО",Z48="❌ НЕ ЗАШЛО"),L48&lt;&gt;""),(L48-IF(Z48="✅ ЗАШЛО",1,0))^2,"")</f>
        <v/>
      </c>
      <c r="AF48" s="15"/>
      <c r="AG48" s="15"/>
      <c r="AH48" s="13"/>
      <c r="AI48" s="13"/>
      <c r="AJ48" s="13"/>
      <c r="AK48" s="20" t="str">
        <f aca="false">IF(AH48="","",IF(ABS(AH48+AI48+AJ48-1)&lt;0.000001,"OK","ОШИБКА"))</f>
        <v/>
      </c>
      <c r="AL48" s="13"/>
      <c r="AM48" s="12"/>
      <c r="AN48" s="12"/>
      <c r="AO48" s="12"/>
      <c r="AP48" s="12"/>
      <c r="AQ48" s="18" t="str">
        <f aca="false">IF(A48="","",N(AQ47)+N(AA48))</f>
        <v/>
      </c>
      <c r="AR48" s="18" t="str">
        <f aca="false">IF(AQ48="","",MAX(0,MAX($AQ$8:AQ48))-AQ48)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3"/>
      <c r="M49" s="13"/>
      <c r="N49" s="13"/>
      <c r="O49" s="14" t="str">
        <f aca="false">IF(OR(L49="",L49=0),"",(1-M49)/L49)</f>
        <v/>
      </c>
      <c r="P49" s="15"/>
      <c r="Q49" s="12"/>
      <c r="R49" s="12"/>
      <c r="S49" s="13"/>
      <c r="T49" s="16" t="str">
        <f aca="false">IF(OR(S49="",L49=""),"",L49/(1-M49)-S49)</f>
        <v/>
      </c>
      <c r="U49" s="16" t="str">
        <f aca="false">IF(OR(L49="",P49=""),"",L49*(P49-1)-N49)</f>
        <v/>
      </c>
      <c r="V49" s="13"/>
      <c r="W49" s="17"/>
      <c r="X49" s="12"/>
      <c r="Y49" s="12"/>
      <c r="Z49" s="12"/>
      <c r="AA49" s="18" t="str">
        <f aca="false">IF(K49&lt;&gt;"ВИРТУАЛЬНЫЙ ВЫБОР","",IF(Z49="✅ ЗАШЛО",W49*(P49-1),IF(Z49="❌ НЕ ЗАШЛО",-W49,IF(Z49="½ ЗАШЛО",W49*(P49-1)/2,IF(Z49="½ НЕ ЗАШЛО",-W49/2,IF(Z49="ВОЗВРАТ",0,""))))))</f>
        <v/>
      </c>
      <c r="AB49" s="18" t="str">
        <f aca="false">IF(AND(K49="ВИРТУАЛЬНЫЙ ВЫБОР",OR(Z49="✅ ЗАШЛО",Z49="❌ НЕ ЗАШЛО",Z49="½ ЗАШЛО",Z49="½ НЕ ЗАШЛО",Z49="ВОЗВРАТ")),W49,"")</f>
        <v/>
      </c>
      <c r="AC49" s="15"/>
      <c r="AD49" s="16" t="str">
        <f aca="false">IF(OR(AC49="",P49=""),"",P49/AC49-1)</f>
        <v/>
      </c>
      <c r="AE49" s="19" t="str">
        <f aca="false">IF(AND(M49=0,OR(Z49="✅ ЗАШЛО",Z49="❌ НЕ ЗАШЛО"),L49&lt;&gt;""),(L49-IF(Z49="✅ ЗАШЛО",1,0))^2,"")</f>
        <v/>
      </c>
      <c r="AF49" s="15"/>
      <c r="AG49" s="15"/>
      <c r="AH49" s="13"/>
      <c r="AI49" s="13"/>
      <c r="AJ49" s="13"/>
      <c r="AK49" s="20" t="str">
        <f aca="false">IF(AH49="","",IF(ABS(AH49+AI49+AJ49-1)&lt;0.000001,"OK","ОШИБКА"))</f>
        <v/>
      </c>
      <c r="AL49" s="13"/>
      <c r="AM49" s="12"/>
      <c r="AN49" s="12"/>
      <c r="AO49" s="12"/>
      <c r="AP49" s="12"/>
      <c r="AQ49" s="18" t="str">
        <f aca="false">IF(A49="","",N(AQ48)+N(AA49))</f>
        <v/>
      </c>
      <c r="AR49" s="18" t="str">
        <f aca="false">IF(AQ49="","",MAX(0,MAX($AQ$8:AQ49))-AQ49)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/>
      <c r="M50" s="13"/>
      <c r="N50" s="13"/>
      <c r="O50" s="14" t="str">
        <f aca="false">IF(OR(L50="",L50=0),"",(1-M50)/L50)</f>
        <v/>
      </c>
      <c r="P50" s="15"/>
      <c r="Q50" s="12"/>
      <c r="R50" s="12"/>
      <c r="S50" s="13"/>
      <c r="T50" s="16" t="str">
        <f aca="false">IF(OR(S50="",L50=""),"",L50/(1-M50)-S50)</f>
        <v/>
      </c>
      <c r="U50" s="16" t="str">
        <f aca="false">IF(OR(L50="",P50=""),"",L50*(P50-1)-N50)</f>
        <v/>
      </c>
      <c r="V50" s="13"/>
      <c r="W50" s="17"/>
      <c r="X50" s="12"/>
      <c r="Y50" s="12"/>
      <c r="Z50" s="12"/>
      <c r="AA50" s="18" t="str">
        <f aca="false">IF(K50&lt;&gt;"ВИРТУАЛЬНЫЙ ВЫБОР","",IF(Z50="✅ ЗАШЛО",W50*(P50-1),IF(Z50="❌ НЕ ЗАШЛО",-W50,IF(Z50="½ ЗАШЛО",W50*(P50-1)/2,IF(Z50="½ НЕ ЗАШЛО",-W50/2,IF(Z50="ВОЗВРАТ",0,""))))))</f>
        <v/>
      </c>
      <c r="AB50" s="18" t="str">
        <f aca="false">IF(AND(K50="ВИРТУАЛЬНЫЙ ВЫБОР",OR(Z50="✅ ЗАШЛО",Z50="❌ НЕ ЗАШЛО",Z50="½ ЗАШЛО",Z50="½ НЕ ЗАШЛО",Z50="ВОЗВРАТ")),W50,"")</f>
        <v/>
      </c>
      <c r="AC50" s="15"/>
      <c r="AD50" s="16" t="str">
        <f aca="false">IF(OR(AC50="",P50=""),"",P50/AC50-1)</f>
        <v/>
      </c>
      <c r="AE50" s="19" t="str">
        <f aca="false">IF(AND(M50=0,OR(Z50="✅ ЗАШЛО",Z50="❌ НЕ ЗАШЛО"),L50&lt;&gt;""),(L50-IF(Z50="✅ ЗАШЛО",1,0))^2,"")</f>
        <v/>
      </c>
      <c r="AF50" s="15"/>
      <c r="AG50" s="15"/>
      <c r="AH50" s="13"/>
      <c r="AI50" s="13"/>
      <c r="AJ50" s="13"/>
      <c r="AK50" s="20" t="str">
        <f aca="false">IF(AH50="","",IF(ABS(AH50+AI50+AJ50-1)&lt;0.000001,"OK","ОШИБКА"))</f>
        <v/>
      </c>
      <c r="AL50" s="13"/>
      <c r="AM50" s="12"/>
      <c r="AN50" s="12"/>
      <c r="AO50" s="12"/>
      <c r="AP50" s="12"/>
      <c r="AQ50" s="18" t="str">
        <f aca="false">IF(A50="","",N(AQ49)+N(AA50))</f>
        <v/>
      </c>
      <c r="AR50" s="18" t="str">
        <f aca="false">IF(AQ50="","",MAX(0,MAX($AQ$8:AQ50))-AQ50)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3"/>
      <c r="M51" s="13"/>
      <c r="N51" s="13"/>
      <c r="O51" s="14" t="str">
        <f aca="false">IF(OR(L51="",L51=0),"",(1-M51)/L51)</f>
        <v/>
      </c>
      <c r="P51" s="15"/>
      <c r="Q51" s="12"/>
      <c r="R51" s="12"/>
      <c r="S51" s="13"/>
      <c r="T51" s="16" t="str">
        <f aca="false">IF(OR(S51="",L51=""),"",L51/(1-M51)-S51)</f>
        <v/>
      </c>
      <c r="U51" s="16" t="str">
        <f aca="false">IF(OR(L51="",P51=""),"",L51*(P51-1)-N51)</f>
        <v/>
      </c>
      <c r="V51" s="13"/>
      <c r="W51" s="17"/>
      <c r="X51" s="12"/>
      <c r="Y51" s="12"/>
      <c r="Z51" s="12"/>
      <c r="AA51" s="18" t="str">
        <f aca="false">IF(K51&lt;&gt;"ВИРТУАЛЬНЫЙ ВЫБОР","",IF(Z51="✅ ЗАШЛО",W51*(P51-1),IF(Z51="❌ НЕ ЗАШЛО",-W51,IF(Z51="½ ЗАШЛО",W51*(P51-1)/2,IF(Z51="½ НЕ ЗАШЛО",-W51/2,IF(Z51="ВОЗВРАТ",0,""))))))</f>
        <v/>
      </c>
      <c r="AB51" s="18" t="str">
        <f aca="false">IF(AND(K51="ВИРТУАЛЬНЫЙ ВЫБОР",OR(Z51="✅ ЗАШЛО",Z51="❌ НЕ ЗАШЛО",Z51="½ ЗАШЛО",Z51="½ НЕ ЗАШЛО",Z51="ВОЗВРАТ")),W51,"")</f>
        <v/>
      </c>
      <c r="AC51" s="15"/>
      <c r="AD51" s="16" t="str">
        <f aca="false">IF(OR(AC51="",P51=""),"",P51/AC51-1)</f>
        <v/>
      </c>
      <c r="AE51" s="19" t="str">
        <f aca="false">IF(AND(M51=0,OR(Z51="✅ ЗАШЛО",Z51="❌ НЕ ЗАШЛО"),L51&lt;&gt;""),(L51-IF(Z51="✅ ЗАШЛО",1,0))^2,"")</f>
        <v/>
      </c>
      <c r="AF51" s="15"/>
      <c r="AG51" s="15"/>
      <c r="AH51" s="13"/>
      <c r="AI51" s="13"/>
      <c r="AJ51" s="13"/>
      <c r="AK51" s="20" t="str">
        <f aca="false">IF(AH51="","",IF(ABS(AH51+AI51+AJ51-1)&lt;0.000001,"OK","ОШИБКА"))</f>
        <v/>
      </c>
      <c r="AL51" s="13"/>
      <c r="AM51" s="12"/>
      <c r="AN51" s="12"/>
      <c r="AO51" s="12"/>
      <c r="AP51" s="12"/>
      <c r="AQ51" s="18" t="str">
        <f aca="false">IF(A51="","",N(AQ50)+N(AA51))</f>
        <v/>
      </c>
      <c r="AR51" s="18" t="str">
        <f aca="false">IF(AQ51="","",MAX(0,MAX($AQ$8:AQ51))-AQ51)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3"/>
      <c r="M52" s="13"/>
      <c r="N52" s="13"/>
      <c r="O52" s="14" t="str">
        <f aca="false">IF(OR(L52="",L52=0),"",(1-M52)/L52)</f>
        <v/>
      </c>
      <c r="P52" s="15"/>
      <c r="Q52" s="12"/>
      <c r="R52" s="12"/>
      <c r="S52" s="13"/>
      <c r="T52" s="16" t="str">
        <f aca="false">IF(OR(S52="",L52=""),"",L52/(1-M52)-S52)</f>
        <v/>
      </c>
      <c r="U52" s="16" t="str">
        <f aca="false">IF(OR(L52="",P52=""),"",L52*(P52-1)-N52)</f>
        <v/>
      </c>
      <c r="V52" s="13"/>
      <c r="W52" s="17"/>
      <c r="X52" s="12"/>
      <c r="Y52" s="12"/>
      <c r="Z52" s="12"/>
      <c r="AA52" s="18" t="str">
        <f aca="false">IF(K52&lt;&gt;"ВИРТУАЛЬНЫЙ ВЫБОР","",IF(Z52="✅ ЗАШЛО",W52*(P52-1),IF(Z52="❌ НЕ ЗАШЛО",-W52,IF(Z52="½ ЗАШЛО",W52*(P52-1)/2,IF(Z52="½ НЕ ЗАШЛО",-W52/2,IF(Z52="ВОЗВРАТ",0,""))))))</f>
        <v/>
      </c>
      <c r="AB52" s="18" t="str">
        <f aca="false">IF(AND(K52="ВИРТУАЛЬНЫЙ ВЫБОР",OR(Z52="✅ ЗАШЛО",Z52="❌ НЕ ЗАШЛО",Z52="½ ЗАШЛО",Z52="½ НЕ ЗАШЛО",Z52="ВОЗВРАТ")),W52,"")</f>
        <v/>
      </c>
      <c r="AC52" s="15"/>
      <c r="AD52" s="16" t="str">
        <f aca="false">IF(OR(AC52="",P52=""),"",P52/AC52-1)</f>
        <v/>
      </c>
      <c r="AE52" s="19" t="str">
        <f aca="false">IF(AND(M52=0,OR(Z52="✅ ЗАШЛО",Z52="❌ НЕ ЗАШЛО"),L52&lt;&gt;""),(L52-IF(Z52="✅ ЗАШЛО",1,0))^2,"")</f>
        <v/>
      </c>
      <c r="AF52" s="15"/>
      <c r="AG52" s="15"/>
      <c r="AH52" s="13"/>
      <c r="AI52" s="13"/>
      <c r="AJ52" s="13"/>
      <c r="AK52" s="20" t="str">
        <f aca="false">IF(AH52="","",IF(ABS(AH52+AI52+AJ52-1)&lt;0.000001,"OK","ОШИБКА"))</f>
        <v/>
      </c>
      <c r="AL52" s="13"/>
      <c r="AM52" s="12"/>
      <c r="AN52" s="12"/>
      <c r="AO52" s="12"/>
      <c r="AP52" s="12"/>
      <c r="AQ52" s="18" t="str">
        <f aca="false">IF(A52="","",N(AQ51)+N(AA52))</f>
        <v/>
      </c>
      <c r="AR52" s="18" t="str">
        <f aca="false">IF(AQ52="","",MAX(0,MAX($AQ$8:AQ52))-AQ52)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3"/>
      <c r="M53" s="13"/>
      <c r="N53" s="13"/>
      <c r="O53" s="14" t="str">
        <f aca="false">IF(OR(L53="",L53=0),"",(1-M53)/L53)</f>
        <v/>
      </c>
      <c r="P53" s="15"/>
      <c r="Q53" s="12"/>
      <c r="R53" s="12"/>
      <c r="S53" s="13"/>
      <c r="T53" s="16" t="str">
        <f aca="false">IF(OR(S53="",L53=""),"",L53/(1-M53)-S53)</f>
        <v/>
      </c>
      <c r="U53" s="16" t="str">
        <f aca="false">IF(OR(L53="",P53=""),"",L53*(P53-1)-N53)</f>
        <v/>
      </c>
      <c r="V53" s="13"/>
      <c r="W53" s="17"/>
      <c r="X53" s="12"/>
      <c r="Y53" s="12"/>
      <c r="Z53" s="12"/>
      <c r="AA53" s="18" t="str">
        <f aca="false">IF(K53&lt;&gt;"ВИРТУАЛЬНЫЙ ВЫБОР","",IF(Z53="✅ ЗАШЛО",W53*(P53-1),IF(Z53="❌ НЕ ЗАШЛО",-W53,IF(Z53="½ ЗАШЛО",W53*(P53-1)/2,IF(Z53="½ НЕ ЗАШЛО",-W53/2,IF(Z53="ВОЗВРАТ",0,""))))))</f>
        <v/>
      </c>
      <c r="AB53" s="18" t="str">
        <f aca="false">IF(AND(K53="ВИРТУАЛЬНЫЙ ВЫБОР",OR(Z53="✅ ЗАШЛО",Z53="❌ НЕ ЗАШЛО",Z53="½ ЗАШЛО",Z53="½ НЕ ЗАШЛО",Z53="ВОЗВРАТ")),W53,"")</f>
        <v/>
      </c>
      <c r="AC53" s="15"/>
      <c r="AD53" s="16" t="str">
        <f aca="false">IF(OR(AC53="",P53=""),"",P53/AC53-1)</f>
        <v/>
      </c>
      <c r="AE53" s="19" t="str">
        <f aca="false">IF(AND(M53=0,OR(Z53="✅ ЗАШЛО",Z53="❌ НЕ ЗАШЛО"),L53&lt;&gt;""),(L53-IF(Z53="✅ ЗАШЛО",1,0))^2,"")</f>
        <v/>
      </c>
      <c r="AF53" s="15"/>
      <c r="AG53" s="15"/>
      <c r="AH53" s="13"/>
      <c r="AI53" s="13"/>
      <c r="AJ53" s="13"/>
      <c r="AK53" s="20" t="str">
        <f aca="false">IF(AH53="","",IF(ABS(AH53+AI53+AJ53-1)&lt;0.000001,"OK","ОШИБКА"))</f>
        <v/>
      </c>
      <c r="AL53" s="13"/>
      <c r="AM53" s="12"/>
      <c r="AN53" s="12"/>
      <c r="AO53" s="12"/>
      <c r="AP53" s="12"/>
      <c r="AQ53" s="18" t="str">
        <f aca="false">IF(A53="","",N(AQ52)+N(AA53))</f>
        <v/>
      </c>
      <c r="AR53" s="18" t="str">
        <f aca="false">IF(AQ53="","",MAX(0,MAX($AQ$8:AQ53))-AQ53)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/>
      <c r="M54" s="13"/>
      <c r="N54" s="13"/>
      <c r="O54" s="14" t="str">
        <f aca="false">IF(OR(L54="",L54=0),"",(1-M54)/L54)</f>
        <v/>
      </c>
      <c r="P54" s="15"/>
      <c r="Q54" s="12"/>
      <c r="R54" s="12"/>
      <c r="S54" s="13"/>
      <c r="T54" s="16" t="str">
        <f aca="false">IF(OR(S54="",L54=""),"",L54/(1-M54)-S54)</f>
        <v/>
      </c>
      <c r="U54" s="16" t="str">
        <f aca="false">IF(OR(L54="",P54=""),"",L54*(P54-1)-N54)</f>
        <v/>
      </c>
      <c r="V54" s="13"/>
      <c r="W54" s="17"/>
      <c r="X54" s="12"/>
      <c r="Y54" s="12"/>
      <c r="Z54" s="12"/>
      <c r="AA54" s="18" t="str">
        <f aca="false">IF(K54&lt;&gt;"ВИРТУАЛЬНЫЙ ВЫБОР","",IF(Z54="✅ ЗАШЛО",W54*(P54-1),IF(Z54="❌ НЕ ЗАШЛО",-W54,IF(Z54="½ ЗАШЛО",W54*(P54-1)/2,IF(Z54="½ НЕ ЗАШЛО",-W54/2,IF(Z54="ВОЗВРАТ",0,""))))))</f>
        <v/>
      </c>
      <c r="AB54" s="18" t="str">
        <f aca="false">IF(AND(K54="ВИРТУАЛЬНЫЙ ВЫБОР",OR(Z54="✅ ЗАШЛО",Z54="❌ НЕ ЗАШЛО",Z54="½ ЗАШЛО",Z54="½ НЕ ЗАШЛО",Z54="ВОЗВРАТ")),W54,"")</f>
        <v/>
      </c>
      <c r="AC54" s="15"/>
      <c r="AD54" s="16" t="str">
        <f aca="false">IF(OR(AC54="",P54=""),"",P54/AC54-1)</f>
        <v/>
      </c>
      <c r="AE54" s="19" t="str">
        <f aca="false">IF(AND(M54=0,OR(Z54="✅ ЗАШЛО",Z54="❌ НЕ ЗАШЛО"),L54&lt;&gt;""),(L54-IF(Z54="✅ ЗАШЛО",1,0))^2,"")</f>
        <v/>
      </c>
      <c r="AF54" s="15"/>
      <c r="AG54" s="15"/>
      <c r="AH54" s="13"/>
      <c r="AI54" s="13"/>
      <c r="AJ54" s="13"/>
      <c r="AK54" s="20" t="str">
        <f aca="false">IF(AH54="","",IF(ABS(AH54+AI54+AJ54-1)&lt;0.000001,"OK","ОШИБКА"))</f>
        <v/>
      </c>
      <c r="AL54" s="13"/>
      <c r="AM54" s="12"/>
      <c r="AN54" s="12"/>
      <c r="AO54" s="12"/>
      <c r="AP54" s="12"/>
      <c r="AQ54" s="18" t="str">
        <f aca="false">IF(A54="","",N(AQ53)+N(AA54))</f>
        <v/>
      </c>
      <c r="AR54" s="18" t="str">
        <f aca="false">IF(AQ54="","",MAX(0,MAX($AQ$8:AQ54))-AQ54)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3"/>
      <c r="M55" s="13"/>
      <c r="N55" s="13"/>
      <c r="O55" s="14" t="str">
        <f aca="false">IF(OR(L55="",L55=0),"",(1-M55)/L55)</f>
        <v/>
      </c>
      <c r="P55" s="15"/>
      <c r="Q55" s="12"/>
      <c r="R55" s="12"/>
      <c r="S55" s="13"/>
      <c r="T55" s="16" t="str">
        <f aca="false">IF(OR(S55="",L55=""),"",L55/(1-M55)-S55)</f>
        <v/>
      </c>
      <c r="U55" s="16" t="str">
        <f aca="false">IF(OR(L55="",P55=""),"",L55*(P55-1)-N55)</f>
        <v/>
      </c>
      <c r="V55" s="13"/>
      <c r="W55" s="17"/>
      <c r="X55" s="12"/>
      <c r="Y55" s="12"/>
      <c r="Z55" s="12"/>
      <c r="AA55" s="18" t="str">
        <f aca="false">IF(K55&lt;&gt;"ВИРТУАЛЬНЫЙ ВЫБОР","",IF(Z55="✅ ЗАШЛО",W55*(P55-1),IF(Z55="❌ НЕ ЗАШЛО",-W55,IF(Z55="½ ЗАШЛО",W55*(P55-1)/2,IF(Z55="½ НЕ ЗАШЛО",-W55/2,IF(Z55="ВОЗВРАТ",0,""))))))</f>
        <v/>
      </c>
      <c r="AB55" s="18" t="str">
        <f aca="false">IF(AND(K55="ВИРТУАЛЬНЫЙ ВЫБОР",OR(Z55="✅ ЗАШЛО",Z55="❌ НЕ ЗАШЛО",Z55="½ ЗАШЛО",Z55="½ НЕ ЗАШЛО",Z55="ВОЗВРАТ")),W55,"")</f>
        <v/>
      </c>
      <c r="AC55" s="15"/>
      <c r="AD55" s="16" t="str">
        <f aca="false">IF(OR(AC55="",P55=""),"",P55/AC55-1)</f>
        <v/>
      </c>
      <c r="AE55" s="19" t="str">
        <f aca="false">IF(AND(M55=0,OR(Z55="✅ ЗАШЛО",Z55="❌ НЕ ЗАШЛО"),L55&lt;&gt;""),(L55-IF(Z55="✅ ЗАШЛО",1,0))^2,"")</f>
        <v/>
      </c>
      <c r="AF55" s="15"/>
      <c r="AG55" s="15"/>
      <c r="AH55" s="13"/>
      <c r="AI55" s="13"/>
      <c r="AJ55" s="13"/>
      <c r="AK55" s="20" t="str">
        <f aca="false">IF(AH55="","",IF(ABS(AH55+AI55+AJ55-1)&lt;0.000001,"OK","ОШИБКА"))</f>
        <v/>
      </c>
      <c r="AL55" s="13"/>
      <c r="AM55" s="12"/>
      <c r="AN55" s="12"/>
      <c r="AO55" s="12"/>
      <c r="AP55" s="12"/>
      <c r="AQ55" s="18" t="str">
        <f aca="false">IF(A55="","",N(AQ54)+N(AA55))</f>
        <v/>
      </c>
      <c r="AR55" s="18" t="str">
        <f aca="false">IF(AQ55="","",MAX(0,MAX($AQ$8:AQ55))-AQ55)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3"/>
      <c r="N56" s="13"/>
      <c r="O56" s="14" t="str">
        <f aca="false">IF(OR(L56="",L56=0),"",(1-M56)/L56)</f>
        <v/>
      </c>
      <c r="P56" s="15"/>
      <c r="Q56" s="12"/>
      <c r="R56" s="12"/>
      <c r="S56" s="13"/>
      <c r="T56" s="16" t="str">
        <f aca="false">IF(OR(S56="",L56=""),"",L56/(1-M56)-S56)</f>
        <v/>
      </c>
      <c r="U56" s="16" t="str">
        <f aca="false">IF(OR(L56="",P56=""),"",L56*(P56-1)-N56)</f>
        <v/>
      </c>
      <c r="V56" s="13"/>
      <c r="W56" s="17"/>
      <c r="X56" s="12"/>
      <c r="Y56" s="12"/>
      <c r="Z56" s="12"/>
      <c r="AA56" s="18" t="str">
        <f aca="false">IF(K56&lt;&gt;"ВИРТУАЛЬНЫЙ ВЫБОР","",IF(Z56="✅ ЗАШЛО",W56*(P56-1),IF(Z56="❌ НЕ ЗАШЛО",-W56,IF(Z56="½ ЗАШЛО",W56*(P56-1)/2,IF(Z56="½ НЕ ЗАШЛО",-W56/2,IF(Z56="ВОЗВРАТ",0,""))))))</f>
        <v/>
      </c>
      <c r="AB56" s="18" t="str">
        <f aca="false">IF(AND(K56="ВИРТУАЛЬНЫЙ ВЫБОР",OR(Z56="✅ ЗАШЛО",Z56="❌ НЕ ЗАШЛО",Z56="½ ЗАШЛО",Z56="½ НЕ ЗАШЛО",Z56="ВОЗВРАТ")),W56,"")</f>
        <v/>
      </c>
      <c r="AC56" s="15"/>
      <c r="AD56" s="16" t="str">
        <f aca="false">IF(OR(AC56="",P56=""),"",P56/AC56-1)</f>
        <v/>
      </c>
      <c r="AE56" s="19" t="str">
        <f aca="false">IF(AND(M56=0,OR(Z56="✅ ЗАШЛО",Z56="❌ НЕ ЗАШЛО"),L56&lt;&gt;""),(L56-IF(Z56="✅ ЗАШЛО",1,0))^2,"")</f>
        <v/>
      </c>
      <c r="AF56" s="15"/>
      <c r="AG56" s="15"/>
      <c r="AH56" s="13"/>
      <c r="AI56" s="13"/>
      <c r="AJ56" s="13"/>
      <c r="AK56" s="20" t="str">
        <f aca="false">IF(AH56="","",IF(ABS(AH56+AI56+AJ56-1)&lt;0.000001,"OK","ОШИБКА"))</f>
        <v/>
      </c>
      <c r="AL56" s="13"/>
      <c r="AM56" s="12"/>
      <c r="AN56" s="12"/>
      <c r="AO56" s="12"/>
      <c r="AP56" s="12"/>
      <c r="AQ56" s="18" t="str">
        <f aca="false">IF(A56="","",N(AQ55)+N(AA56))</f>
        <v/>
      </c>
      <c r="AR56" s="18" t="str">
        <f aca="false">IF(AQ56="","",MAX(0,MAX($AQ$8:AQ56))-AQ56)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3"/>
      <c r="N57" s="13"/>
      <c r="O57" s="14" t="str">
        <f aca="false">IF(OR(L57="",L57=0),"",(1-M57)/L57)</f>
        <v/>
      </c>
      <c r="P57" s="15"/>
      <c r="Q57" s="12"/>
      <c r="R57" s="12"/>
      <c r="S57" s="13"/>
      <c r="T57" s="16" t="str">
        <f aca="false">IF(OR(S57="",L57=""),"",L57/(1-M57)-S57)</f>
        <v/>
      </c>
      <c r="U57" s="16" t="str">
        <f aca="false">IF(OR(L57="",P57=""),"",L57*(P57-1)-N57)</f>
        <v/>
      </c>
      <c r="V57" s="13"/>
      <c r="W57" s="17"/>
      <c r="X57" s="12"/>
      <c r="Y57" s="12"/>
      <c r="Z57" s="12"/>
      <c r="AA57" s="18" t="str">
        <f aca="false">IF(K57&lt;&gt;"ВИРТУАЛЬНЫЙ ВЫБОР","",IF(Z57="✅ ЗАШЛО",W57*(P57-1),IF(Z57="❌ НЕ ЗАШЛО",-W57,IF(Z57="½ ЗАШЛО",W57*(P57-1)/2,IF(Z57="½ НЕ ЗАШЛО",-W57/2,IF(Z57="ВОЗВРАТ",0,""))))))</f>
        <v/>
      </c>
      <c r="AB57" s="18" t="str">
        <f aca="false">IF(AND(K57="ВИРТУАЛЬНЫЙ ВЫБОР",OR(Z57="✅ ЗАШЛО",Z57="❌ НЕ ЗАШЛО",Z57="½ ЗАШЛО",Z57="½ НЕ ЗАШЛО",Z57="ВОЗВРАТ")),W57,"")</f>
        <v/>
      </c>
      <c r="AC57" s="15"/>
      <c r="AD57" s="16" t="str">
        <f aca="false">IF(OR(AC57="",P57=""),"",P57/AC57-1)</f>
        <v/>
      </c>
      <c r="AE57" s="19" t="str">
        <f aca="false">IF(AND(M57=0,OR(Z57="✅ ЗАШЛО",Z57="❌ НЕ ЗАШЛО"),L57&lt;&gt;""),(L57-IF(Z57="✅ ЗАШЛО",1,0))^2,"")</f>
        <v/>
      </c>
      <c r="AF57" s="15"/>
      <c r="AG57" s="15"/>
      <c r="AH57" s="13"/>
      <c r="AI57" s="13"/>
      <c r="AJ57" s="13"/>
      <c r="AK57" s="20" t="str">
        <f aca="false">IF(AH57="","",IF(ABS(AH57+AI57+AJ57-1)&lt;0.000001,"OK","ОШИБКА"))</f>
        <v/>
      </c>
      <c r="AL57" s="13"/>
      <c r="AM57" s="12"/>
      <c r="AN57" s="12"/>
      <c r="AO57" s="12"/>
      <c r="AP57" s="12"/>
      <c r="AQ57" s="18" t="str">
        <f aca="false">IF(A57="","",N(AQ56)+N(AA57))</f>
        <v/>
      </c>
      <c r="AR57" s="18" t="str">
        <f aca="false">IF(AQ57="","",MAX(0,MAX($AQ$8:AQ57))-AQ57)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3"/>
      <c r="N58" s="13"/>
      <c r="O58" s="14" t="str">
        <f aca="false">IF(OR(L58="",L58=0),"",(1-M58)/L58)</f>
        <v/>
      </c>
      <c r="P58" s="15"/>
      <c r="Q58" s="12"/>
      <c r="R58" s="12"/>
      <c r="S58" s="13"/>
      <c r="T58" s="16" t="str">
        <f aca="false">IF(OR(S58="",L58=""),"",L58/(1-M58)-S58)</f>
        <v/>
      </c>
      <c r="U58" s="16" t="str">
        <f aca="false">IF(OR(L58="",P58=""),"",L58*(P58-1)-N58)</f>
        <v/>
      </c>
      <c r="V58" s="13"/>
      <c r="W58" s="17"/>
      <c r="X58" s="12"/>
      <c r="Y58" s="12"/>
      <c r="Z58" s="12"/>
      <c r="AA58" s="18" t="str">
        <f aca="false">IF(K58&lt;&gt;"ВИРТУАЛЬНЫЙ ВЫБОР","",IF(Z58="✅ ЗАШЛО",W58*(P58-1),IF(Z58="❌ НЕ ЗАШЛО",-W58,IF(Z58="½ ЗАШЛО",W58*(P58-1)/2,IF(Z58="½ НЕ ЗАШЛО",-W58/2,IF(Z58="ВОЗВРАТ",0,""))))))</f>
        <v/>
      </c>
      <c r="AB58" s="18" t="str">
        <f aca="false">IF(AND(K58="ВИРТУАЛЬНЫЙ ВЫБОР",OR(Z58="✅ ЗАШЛО",Z58="❌ НЕ ЗАШЛО",Z58="½ ЗАШЛО",Z58="½ НЕ ЗАШЛО",Z58="ВОЗВРАТ")),W58,"")</f>
        <v/>
      </c>
      <c r="AC58" s="15"/>
      <c r="AD58" s="16" t="str">
        <f aca="false">IF(OR(AC58="",P58=""),"",P58/AC58-1)</f>
        <v/>
      </c>
      <c r="AE58" s="19" t="str">
        <f aca="false">IF(AND(M58=0,OR(Z58="✅ ЗАШЛО",Z58="❌ НЕ ЗАШЛО"),L58&lt;&gt;""),(L58-IF(Z58="✅ ЗАШЛО",1,0))^2,"")</f>
        <v/>
      </c>
      <c r="AF58" s="15"/>
      <c r="AG58" s="15"/>
      <c r="AH58" s="13"/>
      <c r="AI58" s="13"/>
      <c r="AJ58" s="13"/>
      <c r="AK58" s="20" t="str">
        <f aca="false">IF(AH58="","",IF(ABS(AH58+AI58+AJ58-1)&lt;0.000001,"OK","ОШИБКА"))</f>
        <v/>
      </c>
      <c r="AL58" s="13"/>
      <c r="AM58" s="12"/>
      <c r="AN58" s="12"/>
      <c r="AO58" s="12"/>
      <c r="AP58" s="12"/>
      <c r="AQ58" s="18" t="str">
        <f aca="false">IF(A58="","",N(AQ57)+N(AA58))</f>
        <v/>
      </c>
      <c r="AR58" s="18" t="str">
        <f aca="false">IF(AQ58="","",MAX(0,MAX($AQ$8:AQ58))-AQ58)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3"/>
      <c r="N59" s="13"/>
      <c r="O59" s="14" t="str">
        <f aca="false">IF(OR(L59="",L59=0),"",(1-M59)/L59)</f>
        <v/>
      </c>
      <c r="P59" s="15"/>
      <c r="Q59" s="12"/>
      <c r="R59" s="12"/>
      <c r="S59" s="13"/>
      <c r="T59" s="16" t="str">
        <f aca="false">IF(OR(S59="",L59=""),"",L59/(1-M59)-S59)</f>
        <v/>
      </c>
      <c r="U59" s="16" t="str">
        <f aca="false">IF(OR(L59="",P59=""),"",L59*(P59-1)-N59)</f>
        <v/>
      </c>
      <c r="V59" s="13"/>
      <c r="W59" s="17"/>
      <c r="X59" s="12"/>
      <c r="Y59" s="12"/>
      <c r="Z59" s="12"/>
      <c r="AA59" s="18" t="str">
        <f aca="false">IF(K59&lt;&gt;"ВИРТУАЛЬНЫЙ ВЫБОР","",IF(Z59="✅ ЗАШЛО",W59*(P59-1),IF(Z59="❌ НЕ ЗАШЛО",-W59,IF(Z59="½ ЗАШЛО",W59*(P59-1)/2,IF(Z59="½ НЕ ЗАШЛО",-W59/2,IF(Z59="ВОЗВРАТ",0,""))))))</f>
        <v/>
      </c>
      <c r="AB59" s="18" t="str">
        <f aca="false">IF(AND(K59="ВИРТУАЛЬНЫЙ ВЫБОР",OR(Z59="✅ ЗАШЛО",Z59="❌ НЕ ЗАШЛО",Z59="½ ЗАШЛО",Z59="½ НЕ ЗАШЛО",Z59="ВОЗВРАТ")),W59,"")</f>
        <v/>
      </c>
      <c r="AC59" s="15"/>
      <c r="AD59" s="16" t="str">
        <f aca="false">IF(OR(AC59="",P59=""),"",P59/AC59-1)</f>
        <v/>
      </c>
      <c r="AE59" s="19" t="str">
        <f aca="false">IF(AND(M59=0,OR(Z59="✅ ЗАШЛО",Z59="❌ НЕ ЗАШЛО"),L59&lt;&gt;""),(L59-IF(Z59="✅ ЗАШЛО",1,0))^2,"")</f>
        <v/>
      </c>
      <c r="AF59" s="15"/>
      <c r="AG59" s="15"/>
      <c r="AH59" s="13"/>
      <c r="AI59" s="13"/>
      <c r="AJ59" s="13"/>
      <c r="AK59" s="20" t="str">
        <f aca="false">IF(AH59="","",IF(ABS(AH59+AI59+AJ59-1)&lt;0.000001,"OK","ОШИБКА"))</f>
        <v/>
      </c>
      <c r="AL59" s="13"/>
      <c r="AM59" s="12"/>
      <c r="AN59" s="12"/>
      <c r="AO59" s="12"/>
      <c r="AP59" s="12"/>
      <c r="AQ59" s="18" t="str">
        <f aca="false">IF(A59="","",N(AQ58)+N(AA59))</f>
        <v/>
      </c>
      <c r="AR59" s="18" t="str">
        <f aca="false">IF(AQ59="","",MAX(0,MAX($AQ$8:AQ59))-AQ59)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13"/>
      <c r="N60" s="13"/>
      <c r="O60" s="14" t="str">
        <f aca="false">IF(OR(L60="",L60=0),"",(1-M60)/L60)</f>
        <v/>
      </c>
      <c r="P60" s="15"/>
      <c r="Q60" s="12"/>
      <c r="R60" s="12"/>
      <c r="S60" s="13"/>
      <c r="T60" s="16" t="str">
        <f aca="false">IF(OR(S60="",L60=""),"",L60/(1-M60)-S60)</f>
        <v/>
      </c>
      <c r="U60" s="16" t="str">
        <f aca="false">IF(OR(L60="",P60=""),"",L60*(P60-1)-N60)</f>
        <v/>
      </c>
      <c r="V60" s="13"/>
      <c r="W60" s="17"/>
      <c r="X60" s="12"/>
      <c r="Y60" s="12"/>
      <c r="Z60" s="12"/>
      <c r="AA60" s="18" t="str">
        <f aca="false">IF(K60&lt;&gt;"ВИРТУАЛЬНЫЙ ВЫБОР","",IF(Z60="✅ ЗАШЛО",W60*(P60-1),IF(Z60="❌ НЕ ЗАШЛО",-W60,IF(Z60="½ ЗАШЛО",W60*(P60-1)/2,IF(Z60="½ НЕ ЗАШЛО",-W60/2,IF(Z60="ВОЗВРАТ",0,""))))))</f>
        <v/>
      </c>
      <c r="AB60" s="18" t="str">
        <f aca="false">IF(AND(K60="ВИРТУАЛЬНЫЙ ВЫБОР",OR(Z60="✅ ЗАШЛО",Z60="❌ НЕ ЗАШЛО",Z60="½ ЗАШЛО",Z60="½ НЕ ЗАШЛО",Z60="ВОЗВРАТ")),W60,"")</f>
        <v/>
      </c>
      <c r="AC60" s="15"/>
      <c r="AD60" s="16" t="str">
        <f aca="false">IF(OR(AC60="",P60=""),"",P60/AC60-1)</f>
        <v/>
      </c>
      <c r="AE60" s="19" t="str">
        <f aca="false">IF(AND(M60=0,OR(Z60="✅ ЗАШЛО",Z60="❌ НЕ ЗАШЛО"),L60&lt;&gt;""),(L60-IF(Z60="✅ ЗАШЛО",1,0))^2,"")</f>
        <v/>
      </c>
      <c r="AF60" s="15"/>
      <c r="AG60" s="15"/>
      <c r="AH60" s="13"/>
      <c r="AI60" s="13"/>
      <c r="AJ60" s="13"/>
      <c r="AK60" s="20" t="str">
        <f aca="false">IF(AH60="","",IF(ABS(AH60+AI60+AJ60-1)&lt;0.000001,"OK","ОШИБКА"))</f>
        <v/>
      </c>
      <c r="AL60" s="13"/>
      <c r="AM60" s="12"/>
      <c r="AN60" s="12"/>
      <c r="AO60" s="12"/>
      <c r="AP60" s="12"/>
      <c r="AQ60" s="18" t="str">
        <f aca="false">IF(A60="","",N(AQ59)+N(AA60))</f>
        <v/>
      </c>
      <c r="AR60" s="18" t="str">
        <f aca="false">IF(AQ60="","",MAX(0,MAX($AQ$8:AQ60))-AQ60)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3"/>
      <c r="N61" s="13"/>
      <c r="O61" s="14" t="str">
        <f aca="false">IF(OR(L61="",L61=0),"",(1-M61)/L61)</f>
        <v/>
      </c>
      <c r="P61" s="15"/>
      <c r="Q61" s="12"/>
      <c r="R61" s="12"/>
      <c r="S61" s="13"/>
      <c r="T61" s="16" t="str">
        <f aca="false">IF(OR(S61="",L61=""),"",L61/(1-M61)-S61)</f>
        <v/>
      </c>
      <c r="U61" s="16" t="str">
        <f aca="false">IF(OR(L61="",P61=""),"",L61*(P61-1)-N61)</f>
        <v/>
      </c>
      <c r="V61" s="13"/>
      <c r="W61" s="17"/>
      <c r="X61" s="12"/>
      <c r="Y61" s="12"/>
      <c r="Z61" s="12"/>
      <c r="AA61" s="18" t="str">
        <f aca="false">IF(K61&lt;&gt;"ВИРТУАЛЬНЫЙ ВЫБОР","",IF(Z61="✅ ЗАШЛО",W61*(P61-1),IF(Z61="❌ НЕ ЗАШЛО",-W61,IF(Z61="½ ЗАШЛО",W61*(P61-1)/2,IF(Z61="½ НЕ ЗАШЛО",-W61/2,IF(Z61="ВОЗВРАТ",0,""))))))</f>
        <v/>
      </c>
      <c r="AB61" s="18" t="str">
        <f aca="false">IF(AND(K61="ВИРТУАЛЬНЫЙ ВЫБОР",OR(Z61="✅ ЗАШЛО",Z61="❌ НЕ ЗАШЛО",Z61="½ ЗАШЛО",Z61="½ НЕ ЗАШЛО",Z61="ВОЗВРАТ")),W61,"")</f>
        <v/>
      </c>
      <c r="AC61" s="15"/>
      <c r="AD61" s="16" t="str">
        <f aca="false">IF(OR(AC61="",P61=""),"",P61/AC61-1)</f>
        <v/>
      </c>
      <c r="AE61" s="19" t="str">
        <f aca="false">IF(AND(M61=0,OR(Z61="✅ ЗАШЛО",Z61="❌ НЕ ЗАШЛО"),L61&lt;&gt;""),(L61-IF(Z61="✅ ЗАШЛО",1,0))^2,"")</f>
        <v/>
      </c>
      <c r="AF61" s="15"/>
      <c r="AG61" s="15"/>
      <c r="AH61" s="13"/>
      <c r="AI61" s="13"/>
      <c r="AJ61" s="13"/>
      <c r="AK61" s="20" t="str">
        <f aca="false">IF(AH61="","",IF(ABS(AH61+AI61+AJ61-1)&lt;0.000001,"OK","ОШИБКА"))</f>
        <v/>
      </c>
      <c r="AL61" s="13"/>
      <c r="AM61" s="12"/>
      <c r="AN61" s="12"/>
      <c r="AO61" s="12"/>
      <c r="AP61" s="12"/>
      <c r="AQ61" s="18" t="str">
        <f aca="false">IF(A61="","",N(AQ60)+N(AA61))</f>
        <v/>
      </c>
      <c r="AR61" s="18" t="str">
        <f aca="false">IF(AQ61="","",MAX(0,MAX($AQ$8:AQ61))-AQ61)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3"/>
      <c r="M62" s="13"/>
      <c r="N62" s="13"/>
      <c r="O62" s="14" t="str">
        <f aca="false">IF(OR(L62="",L62=0),"",(1-M62)/L62)</f>
        <v/>
      </c>
      <c r="P62" s="15"/>
      <c r="Q62" s="12"/>
      <c r="R62" s="12"/>
      <c r="S62" s="13"/>
      <c r="T62" s="16" t="str">
        <f aca="false">IF(OR(S62="",L62=""),"",L62/(1-M62)-S62)</f>
        <v/>
      </c>
      <c r="U62" s="16" t="str">
        <f aca="false">IF(OR(L62="",P62=""),"",L62*(P62-1)-N62)</f>
        <v/>
      </c>
      <c r="V62" s="13"/>
      <c r="W62" s="17"/>
      <c r="X62" s="12"/>
      <c r="Y62" s="12"/>
      <c r="Z62" s="12"/>
      <c r="AA62" s="18" t="str">
        <f aca="false">IF(K62&lt;&gt;"ВИРТУАЛЬНЫЙ ВЫБОР","",IF(Z62="✅ ЗАШЛО",W62*(P62-1),IF(Z62="❌ НЕ ЗАШЛО",-W62,IF(Z62="½ ЗАШЛО",W62*(P62-1)/2,IF(Z62="½ НЕ ЗАШЛО",-W62/2,IF(Z62="ВОЗВРАТ",0,""))))))</f>
        <v/>
      </c>
      <c r="AB62" s="18" t="str">
        <f aca="false">IF(AND(K62="ВИРТУАЛЬНЫЙ ВЫБОР",OR(Z62="✅ ЗАШЛО",Z62="❌ НЕ ЗАШЛО",Z62="½ ЗАШЛО",Z62="½ НЕ ЗАШЛО",Z62="ВОЗВРАТ")),W62,"")</f>
        <v/>
      </c>
      <c r="AC62" s="15"/>
      <c r="AD62" s="16" t="str">
        <f aca="false">IF(OR(AC62="",P62=""),"",P62/AC62-1)</f>
        <v/>
      </c>
      <c r="AE62" s="19" t="str">
        <f aca="false">IF(AND(M62=0,OR(Z62="✅ ЗАШЛО",Z62="❌ НЕ ЗАШЛО"),L62&lt;&gt;""),(L62-IF(Z62="✅ ЗАШЛО",1,0))^2,"")</f>
        <v/>
      </c>
      <c r="AF62" s="15"/>
      <c r="AG62" s="15"/>
      <c r="AH62" s="13"/>
      <c r="AI62" s="13"/>
      <c r="AJ62" s="13"/>
      <c r="AK62" s="20" t="str">
        <f aca="false">IF(AH62="","",IF(ABS(AH62+AI62+AJ62-1)&lt;0.000001,"OK","ОШИБКА"))</f>
        <v/>
      </c>
      <c r="AL62" s="13"/>
      <c r="AM62" s="12"/>
      <c r="AN62" s="12"/>
      <c r="AO62" s="12"/>
      <c r="AP62" s="12"/>
      <c r="AQ62" s="18" t="str">
        <f aca="false">IF(A62="","",N(AQ61)+N(AA62))</f>
        <v/>
      </c>
      <c r="AR62" s="18" t="str">
        <f aca="false">IF(AQ62="","",MAX(0,MAX($AQ$8:AQ62))-AQ62)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3"/>
      <c r="M63" s="13"/>
      <c r="N63" s="13"/>
      <c r="O63" s="14" t="str">
        <f aca="false">IF(OR(L63="",L63=0),"",(1-M63)/L63)</f>
        <v/>
      </c>
      <c r="P63" s="15"/>
      <c r="Q63" s="12"/>
      <c r="R63" s="12"/>
      <c r="S63" s="13"/>
      <c r="T63" s="16" t="str">
        <f aca="false">IF(OR(S63="",L63=""),"",L63/(1-M63)-S63)</f>
        <v/>
      </c>
      <c r="U63" s="16" t="str">
        <f aca="false">IF(OR(L63="",P63=""),"",L63*(P63-1)-N63)</f>
        <v/>
      </c>
      <c r="V63" s="13"/>
      <c r="W63" s="17"/>
      <c r="X63" s="12"/>
      <c r="Y63" s="12"/>
      <c r="Z63" s="12"/>
      <c r="AA63" s="18" t="str">
        <f aca="false">IF(K63&lt;&gt;"ВИРТУАЛЬНЫЙ ВЫБОР","",IF(Z63="✅ ЗАШЛО",W63*(P63-1),IF(Z63="❌ НЕ ЗАШЛО",-W63,IF(Z63="½ ЗАШЛО",W63*(P63-1)/2,IF(Z63="½ НЕ ЗАШЛО",-W63/2,IF(Z63="ВОЗВРАТ",0,""))))))</f>
        <v/>
      </c>
      <c r="AB63" s="18" t="str">
        <f aca="false">IF(AND(K63="ВИРТУАЛЬНЫЙ ВЫБОР",OR(Z63="✅ ЗАШЛО",Z63="❌ НЕ ЗАШЛО",Z63="½ ЗАШЛО",Z63="½ НЕ ЗАШЛО",Z63="ВОЗВРАТ")),W63,"")</f>
        <v/>
      </c>
      <c r="AC63" s="15"/>
      <c r="AD63" s="16" t="str">
        <f aca="false">IF(OR(AC63="",P63=""),"",P63/AC63-1)</f>
        <v/>
      </c>
      <c r="AE63" s="19" t="str">
        <f aca="false">IF(AND(M63=0,OR(Z63="✅ ЗАШЛО",Z63="❌ НЕ ЗАШЛО"),L63&lt;&gt;""),(L63-IF(Z63="✅ ЗАШЛО",1,0))^2,"")</f>
        <v/>
      </c>
      <c r="AF63" s="15"/>
      <c r="AG63" s="15"/>
      <c r="AH63" s="13"/>
      <c r="AI63" s="13"/>
      <c r="AJ63" s="13"/>
      <c r="AK63" s="20" t="str">
        <f aca="false">IF(AH63="","",IF(ABS(AH63+AI63+AJ63-1)&lt;0.000001,"OK","ОШИБКА"))</f>
        <v/>
      </c>
      <c r="AL63" s="13"/>
      <c r="AM63" s="12"/>
      <c r="AN63" s="12"/>
      <c r="AO63" s="12"/>
      <c r="AP63" s="12"/>
      <c r="AQ63" s="18" t="str">
        <f aca="false">IF(A63="","",N(AQ62)+N(AA63))</f>
        <v/>
      </c>
      <c r="AR63" s="18" t="str">
        <f aca="false">IF(AQ63="","",MAX(0,MAX($AQ$8:AQ63))-AQ63)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3"/>
      <c r="M64" s="13"/>
      <c r="N64" s="13"/>
      <c r="O64" s="14" t="str">
        <f aca="false">IF(OR(L64="",L64=0),"",(1-M64)/L64)</f>
        <v/>
      </c>
      <c r="P64" s="15"/>
      <c r="Q64" s="12"/>
      <c r="R64" s="12"/>
      <c r="S64" s="13"/>
      <c r="T64" s="16" t="str">
        <f aca="false">IF(OR(S64="",L64=""),"",L64/(1-M64)-S64)</f>
        <v/>
      </c>
      <c r="U64" s="16" t="str">
        <f aca="false">IF(OR(L64="",P64=""),"",L64*(P64-1)-N64)</f>
        <v/>
      </c>
      <c r="V64" s="13"/>
      <c r="W64" s="17"/>
      <c r="X64" s="12"/>
      <c r="Y64" s="12"/>
      <c r="Z64" s="12"/>
      <c r="AA64" s="18" t="str">
        <f aca="false">IF(K64&lt;&gt;"ВИРТУАЛЬНЫЙ ВЫБОР","",IF(Z64="✅ ЗАШЛО",W64*(P64-1),IF(Z64="❌ НЕ ЗАШЛО",-W64,IF(Z64="½ ЗАШЛО",W64*(P64-1)/2,IF(Z64="½ НЕ ЗАШЛО",-W64/2,IF(Z64="ВОЗВРАТ",0,""))))))</f>
        <v/>
      </c>
      <c r="AB64" s="18" t="str">
        <f aca="false">IF(AND(K64="ВИРТУАЛЬНЫЙ ВЫБОР",OR(Z64="✅ ЗАШЛО",Z64="❌ НЕ ЗАШЛО",Z64="½ ЗАШЛО",Z64="½ НЕ ЗАШЛО",Z64="ВОЗВРАТ")),W64,"")</f>
        <v/>
      </c>
      <c r="AC64" s="15"/>
      <c r="AD64" s="16" t="str">
        <f aca="false">IF(OR(AC64="",P64=""),"",P64/AC64-1)</f>
        <v/>
      </c>
      <c r="AE64" s="19" t="str">
        <f aca="false">IF(AND(M64=0,OR(Z64="✅ ЗАШЛО",Z64="❌ НЕ ЗАШЛО"),L64&lt;&gt;""),(L64-IF(Z64="✅ ЗАШЛО",1,0))^2,"")</f>
        <v/>
      </c>
      <c r="AF64" s="15"/>
      <c r="AG64" s="15"/>
      <c r="AH64" s="13"/>
      <c r="AI64" s="13"/>
      <c r="AJ64" s="13"/>
      <c r="AK64" s="20" t="str">
        <f aca="false">IF(AH64="","",IF(ABS(AH64+AI64+AJ64-1)&lt;0.000001,"OK","ОШИБКА"))</f>
        <v/>
      </c>
      <c r="AL64" s="13"/>
      <c r="AM64" s="12"/>
      <c r="AN64" s="12"/>
      <c r="AO64" s="12"/>
      <c r="AP64" s="12"/>
      <c r="AQ64" s="18" t="str">
        <f aca="false">IF(A64="","",N(AQ63)+N(AA64))</f>
        <v/>
      </c>
      <c r="AR64" s="18" t="str">
        <f aca="false">IF(AQ64="","",MAX(0,MAX($AQ$8:AQ64))-AQ64)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3"/>
      <c r="M65" s="13"/>
      <c r="N65" s="13"/>
      <c r="O65" s="14" t="str">
        <f aca="false">IF(OR(L65="",L65=0),"",(1-M65)/L65)</f>
        <v/>
      </c>
      <c r="P65" s="15"/>
      <c r="Q65" s="12"/>
      <c r="R65" s="12"/>
      <c r="S65" s="13"/>
      <c r="T65" s="16" t="str">
        <f aca="false">IF(OR(S65="",L65=""),"",L65/(1-M65)-S65)</f>
        <v/>
      </c>
      <c r="U65" s="16" t="str">
        <f aca="false">IF(OR(L65="",P65=""),"",L65*(P65-1)-N65)</f>
        <v/>
      </c>
      <c r="V65" s="13"/>
      <c r="W65" s="17"/>
      <c r="X65" s="12"/>
      <c r="Y65" s="12"/>
      <c r="Z65" s="12"/>
      <c r="AA65" s="18" t="str">
        <f aca="false">IF(K65&lt;&gt;"ВИРТУАЛЬНЫЙ ВЫБОР","",IF(Z65="✅ ЗАШЛО",W65*(P65-1),IF(Z65="❌ НЕ ЗАШЛО",-W65,IF(Z65="½ ЗАШЛО",W65*(P65-1)/2,IF(Z65="½ НЕ ЗАШЛО",-W65/2,IF(Z65="ВОЗВРАТ",0,""))))))</f>
        <v/>
      </c>
      <c r="AB65" s="18" t="str">
        <f aca="false">IF(AND(K65="ВИРТУАЛЬНЫЙ ВЫБОР",OR(Z65="✅ ЗАШЛО",Z65="❌ НЕ ЗАШЛО",Z65="½ ЗАШЛО",Z65="½ НЕ ЗАШЛО",Z65="ВОЗВРАТ")),W65,"")</f>
        <v/>
      </c>
      <c r="AC65" s="15"/>
      <c r="AD65" s="16" t="str">
        <f aca="false">IF(OR(AC65="",P65=""),"",P65/AC65-1)</f>
        <v/>
      </c>
      <c r="AE65" s="19" t="str">
        <f aca="false">IF(AND(M65=0,OR(Z65="✅ ЗАШЛО",Z65="❌ НЕ ЗАШЛО"),L65&lt;&gt;""),(L65-IF(Z65="✅ ЗАШЛО",1,0))^2,"")</f>
        <v/>
      </c>
      <c r="AF65" s="15"/>
      <c r="AG65" s="15"/>
      <c r="AH65" s="13"/>
      <c r="AI65" s="13"/>
      <c r="AJ65" s="13"/>
      <c r="AK65" s="20" t="str">
        <f aca="false">IF(AH65="","",IF(ABS(AH65+AI65+AJ65-1)&lt;0.000001,"OK","ОШИБКА"))</f>
        <v/>
      </c>
      <c r="AL65" s="13"/>
      <c r="AM65" s="12"/>
      <c r="AN65" s="12"/>
      <c r="AO65" s="12"/>
      <c r="AP65" s="12"/>
      <c r="AQ65" s="18" t="str">
        <f aca="false">IF(A65="","",N(AQ64)+N(AA65))</f>
        <v/>
      </c>
      <c r="AR65" s="18" t="str">
        <f aca="false">IF(AQ65="","",MAX(0,MAX($AQ$8:AQ65))-AQ65)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3"/>
      <c r="M66" s="13"/>
      <c r="N66" s="13"/>
      <c r="O66" s="14" t="str">
        <f aca="false">IF(OR(L66="",L66=0),"",(1-M66)/L66)</f>
        <v/>
      </c>
      <c r="P66" s="15"/>
      <c r="Q66" s="12"/>
      <c r="R66" s="12"/>
      <c r="S66" s="13"/>
      <c r="T66" s="16" t="str">
        <f aca="false">IF(OR(S66="",L66=""),"",L66/(1-M66)-S66)</f>
        <v/>
      </c>
      <c r="U66" s="16" t="str">
        <f aca="false">IF(OR(L66="",P66=""),"",L66*(P66-1)-N66)</f>
        <v/>
      </c>
      <c r="V66" s="13"/>
      <c r="W66" s="17"/>
      <c r="X66" s="12"/>
      <c r="Y66" s="12"/>
      <c r="Z66" s="12"/>
      <c r="AA66" s="18" t="str">
        <f aca="false">IF(K66&lt;&gt;"ВИРТУАЛЬНЫЙ ВЫБОР","",IF(Z66="✅ ЗАШЛО",W66*(P66-1),IF(Z66="❌ НЕ ЗАШЛО",-W66,IF(Z66="½ ЗАШЛО",W66*(P66-1)/2,IF(Z66="½ НЕ ЗАШЛО",-W66/2,IF(Z66="ВОЗВРАТ",0,""))))))</f>
        <v/>
      </c>
      <c r="AB66" s="18" t="str">
        <f aca="false">IF(AND(K66="ВИРТУАЛЬНЫЙ ВЫБОР",OR(Z66="✅ ЗАШЛО",Z66="❌ НЕ ЗАШЛО",Z66="½ ЗАШЛО",Z66="½ НЕ ЗАШЛО",Z66="ВОЗВРАТ")),W66,"")</f>
        <v/>
      </c>
      <c r="AC66" s="15"/>
      <c r="AD66" s="16" t="str">
        <f aca="false">IF(OR(AC66="",P66=""),"",P66/AC66-1)</f>
        <v/>
      </c>
      <c r="AE66" s="19" t="str">
        <f aca="false">IF(AND(M66=0,OR(Z66="✅ ЗАШЛО",Z66="❌ НЕ ЗАШЛО"),L66&lt;&gt;""),(L66-IF(Z66="✅ ЗАШЛО",1,0))^2,"")</f>
        <v/>
      </c>
      <c r="AF66" s="15"/>
      <c r="AG66" s="15"/>
      <c r="AH66" s="13"/>
      <c r="AI66" s="13"/>
      <c r="AJ66" s="13"/>
      <c r="AK66" s="20" t="str">
        <f aca="false">IF(AH66="","",IF(ABS(AH66+AI66+AJ66-1)&lt;0.000001,"OK","ОШИБКА"))</f>
        <v/>
      </c>
      <c r="AL66" s="13"/>
      <c r="AM66" s="12"/>
      <c r="AN66" s="12"/>
      <c r="AO66" s="12"/>
      <c r="AP66" s="12"/>
      <c r="AQ66" s="18" t="str">
        <f aca="false">IF(A66="","",N(AQ65)+N(AA66))</f>
        <v/>
      </c>
      <c r="AR66" s="18" t="str">
        <f aca="false">IF(AQ66="","",MAX(0,MAX($AQ$8:AQ66))-AQ66)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3"/>
      <c r="M67" s="13"/>
      <c r="N67" s="13"/>
      <c r="O67" s="14" t="str">
        <f aca="false">IF(OR(L67="",L67=0),"",(1-M67)/L67)</f>
        <v/>
      </c>
      <c r="P67" s="15"/>
      <c r="Q67" s="12"/>
      <c r="R67" s="12"/>
      <c r="S67" s="13"/>
      <c r="T67" s="16" t="str">
        <f aca="false">IF(OR(S67="",L67=""),"",L67/(1-M67)-S67)</f>
        <v/>
      </c>
      <c r="U67" s="16" t="str">
        <f aca="false">IF(OR(L67="",P67=""),"",L67*(P67-1)-N67)</f>
        <v/>
      </c>
      <c r="V67" s="13"/>
      <c r="W67" s="17"/>
      <c r="X67" s="12"/>
      <c r="Y67" s="12"/>
      <c r="Z67" s="12"/>
      <c r="AA67" s="18" t="str">
        <f aca="false">IF(K67&lt;&gt;"ВИРТУАЛЬНЫЙ ВЫБОР","",IF(Z67="✅ ЗАШЛО",W67*(P67-1),IF(Z67="❌ НЕ ЗАШЛО",-W67,IF(Z67="½ ЗАШЛО",W67*(P67-1)/2,IF(Z67="½ НЕ ЗАШЛО",-W67/2,IF(Z67="ВОЗВРАТ",0,""))))))</f>
        <v/>
      </c>
      <c r="AB67" s="18" t="str">
        <f aca="false">IF(AND(K67="ВИРТУАЛЬНЫЙ ВЫБОР",OR(Z67="✅ ЗАШЛО",Z67="❌ НЕ ЗАШЛО",Z67="½ ЗАШЛО",Z67="½ НЕ ЗАШЛО",Z67="ВОЗВРАТ")),W67,"")</f>
        <v/>
      </c>
      <c r="AC67" s="15"/>
      <c r="AD67" s="16" t="str">
        <f aca="false">IF(OR(AC67="",P67=""),"",P67/AC67-1)</f>
        <v/>
      </c>
      <c r="AE67" s="19" t="str">
        <f aca="false">IF(AND(M67=0,OR(Z67="✅ ЗАШЛО",Z67="❌ НЕ ЗАШЛО"),L67&lt;&gt;""),(L67-IF(Z67="✅ ЗАШЛО",1,0))^2,"")</f>
        <v/>
      </c>
      <c r="AF67" s="15"/>
      <c r="AG67" s="15"/>
      <c r="AH67" s="13"/>
      <c r="AI67" s="13"/>
      <c r="AJ67" s="13"/>
      <c r="AK67" s="20" t="str">
        <f aca="false">IF(AH67="","",IF(ABS(AH67+AI67+AJ67-1)&lt;0.000001,"OK","ОШИБКА"))</f>
        <v/>
      </c>
      <c r="AL67" s="13"/>
      <c r="AM67" s="12"/>
      <c r="AN67" s="12"/>
      <c r="AO67" s="12"/>
      <c r="AP67" s="12"/>
      <c r="AQ67" s="18" t="str">
        <f aca="false">IF(A67="","",N(AQ66)+N(AA67))</f>
        <v/>
      </c>
      <c r="AR67" s="18" t="str">
        <f aca="false">IF(AQ67="","",MAX(0,MAX($AQ$8:AQ67))-AQ67)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3"/>
      <c r="M68" s="13"/>
      <c r="N68" s="13"/>
      <c r="O68" s="14" t="str">
        <f aca="false">IF(OR(L68="",L68=0),"",(1-M68)/L68)</f>
        <v/>
      </c>
      <c r="P68" s="15"/>
      <c r="Q68" s="12"/>
      <c r="R68" s="12"/>
      <c r="S68" s="13"/>
      <c r="T68" s="16" t="str">
        <f aca="false">IF(OR(S68="",L68=""),"",L68/(1-M68)-S68)</f>
        <v/>
      </c>
      <c r="U68" s="16" t="str">
        <f aca="false">IF(OR(L68="",P68=""),"",L68*(P68-1)-N68)</f>
        <v/>
      </c>
      <c r="V68" s="13"/>
      <c r="W68" s="17"/>
      <c r="X68" s="12"/>
      <c r="Y68" s="12"/>
      <c r="Z68" s="12"/>
      <c r="AA68" s="18" t="str">
        <f aca="false">IF(K68&lt;&gt;"ВИРТУАЛЬНЫЙ ВЫБОР","",IF(Z68="✅ ЗАШЛО",W68*(P68-1),IF(Z68="❌ НЕ ЗАШЛО",-W68,IF(Z68="½ ЗАШЛО",W68*(P68-1)/2,IF(Z68="½ НЕ ЗАШЛО",-W68/2,IF(Z68="ВОЗВРАТ",0,""))))))</f>
        <v/>
      </c>
      <c r="AB68" s="18" t="str">
        <f aca="false">IF(AND(K68="ВИРТУАЛЬНЫЙ ВЫБОР",OR(Z68="✅ ЗАШЛО",Z68="❌ НЕ ЗАШЛО",Z68="½ ЗАШЛО",Z68="½ НЕ ЗАШЛО",Z68="ВОЗВРАТ")),W68,"")</f>
        <v/>
      </c>
      <c r="AC68" s="15"/>
      <c r="AD68" s="16" t="str">
        <f aca="false">IF(OR(AC68="",P68=""),"",P68/AC68-1)</f>
        <v/>
      </c>
      <c r="AE68" s="19" t="str">
        <f aca="false">IF(AND(M68=0,OR(Z68="✅ ЗАШЛО",Z68="❌ НЕ ЗАШЛО"),L68&lt;&gt;""),(L68-IF(Z68="✅ ЗАШЛО",1,0))^2,"")</f>
        <v/>
      </c>
      <c r="AF68" s="15"/>
      <c r="AG68" s="15"/>
      <c r="AH68" s="13"/>
      <c r="AI68" s="13"/>
      <c r="AJ68" s="13"/>
      <c r="AK68" s="20" t="str">
        <f aca="false">IF(AH68="","",IF(ABS(AH68+AI68+AJ68-1)&lt;0.000001,"OK","ОШИБКА"))</f>
        <v/>
      </c>
      <c r="AL68" s="13"/>
      <c r="AM68" s="12"/>
      <c r="AN68" s="12"/>
      <c r="AO68" s="12"/>
      <c r="AP68" s="12"/>
      <c r="AQ68" s="18" t="str">
        <f aca="false">IF(A68="","",N(AQ67)+N(AA68))</f>
        <v/>
      </c>
      <c r="AR68" s="18" t="str">
        <f aca="false">IF(AQ68="","",MAX(0,MAX($AQ$8:AQ68))-AQ68)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3"/>
      <c r="M69" s="13"/>
      <c r="N69" s="13"/>
      <c r="O69" s="14" t="str">
        <f aca="false">IF(OR(L69="",L69=0),"",(1-M69)/L69)</f>
        <v/>
      </c>
      <c r="P69" s="15"/>
      <c r="Q69" s="12"/>
      <c r="R69" s="12"/>
      <c r="S69" s="13"/>
      <c r="T69" s="16" t="str">
        <f aca="false">IF(OR(S69="",L69=""),"",L69/(1-M69)-S69)</f>
        <v/>
      </c>
      <c r="U69" s="16" t="str">
        <f aca="false">IF(OR(L69="",P69=""),"",L69*(P69-1)-N69)</f>
        <v/>
      </c>
      <c r="V69" s="13"/>
      <c r="W69" s="17"/>
      <c r="X69" s="12"/>
      <c r="Y69" s="12"/>
      <c r="Z69" s="12"/>
      <c r="AA69" s="18" t="str">
        <f aca="false">IF(K69&lt;&gt;"ВИРТУАЛЬНЫЙ ВЫБОР","",IF(Z69="✅ ЗАШЛО",W69*(P69-1),IF(Z69="❌ НЕ ЗАШЛО",-W69,IF(Z69="½ ЗАШЛО",W69*(P69-1)/2,IF(Z69="½ НЕ ЗАШЛО",-W69/2,IF(Z69="ВОЗВРАТ",0,""))))))</f>
        <v/>
      </c>
      <c r="AB69" s="18" t="str">
        <f aca="false">IF(AND(K69="ВИРТУАЛЬНЫЙ ВЫБОР",OR(Z69="✅ ЗАШЛО",Z69="❌ НЕ ЗАШЛО",Z69="½ ЗАШЛО",Z69="½ НЕ ЗАШЛО",Z69="ВОЗВРАТ")),W69,"")</f>
        <v/>
      </c>
      <c r="AC69" s="15"/>
      <c r="AD69" s="16" t="str">
        <f aca="false">IF(OR(AC69="",P69=""),"",P69/AC69-1)</f>
        <v/>
      </c>
      <c r="AE69" s="19" t="str">
        <f aca="false">IF(AND(M69=0,OR(Z69="✅ ЗАШЛО",Z69="❌ НЕ ЗАШЛО"),L69&lt;&gt;""),(L69-IF(Z69="✅ ЗАШЛО",1,0))^2,"")</f>
        <v/>
      </c>
      <c r="AF69" s="15"/>
      <c r="AG69" s="15"/>
      <c r="AH69" s="13"/>
      <c r="AI69" s="13"/>
      <c r="AJ69" s="13"/>
      <c r="AK69" s="20" t="str">
        <f aca="false">IF(AH69="","",IF(ABS(AH69+AI69+AJ69-1)&lt;0.000001,"OK","ОШИБКА"))</f>
        <v/>
      </c>
      <c r="AL69" s="13"/>
      <c r="AM69" s="12"/>
      <c r="AN69" s="12"/>
      <c r="AO69" s="12"/>
      <c r="AP69" s="12"/>
      <c r="AQ69" s="18" t="str">
        <f aca="false">IF(A69="","",N(AQ68)+N(AA69))</f>
        <v/>
      </c>
      <c r="AR69" s="18" t="str">
        <f aca="false">IF(AQ69="","",MAX(0,MAX($AQ$8:AQ69))-AQ69)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3"/>
      <c r="M70" s="13"/>
      <c r="N70" s="13"/>
      <c r="O70" s="14" t="str">
        <f aca="false">IF(OR(L70="",L70=0),"",(1-M70)/L70)</f>
        <v/>
      </c>
      <c r="P70" s="15"/>
      <c r="Q70" s="12"/>
      <c r="R70" s="12"/>
      <c r="S70" s="13"/>
      <c r="T70" s="16" t="str">
        <f aca="false">IF(OR(S70="",L70=""),"",L70/(1-M70)-S70)</f>
        <v/>
      </c>
      <c r="U70" s="16" t="str">
        <f aca="false">IF(OR(L70="",P70=""),"",L70*(P70-1)-N70)</f>
        <v/>
      </c>
      <c r="V70" s="13"/>
      <c r="W70" s="17"/>
      <c r="X70" s="12"/>
      <c r="Y70" s="12"/>
      <c r="Z70" s="12"/>
      <c r="AA70" s="18" t="str">
        <f aca="false">IF(K70&lt;&gt;"ВИРТУАЛЬНЫЙ ВЫБОР","",IF(Z70="✅ ЗАШЛО",W70*(P70-1),IF(Z70="❌ НЕ ЗАШЛО",-W70,IF(Z70="½ ЗАШЛО",W70*(P70-1)/2,IF(Z70="½ НЕ ЗАШЛО",-W70/2,IF(Z70="ВОЗВРАТ",0,""))))))</f>
        <v/>
      </c>
      <c r="AB70" s="18" t="str">
        <f aca="false">IF(AND(K70="ВИРТУАЛЬНЫЙ ВЫБОР",OR(Z70="✅ ЗАШЛО",Z70="❌ НЕ ЗАШЛО",Z70="½ ЗАШЛО",Z70="½ НЕ ЗАШЛО",Z70="ВОЗВРАТ")),W70,"")</f>
        <v/>
      </c>
      <c r="AC70" s="15"/>
      <c r="AD70" s="16" t="str">
        <f aca="false">IF(OR(AC70="",P70=""),"",P70/AC70-1)</f>
        <v/>
      </c>
      <c r="AE70" s="19" t="str">
        <f aca="false">IF(AND(M70=0,OR(Z70="✅ ЗАШЛО",Z70="❌ НЕ ЗАШЛО"),L70&lt;&gt;""),(L70-IF(Z70="✅ ЗАШЛО",1,0))^2,"")</f>
        <v/>
      </c>
      <c r="AF70" s="15"/>
      <c r="AG70" s="15"/>
      <c r="AH70" s="13"/>
      <c r="AI70" s="13"/>
      <c r="AJ70" s="13"/>
      <c r="AK70" s="20" t="str">
        <f aca="false">IF(AH70="","",IF(ABS(AH70+AI70+AJ70-1)&lt;0.000001,"OK","ОШИБКА"))</f>
        <v/>
      </c>
      <c r="AL70" s="13"/>
      <c r="AM70" s="12"/>
      <c r="AN70" s="12"/>
      <c r="AO70" s="12"/>
      <c r="AP70" s="12"/>
      <c r="AQ70" s="18" t="str">
        <f aca="false">IF(A70="","",N(AQ69)+N(AA70))</f>
        <v/>
      </c>
      <c r="AR70" s="18" t="str">
        <f aca="false">IF(AQ70="","",MAX(0,MAX($AQ$8:AQ70))-AQ70)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/>
      <c r="M71" s="13"/>
      <c r="N71" s="13"/>
      <c r="O71" s="14" t="str">
        <f aca="false">IF(OR(L71="",L71=0),"",(1-M71)/L71)</f>
        <v/>
      </c>
      <c r="P71" s="15"/>
      <c r="Q71" s="12"/>
      <c r="R71" s="12"/>
      <c r="S71" s="13"/>
      <c r="T71" s="16" t="str">
        <f aca="false">IF(OR(S71="",L71=""),"",L71/(1-M71)-S71)</f>
        <v/>
      </c>
      <c r="U71" s="16" t="str">
        <f aca="false">IF(OR(L71="",P71=""),"",L71*(P71-1)-N71)</f>
        <v/>
      </c>
      <c r="V71" s="13"/>
      <c r="W71" s="17"/>
      <c r="X71" s="12"/>
      <c r="Y71" s="12"/>
      <c r="Z71" s="12"/>
      <c r="AA71" s="18" t="str">
        <f aca="false">IF(K71&lt;&gt;"ВИРТУАЛЬНЫЙ ВЫБОР","",IF(Z71="✅ ЗАШЛО",W71*(P71-1),IF(Z71="❌ НЕ ЗАШЛО",-W71,IF(Z71="½ ЗАШЛО",W71*(P71-1)/2,IF(Z71="½ НЕ ЗАШЛО",-W71/2,IF(Z71="ВОЗВРАТ",0,""))))))</f>
        <v/>
      </c>
      <c r="AB71" s="18" t="str">
        <f aca="false">IF(AND(K71="ВИРТУАЛЬНЫЙ ВЫБОР",OR(Z71="✅ ЗАШЛО",Z71="❌ НЕ ЗАШЛО",Z71="½ ЗАШЛО",Z71="½ НЕ ЗАШЛО",Z71="ВОЗВРАТ")),W71,"")</f>
        <v/>
      </c>
      <c r="AC71" s="15"/>
      <c r="AD71" s="16" t="str">
        <f aca="false">IF(OR(AC71="",P71=""),"",P71/AC71-1)</f>
        <v/>
      </c>
      <c r="AE71" s="19" t="str">
        <f aca="false">IF(AND(M71=0,OR(Z71="✅ ЗАШЛО",Z71="❌ НЕ ЗАШЛО"),L71&lt;&gt;""),(L71-IF(Z71="✅ ЗАШЛО",1,0))^2,"")</f>
        <v/>
      </c>
      <c r="AF71" s="15"/>
      <c r="AG71" s="15"/>
      <c r="AH71" s="13"/>
      <c r="AI71" s="13"/>
      <c r="AJ71" s="13"/>
      <c r="AK71" s="20" t="str">
        <f aca="false">IF(AH71="","",IF(ABS(AH71+AI71+AJ71-1)&lt;0.000001,"OK","ОШИБКА"))</f>
        <v/>
      </c>
      <c r="AL71" s="13"/>
      <c r="AM71" s="12"/>
      <c r="AN71" s="12"/>
      <c r="AO71" s="12"/>
      <c r="AP71" s="12"/>
      <c r="AQ71" s="18" t="str">
        <f aca="false">IF(A71="","",N(AQ70)+N(AA71))</f>
        <v/>
      </c>
      <c r="AR71" s="18" t="str">
        <f aca="false">IF(AQ71="","",MAX(0,MAX($AQ$8:AQ71))-AQ71)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3"/>
      <c r="M72" s="13"/>
      <c r="N72" s="13"/>
      <c r="O72" s="14" t="str">
        <f aca="false">IF(OR(L72="",L72=0),"",(1-M72)/L72)</f>
        <v/>
      </c>
      <c r="P72" s="15"/>
      <c r="Q72" s="12"/>
      <c r="R72" s="12"/>
      <c r="S72" s="13"/>
      <c r="T72" s="16" t="str">
        <f aca="false">IF(OR(S72="",L72=""),"",L72/(1-M72)-S72)</f>
        <v/>
      </c>
      <c r="U72" s="16" t="str">
        <f aca="false">IF(OR(L72="",P72=""),"",L72*(P72-1)-N72)</f>
        <v/>
      </c>
      <c r="V72" s="13"/>
      <c r="W72" s="17"/>
      <c r="X72" s="12"/>
      <c r="Y72" s="12"/>
      <c r="Z72" s="12"/>
      <c r="AA72" s="18" t="str">
        <f aca="false">IF(K72&lt;&gt;"ВИРТУАЛЬНЫЙ ВЫБОР","",IF(Z72="✅ ЗАШЛО",W72*(P72-1),IF(Z72="❌ НЕ ЗАШЛО",-W72,IF(Z72="½ ЗАШЛО",W72*(P72-1)/2,IF(Z72="½ НЕ ЗАШЛО",-W72/2,IF(Z72="ВОЗВРАТ",0,""))))))</f>
        <v/>
      </c>
      <c r="AB72" s="18" t="str">
        <f aca="false">IF(AND(K72="ВИРТУАЛЬНЫЙ ВЫБОР",OR(Z72="✅ ЗАШЛО",Z72="❌ НЕ ЗАШЛО",Z72="½ ЗАШЛО",Z72="½ НЕ ЗАШЛО",Z72="ВОЗВРАТ")),W72,"")</f>
        <v/>
      </c>
      <c r="AC72" s="15"/>
      <c r="AD72" s="16" t="str">
        <f aca="false">IF(OR(AC72="",P72=""),"",P72/AC72-1)</f>
        <v/>
      </c>
      <c r="AE72" s="19" t="str">
        <f aca="false">IF(AND(M72=0,OR(Z72="✅ ЗАШЛО",Z72="❌ НЕ ЗАШЛО"),L72&lt;&gt;""),(L72-IF(Z72="✅ ЗАШЛО",1,0))^2,"")</f>
        <v/>
      </c>
      <c r="AF72" s="15"/>
      <c r="AG72" s="15"/>
      <c r="AH72" s="13"/>
      <c r="AI72" s="13"/>
      <c r="AJ72" s="13"/>
      <c r="AK72" s="20" t="str">
        <f aca="false">IF(AH72="","",IF(ABS(AH72+AI72+AJ72-1)&lt;0.000001,"OK","ОШИБКА"))</f>
        <v/>
      </c>
      <c r="AL72" s="13"/>
      <c r="AM72" s="12"/>
      <c r="AN72" s="12"/>
      <c r="AO72" s="12"/>
      <c r="AP72" s="12"/>
      <c r="AQ72" s="18" t="str">
        <f aca="false">IF(A72="","",N(AQ71)+N(AA72))</f>
        <v/>
      </c>
      <c r="AR72" s="18" t="str">
        <f aca="false">IF(AQ72="","",MAX(0,MAX($AQ$8:AQ72))-AQ72)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  <c r="M73" s="13"/>
      <c r="N73" s="13"/>
      <c r="O73" s="14" t="str">
        <f aca="false">IF(OR(L73="",L73=0),"",(1-M73)/L73)</f>
        <v/>
      </c>
      <c r="P73" s="15"/>
      <c r="Q73" s="12"/>
      <c r="R73" s="12"/>
      <c r="S73" s="13"/>
      <c r="T73" s="16" t="str">
        <f aca="false">IF(OR(S73="",L73=""),"",L73/(1-M73)-S73)</f>
        <v/>
      </c>
      <c r="U73" s="16" t="str">
        <f aca="false">IF(OR(L73="",P73=""),"",L73*(P73-1)-N73)</f>
        <v/>
      </c>
      <c r="V73" s="13"/>
      <c r="W73" s="17"/>
      <c r="X73" s="12"/>
      <c r="Y73" s="12"/>
      <c r="Z73" s="12"/>
      <c r="AA73" s="18" t="str">
        <f aca="false">IF(K73&lt;&gt;"ВИРТУАЛЬНЫЙ ВЫБОР","",IF(Z73="✅ ЗАШЛО",W73*(P73-1),IF(Z73="❌ НЕ ЗАШЛО",-W73,IF(Z73="½ ЗАШЛО",W73*(P73-1)/2,IF(Z73="½ НЕ ЗАШЛО",-W73/2,IF(Z73="ВОЗВРАТ",0,""))))))</f>
        <v/>
      </c>
      <c r="AB73" s="18" t="str">
        <f aca="false">IF(AND(K73="ВИРТУАЛЬНЫЙ ВЫБОР",OR(Z73="✅ ЗАШЛО",Z73="❌ НЕ ЗАШЛО",Z73="½ ЗАШЛО",Z73="½ НЕ ЗАШЛО",Z73="ВОЗВРАТ")),W73,"")</f>
        <v/>
      </c>
      <c r="AC73" s="15"/>
      <c r="AD73" s="16" t="str">
        <f aca="false">IF(OR(AC73="",P73=""),"",P73/AC73-1)</f>
        <v/>
      </c>
      <c r="AE73" s="19" t="str">
        <f aca="false">IF(AND(M73=0,OR(Z73="✅ ЗАШЛО",Z73="❌ НЕ ЗАШЛО"),L73&lt;&gt;""),(L73-IF(Z73="✅ ЗАШЛО",1,0))^2,"")</f>
        <v/>
      </c>
      <c r="AF73" s="15"/>
      <c r="AG73" s="15"/>
      <c r="AH73" s="13"/>
      <c r="AI73" s="13"/>
      <c r="AJ73" s="13"/>
      <c r="AK73" s="20" t="str">
        <f aca="false">IF(AH73="","",IF(ABS(AH73+AI73+AJ73-1)&lt;0.000001,"OK","ОШИБКА"))</f>
        <v/>
      </c>
      <c r="AL73" s="13"/>
      <c r="AM73" s="12"/>
      <c r="AN73" s="12"/>
      <c r="AO73" s="12"/>
      <c r="AP73" s="12"/>
      <c r="AQ73" s="18" t="str">
        <f aca="false">IF(A73="","",N(AQ72)+N(AA73))</f>
        <v/>
      </c>
      <c r="AR73" s="18" t="str">
        <f aca="false">IF(AQ73="","",MAX(0,MAX($AQ$8:AQ73))-AQ73)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3"/>
      <c r="M74" s="13"/>
      <c r="N74" s="13"/>
      <c r="O74" s="14" t="str">
        <f aca="false">IF(OR(L74="",L74=0),"",(1-M74)/L74)</f>
        <v/>
      </c>
      <c r="P74" s="15"/>
      <c r="Q74" s="12"/>
      <c r="R74" s="12"/>
      <c r="S74" s="13"/>
      <c r="T74" s="16" t="str">
        <f aca="false">IF(OR(S74="",L74=""),"",L74/(1-M74)-S74)</f>
        <v/>
      </c>
      <c r="U74" s="16" t="str">
        <f aca="false">IF(OR(L74="",P74=""),"",L74*(P74-1)-N74)</f>
        <v/>
      </c>
      <c r="V74" s="13"/>
      <c r="W74" s="17"/>
      <c r="X74" s="12"/>
      <c r="Y74" s="12"/>
      <c r="Z74" s="12"/>
      <c r="AA74" s="18" t="str">
        <f aca="false">IF(K74&lt;&gt;"ВИРТУАЛЬНЫЙ ВЫБОР","",IF(Z74="✅ ЗАШЛО",W74*(P74-1),IF(Z74="❌ НЕ ЗАШЛО",-W74,IF(Z74="½ ЗАШЛО",W74*(P74-1)/2,IF(Z74="½ НЕ ЗАШЛО",-W74/2,IF(Z74="ВОЗВРАТ",0,""))))))</f>
        <v/>
      </c>
      <c r="AB74" s="18" t="str">
        <f aca="false">IF(AND(K74="ВИРТУАЛЬНЫЙ ВЫБОР",OR(Z74="✅ ЗАШЛО",Z74="❌ НЕ ЗАШЛО",Z74="½ ЗАШЛО",Z74="½ НЕ ЗАШЛО",Z74="ВОЗВРАТ")),W74,"")</f>
        <v/>
      </c>
      <c r="AC74" s="15"/>
      <c r="AD74" s="16" t="str">
        <f aca="false">IF(OR(AC74="",P74=""),"",P74/AC74-1)</f>
        <v/>
      </c>
      <c r="AE74" s="19" t="str">
        <f aca="false">IF(AND(M74=0,OR(Z74="✅ ЗАШЛО",Z74="❌ НЕ ЗАШЛО"),L74&lt;&gt;""),(L74-IF(Z74="✅ ЗАШЛО",1,0))^2,"")</f>
        <v/>
      </c>
      <c r="AF74" s="15"/>
      <c r="AG74" s="15"/>
      <c r="AH74" s="13"/>
      <c r="AI74" s="13"/>
      <c r="AJ74" s="13"/>
      <c r="AK74" s="20" t="str">
        <f aca="false">IF(AH74="","",IF(ABS(AH74+AI74+AJ74-1)&lt;0.000001,"OK","ОШИБКА"))</f>
        <v/>
      </c>
      <c r="AL74" s="13"/>
      <c r="AM74" s="12"/>
      <c r="AN74" s="12"/>
      <c r="AO74" s="12"/>
      <c r="AP74" s="12"/>
      <c r="AQ74" s="18" t="str">
        <f aca="false">IF(A74="","",N(AQ73)+N(AA74))</f>
        <v/>
      </c>
      <c r="AR74" s="18" t="str">
        <f aca="false">IF(AQ74="","",MAX(0,MAX($AQ$8:AQ74))-AQ74)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3"/>
      <c r="M75" s="13"/>
      <c r="N75" s="13"/>
      <c r="O75" s="14" t="str">
        <f aca="false">IF(OR(L75="",L75=0),"",(1-M75)/L75)</f>
        <v/>
      </c>
      <c r="P75" s="15"/>
      <c r="Q75" s="12"/>
      <c r="R75" s="12"/>
      <c r="S75" s="13"/>
      <c r="T75" s="16" t="str">
        <f aca="false">IF(OR(S75="",L75=""),"",L75/(1-M75)-S75)</f>
        <v/>
      </c>
      <c r="U75" s="16" t="str">
        <f aca="false">IF(OR(L75="",P75=""),"",L75*(P75-1)-N75)</f>
        <v/>
      </c>
      <c r="V75" s="13"/>
      <c r="W75" s="17"/>
      <c r="X75" s="12"/>
      <c r="Y75" s="12"/>
      <c r="Z75" s="12"/>
      <c r="AA75" s="18" t="str">
        <f aca="false">IF(K75&lt;&gt;"ВИРТУАЛЬНЫЙ ВЫБОР","",IF(Z75="✅ ЗАШЛО",W75*(P75-1),IF(Z75="❌ НЕ ЗАШЛО",-W75,IF(Z75="½ ЗАШЛО",W75*(P75-1)/2,IF(Z75="½ НЕ ЗАШЛО",-W75/2,IF(Z75="ВОЗВРАТ",0,""))))))</f>
        <v/>
      </c>
      <c r="AB75" s="18" t="str">
        <f aca="false">IF(AND(K75="ВИРТУАЛЬНЫЙ ВЫБОР",OR(Z75="✅ ЗАШЛО",Z75="❌ НЕ ЗАШЛО",Z75="½ ЗАШЛО",Z75="½ НЕ ЗАШЛО",Z75="ВОЗВРАТ")),W75,"")</f>
        <v/>
      </c>
      <c r="AC75" s="15"/>
      <c r="AD75" s="16" t="str">
        <f aca="false">IF(OR(AC75="",P75=""),"",P75/AC75-1)</f>
        <v/>
      </c>
      <c r="AE75" s="19" t="str">
        <f aca="false">IF(AND(M75=0,OR(Z75="✅ ЗАШЛО",Z75="❌ НЕ ЗАШЛО"),L75&lt;&gt;""),(L75-IF(Z75="✅ ЗАШЛО",1,0))^2,"")</f>
        <v/>
      </c>
      <c r="AF75" s="15"/>
      <c r="AG75" s="15"/>
      <c r="AH75" s="13"/>
      <c r="AI75" s="13"/>
      <c r="AJ75" s="13"/>
      <c r="AK75" s="20" t="str">
        <f aca="false">IF(AH75="","",IF(ABS(AH75+AI75+AJ75-1)&lt;0.000001,"OK","ОШИБКА"))</f>
        <v/>
      </c>
      <c r="AL75" s="13"/>
      <c r="AM75" s="12"/>
      <c r="AN75" s="12"/>
      <c r="AO75" s="12"/>
      <c r="AP75" s="12"/>
      <c r="AQ75" s="18" t="str">
        <f aca="false">IF(A75="","",N(AQ74)+N(AA75))</f>
        <v/>
      </c>
      <c r="AR75" s="18" t="str">
        <f aca="false">IF(AQ75="","",MAX(0,MAX($AQ$8:AQ75))-AQ75)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3"/>
      <c r="M76" s="13"/>
      <c r="N76" s="13"/>
      <c r="O76" s="14" t="str">
        <f aca="false">IF(OR(L76="",L76=0),"",(1-M76)/L76)</f>
        <v/>
      </c>
      <c r="P76" s="15"/>
      <c r="Q76" s="12"/>
      <c r="R76" s="12"/>
      <c r="S76" s="13"/>
      <c r="T76" s="16" t="str">
        <f aca="false">IF(OR(S76="",L76=""),"",L76/(1-M76)-S76)</f>
        <v/>
      </c>
      <c r="U76" s="16" t="str">
        <f aca="false">IF(OR(L76="",P76=""),"",L76*(P76-1)-N76)</f>
        <v/>
      </c>
      <c r="V76" s="13"/>
      <c r="W76" s="17"/>
      <c r="X76" s="12"/>
      <c r="Y76" s="12"/>
      <c r="Z76" s="12"/>
      <c r="AA76" s="18" t="str">
        <f aca="false">IF(K76&lt;&gt;"ВИРТУАЛЬНЫЙ ВЫБОР","",IF(Z76="✅ ЗАШЛО",W76*(P76-1),IF(Z76="❌ НЕ ЗАШЛО",-W76,IF(Z76="½ ЗАШЛО",W76*(P76-1)/2,IF(Z76="½ НЕ ЗАШЛО",-W76/2,IF(Z76="ВОЗВРАТ",0,""))))))</f>
        <v/>
      </c>
      <c r="AB76" s="18" t="str">
        <f aca="false">IF(AND(K76="ВИРТУАЛЬНЫЙ ВЫБОР",OR(Z76="✅ ЗАШЛО",Z76="❌ НЕ ЗАШЛО",Z76="½ ЗАШЛО",Z76="½ НЕ ЗАШЛО",Z76="ВОЗВРАТ")),W76,"")</f>
        <v/>
      </c>
      <c r="AC76" s="15"/>
      <c r="AD76" s="16" t="str">
        <f aca="false">IF(OR(AC76="",P76=""),"",P76/AC76-1)</f>
        <v/>
      </c>
      <c r="AE76" s="19" t="str">
        <f aca="false">IF(AND(M76=0,OR(Z76="✅ ЗАШЛО",Z76="❌ НЕ ЗАШЛО"),L76&lt;&gt;""),(L76-IF(Z76="✅ ЗАШЛО",1,0))^2,"")</f>
        <v/>
      </c>
      <c r="AF76" s="15"/>
      <c r="AG76" s="15"/>
      <c r="AH76" s="13"/>
      <c r="AI76" s="13"/>
      <c r="AJ76" s="13"/>
      <c r="AK76" s="20" t="str">
        <f aca="false">IF(AH76="","",IF(ABS(AH76+AI76+AJ76-1)&lt;0.000001,"OK","ОШИБКА"))</f>
        <v/>
      </c>
      <c r="AL76" s="13"/>
      <c r="AM76" s="12"/>
      <c r="AN76" s="12"/>
      <c r="AO76" s="12"/>
      <c r="AP76" s="12"/>
      <c r="AQ76" s="18" t="str">
        <f aca="false">IF(A76="","",N(AQ75)+N(AA76))</f>
        <v/>
      </c>
      <c r="AR76" s="18" t="str">
        <f aca="false">IF(AQ76="","",MAX(0,MAX($AQ$8:AQ76))-AQ76)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3"/>
      <c r="M77" s="13"/>
      <c r="N77" s="13"/>
      <c r="O77" s="14" t="str">
        <f aca="false">IF(OR(L77="",L77=0),"",(1-M77)/L77)</f>
        <v/>
      </c>
      <c r="P77" s="15"/>
      <c r="Q77" s="12"/>
      <c r="R77" s="12"/>
      <c r="S77" s="13"/>
      <c r="T77" s="16" t="str">
        <f aca="false">IF(OR(S77="",L77=""),"",L77/(1-M77)-S77)</f>
        <v/>
      </c>
      <c r="U77" s="16" t="str">
        <f aca="false">IF(OR(L77="",P77=""),"",L77*(P77-1)-N77)</f>
        <v/>
      </c>
      <c r="V77" s="13"/>
      <c r="W77" s="17"/>
      <c r="X77" s="12"/>
      <c r="Y77" s="12"/>
      <c r="Z77" s="12"/>
      <c r="AA77" s="18" t="str">
        <f aca="false">IF(K77&lt;&gt;"ВИРТУАЛЬНЫЙ ВЫБОР","",IF(Z77="✅ ЗАШЛО",W77*(P77-1),IF(Z77="❌ НЕ ЗАШЛО",-W77,IF(Z77="½ ЗАШЛО",W77*(P77-1)/2,IF(Z77="½ НЕ ЗАШЛО",-W77/2,IF(Z77="ВОЗВРАТ",0,""))))))</f>
        <v/>
      </c>
      <c r="AB77" s="18" t="str">
        <f aca="false">IF(AND(K77="ВИРТУАЛЬНЫЙ ВЫБОР",OR(Z77="✅ ЗАШЛО",Z77="❌ НЕ ЗАШЛО",Z77="½ ЗАШЛО",Z77="½ НЕ ЗАШЛО",Z77="ВОЗВРАТ")),W77,"")</f>
        <v/>
      </c>
      <c r="AC77" s="15"/>
      <c r="AD77" s="16" t="str">
        <f aca="false">IF(OR(AC77="",P77=""),"",P77/AC77-1)</f>
        <v/>
      </c>
      <c r="AE77" s="19" t="str">
        <f aca="false">IF(AND(M77=0,OR(Z77="✅ ЗАШЛО",Z77="❌ НЕ ЗАШЛО"),L77&lt;&gt;""),(L77-IF(Z77="✅ ЗАШЛО",1,0))^2,"")</f>
        <v/>
      </c>
      <c r="AF77" s="15"/>
      <c r="AG77" s="15"/>
      <c r="AH77" s="13"/>
      <c r="AI77" s="13"/>
      <c r="AJ77" s="13"/>
      <c r="AK77" s="20" t="str">
        <f aca="false">IF(AH77="","",IF(ABS(AH77+AI77+AJ77-1)&lt;0.000001,"OK","ОШИБКА"))</f>
        <v/>
      </c>
      <c r="AL77" s="13"/>
      <c r="AM77" s="12"/>
      <c r="AN77" s="12"/>
      <c r="AO77" s="12"/>
      <c r="AP77" s="12"/>
      <c r="AQ77" s="18" t="str">
        <f aca="false">IF(A77="","",N(AQ76)+N(AA77))</f>
        <v/>
      </c>
      <c r="AR77" s="18" t="str">
        <f aca="false">IF(AQ77="","",MAX(0,MAX($AQ$8:AQ77))-AQ77)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3"/>
      <c r="M78" s="13"/>
      <c r="N78" s="13"/>
      <c r="O78" s="14" t="str">
        <f aca="false">IF(OR(L78="",L78=0),"",(1-M78)/L78)</f>
        <v/>
      </c>
      <c r="P78" s="15"/>
      <c r="Q78" s="12"/>
      <c r="R78" s="12"/>
      <c r="S78" s="13"/>
      <c r="T78" s="16" t="str">
        <f aca="false">IF(OR(S78="",L78=""),"",L78/(1-M78)-S78)</f>
        <v/>
      </c>
      <c r="U78" s="16" t="str">
        <f aca="false">IF(OR(L78="",P78=""),"",L78*(P78-1)-N78)</f>
        <v/>
      </c>
      <c r="V78" s="13"/>
      <c r="W78" s="17"/>
      <c r="X78" s="12"/>
      <c r="Y78" s="12"/>
      <c r="Z78" s="12"/>
      <c r="AA78" s="18" t="str">
        <f aca="false">IF(K78&lt;&gt;"ВИРТУАЛЬНЫЙ ВЫБОР","",IF(Z78="✅ ЗАШЛО",W78*(P78-1),IF(Z78="❌ НЕ ЗАШЛО",-W78,IF(Z78="½ ЗАШЛО",W78*(P78-1)/2,IF(Z78="½ НЕ ЗАШЛО",-W78/2,IF(Z78="ВОЗВРАТ",0,""))))))</f>
        <v/>
      </c>
      <c r="AB78" s="18" t="str">
        <f aca="false">IF(AND(K78="ВИРТУАЛЬНЫЙ ВЫБОР",OR(Z78="✅ ЗАШЛО",Z78="❌ НЕ ЗАШЛО",Z78="½ ЗАШЛО",Z78="½ НЕ ЗАШЛО",Z78="ВОЗВРАТ")),W78,"")</f>
        <v/>
      </c>
      <c r="AC78" s="15"/>
      <c r="AD78" s="16" t="str">
        <f aca="false">IF(OR(AC78="",P78=""),"",P78/AC78-1)</f>
        <v/>
      </c>
      <c r="AE78" s="19" t="str">
        <f aca="false">IF(AND(M78=0,OR(Z78="✅ ЗАШЛО",Z78="❌ НЕ ЗАШЛО"),L78&lt;&gt;""),(L78-IF(Z78="✅ ЗАШЛО",1,0))^2,"")</f>
        <v/>
      </c>
      <c r="AF78" s="15"/>
      <c r="AG78" s="15"/>
      <c r="AH78" s="13"/>
      <c r="AI78" s="13"/>
      <c r="AJ78" s="13"/>
      <c r="AK78" s="20" t="str">
        <f aca="false">IF(AH78="","",IF(ABS(AH78+AI78+AJ78-1)&lt;0.000001,"OK","ОШИБКА"))</f>
        <v/>
      </c>
      <c r="AL78" s="13"/>
      <c r="AM78" s="12"/>
      <c r="AN78" s="12"/>
      <c r="AO78" s="12"/>
      <c r="AP78" s="12"/>
      <c r="AQ78" s="18" t="str">
        <f aca="false">IF(A78="","",N(AQ77)+N(AA78))</f>
        <v/>
      </c>
      <c r="AR78" s="18" t="str">
        <f aca="false">IF(AQ78="","",MAX(0,MAX($AQ$8:AQ78))-AQ78)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3"/>
      <c r="M79" s="13"/>
      <c r="N79" s="13"/>
      <c r="O79" s="14" t="str">
        <f aca="false">IF(OR(L79="",L79=0),"",(1-M79)/L79)</f>
        <v/>
      </c>
      <c r="P79" s="15"/>
      <c r="Q79" s="12"/>
      <c r="R79" s="12"/>
      <c r="S79" s="13"/>
      <c r="T79" s="16" t="str">
        <f aca="false">IF(OR(S79="",L79=""),"",L79/(1-M79)-S79)</f>
        <v/>
      </c>
      <c r="U79" s="16" t="str">
        <f aca="false">IF(OR(L79="",P79=""),"",L79*(P79-1)-N79)</f>
        <v/>
      </c>
      <c r="V79" s="13"/>
      <c r="W79" s="17"/>
      <c r="X79" s="12"/>
      <c r="Y79" s="12"/>
      <c r="Z79" s="12"/>
      <c r="AA79" s="18" t="str">
        <f aca="false">IF(K79&lt;&gt;"ВИРТУАЛЬНЫЙ ВЫБОР","",IF(Z79="✅ ЗАШЛО",W79*(P79-1),IF(Z79="❌ НЕ ЗАШЛО",-W79,IF(Z79="½ ЗАШЛО",W79*(P79-1)/2,IF(Z79="½ НЕ ЗАШЛО",-W79/2,IF(Z79="ВОЗВРАТ",0,""))))))</f>
        <v/>
      </c>
      <c r="AB79" s="18" t="str">
        <f aca="false">IF(AND(K79="ВИРТУАЛЬНЫЙ ВЫБОР",OR(Z79="✅ ЗАШЛО",Z79="❌ НЕ ЗАШЛО",Z79="½ ЗАШЛО",Z79="½ НЕ ЗАШЛО",Z79="ВОЗВРАТ")),W79,"")</f>
        <v/>
      </c>
      <c r="AC79" s="15"/>
      <c r="AD79" s="16" t="str">
        <f aca="false">IF(OR(AC79="",P79=""),"",P79/AC79-1)</f>
        <v/>
      </c>
      <c r="AE79" s="19" t="str">
        <f aca="false">IF(AND(M79=0,OR(Z79="✅ ЗАШЛО",Z79="❌ НЕ ЗАШЛО"),L79&lt;&gt;""),(L79-IF(Z79="✅ ЗАШЛО",1,0))^2,"")</f>
        <v/>
      </c>
      <c r="AF79" s="15"/>
      <c r="AG79" s="15"/>
      <c r="AH79" s="13"/>
      <c r="AI79" s="13"/>
      <c r="AJ79" s="13"/>
      <c r="AK79" s="20" t="str">
        <f aca="false">IF(AH79="","",IF(ABS(AH79+AI79+AJ79-1)&lt;0.000001,"OK","ОШИБКА"))</f>
        <v/>
      </c>
      <c r="AL79" s="13"/>
      <c r="AM79" s="12"/>
      <c r="AN79" s="12"/>
      <c r="AO79" s="12"/>
      <c r="AP79" s="12"/>
      <c r="AQ79" s="18" t="str">
        <f aca="false">IF(A79="","",N(AQ78)+N(AA79))</f>
        <v/>
      </c>
      <c r="AR79" s="18" t="str">
        <f aca="false">IF(AQ79="","",MAX(0,MAX($AQ$8:AQ79))-AQ79)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3"/>
      <c r="M80" s="13"/>
      <c r="N80" s="13"/>
      <c r="O80" s="14" t="str">
        <f aca="false">IF(OR(L80="",L80=0),"",(1-M80)/L80)</f>
        <v/>
      </c>
      <c r="P80" s="15"/>
      <c r="Q80" s="12"/>
      <c r="R80" s="12"/>
      <c r="S80" s="13"/>
      <c r="T80" s="16" t="str">
        <f aca="false">IF(OR(S80="",L80=""),"",L80/(1-M80)-S80)</f>
        <v/>
      </c>
      <c r="U80" s="16" t="str">
        <f aca="false">IF(OR(L80="",P80=""),"",L80*(P80-1)-N80)</f>
        <v/>
      </c>
      <c r="V80" s="13"/>
      <c r="W80" s="17"/>
      <c r="X80" s="12"/>
      <c r="Y80" s="12"/>
      <c r="Z80" s="12"/>
      <c r="AA80" s="18" t="str">
        <f aca="false">IF(K80&lt;&gt;"ВИРТУАЛЬНЫЙ ВЫБОР","",IF(Z80="✅ ЗАШЛО",W80*(P80-1),IF(Z80="❌ НЕ ЗАШЛО",-W80,IF(Z80="½ ЗАШЛО",W80*(P80-1)/2,IF(Z80="½ НЕ ЗАШЛО",-W80/2,IF(Z80="ВОЗВРАТ",0,""))))))</f>
        <v/>
      </c>
      <c r="AB80" s="18" t="str">
        <f aca="false">IF(AND(K80="ВИРТУАЛЬНЫЙ ВЫБОР",OR(Z80="✅ ЗАШЛО",Z80="❌ НЕ ЗАШЛО",Z80="½ ЗАШЛО",Z80="½ НЕ ЗАШЛО",Z80="ВОЗВРАТ")),W80,"")</f>
        <v/>
      </c>
      <c r="AC80" s="15"/>
      <c r="AD80" s="16" t="str">
        <f aca="false">IF(OR(AC80="",P80=""),"",P80/AC80-1)</f>
        <v/>
      </c>
      <c r="AE80" s="19" t="str">
        <f aca="false">IF(AND(M80=0,OR(Z80="✅ ЗАШЛО",Z80="❌ НЕ ЗАШЛО"),L80&lt;&gt;""),(L80-IF(Z80="✅ ЗАШЛО",1,0))^2,"")</f>
        <v/>
      </c>
      <c r="AF80" s="15"/>
      <c r="AG80" s="15"/>
      <c r="AH80" s="13"/>
      <c r="AI80" s="13"/>
      <c r="AJ80" s="13"/>
      <c r="AK80" s="20" t="str">
        <f aca="false">IF(AH80="","",IF(ABS(AH80+AI80+AJ80-1)&lt;0.000001,"OK","ОШИБКА"))</f>
        <v/>
      </c>
      <c r="AL80" s="13"/>
      <c r="AM80" s="12"/>
      <c r="AN80" s="12"/>
      <c r="AO80" s="12"/>
      <c r="AP80" s="12"/>
      <c r="AQ80" s="18" t="str">
        <f aca="false">IF(A80="","",N(AQ79)+N(AA80))</f>
        <v/>
      </c>
      <c r="AR80" s="18" t="str">
        <f aca="false">IF(AQ80="","",MAX(0,MAX($AQ$8:AQ80))-AQ80)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3"/>
      <c r="M81" s="13"/>
      <c r="N81" s="13"/>
      <c r="O81" s="14" t="str">
        <f aca="false">IF(OR(L81="",L81=0),"",(1-M81)/L81)</f>
        <v/>
      </c>
      <c r="P81" s="15"/>
      <c r="Q81" s="12"/>
      <c r="R81" s="12"/>
      <c r="S81" s="13"/>
      <c r="T81" s="16" t="str">
        <f aca="false">IF(OR(S81="",L81=""),"",L81/(1-M81)-S81)</f>
        <v/>
      </c>
      <c r="U81" s="16" t="str">
        <f aca="false">IF(OR(L81="",P81=""),"",L81*(P81-1)-N81)</f>
        <v/>
      </c>
      <c r="V81" s="13"/>
      <c r="W81" s="17"/>
      <c r="X81" s="12"/>
      <c r="Y81" s="12"/>
      <c r="Z81" s="12"/>
      <c r="AA81" s="18" t="str">
        <f aca="false">IF(K81&lt;&gt;"ВИРТУАЛЬНЫЙ ВЫБОР","",IF(Z81="✅ ЗАШЛО",W81*(P81-1),IF(Z81="❌ НЕ ЗАШЛО",-W81,IF(Z81="½ ЗАШЛО",W81*(P81-1)/2,IF(Z81="½ НЕ ЗАШЛО",-W81/2,IF(Z81="ВОЗВРАТ",0,""))))))</f>
        <v/>
      </c>
      <c r="AB81" s="18" t="str">
        <f aca="false">IF(AND(K81="ВИРТУАЛЬНЫЙ ВЫБОР",OR(Z81="✅ ЗАШЛО",Z81="❌ НЕ ЗАШЛО",Z81="½ ЗАШЛО",Z81="½ НЕ ЗАШЛО",Z81="ВОЗВРАТ")),W81,"")</f>
        <v/>
      </c>
      <c r="AC81" s="15"/>
      <c r="AD81" s="16" t="str">
        <f aca="false">IF(OR(AC81="",P81=""),"",P81/AC81-1)</f>
        <v/>
      </c>
      <c r="AE81" s="19" t="str">
        <f aca="false">IF(AND(M81=0,OR(Z81="✅ ЗАШЛО",Z81="❌ НЕ ЗАШЛО"),L81&lt;&gt;""),(L81-IF(Z81="✅ ЗАШЛО",1,0))^2,"")</f>
        <v/>
      </c>
      <c r="AF81" s="15"/>
      <c r="AG81" s="15"/>
      <c r="AH81" s="13"/>
      <c r="AI81" s="13"/>
      <c r="AJ81" s="13"/>
      <c r="AK81" s="20" t="str">
        <f aca="false">IF(AH81="","",IF(ABS(AH81+AI81+AJ81-1)&lt;0.000001,"OK","ОШИБКА"))</f>
        <v/>
      </c>
      <c r="AL81" s="13"/>
      <c r="AM81" s="12"/>
      <c r="AN81" s="12"/>
      <c r="AO81" s="12"/>
      <c r="AP81" s="12"/>
      <c r="AQ81" s="18" t="str">
        <f aca="false">IF(A81="","",N(AQ80)+N(AA81))</f>
        <v/>
      </c>
      <c r="AR81" s="18" t="str">
        <f aca="false">IF(AQ81="","",MAX(0,MAX($AQ$8:AQ81))-AQ81)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3"/>
      <c r="M82" s="13"/>
      <c r="N82" s="13"/>
      <c r="O82" s="14" t="str">
        <f aca="false">IF(OR(L82="",L82=0),"",(1-M82)/L82)</f>
        <v/>
      </c>
      <c r="P82" s="15"/>
      <c r="Q82" s="12"/>
      <c r="R82" s="12"/>
      <c r="S82" s="13"/>
      <c r="T82" s="16" t="str">
        <f aca="false">IF(OR(S82="",L82=""),"",L82/(1-M82)-S82)</f>
        <v/>
      </c>
      <c r="U82" s="16" t="str">
        <f aca="false">IF(OR(L82="",P82=""),"",L82*(P82-1)-N82)</f>
        <v/>
      </c>
      <c r="V82" s="13"/>
      <c r="W82" s="17"/>
      <c r="X82" s="12"/>
      <c r="Y82" s="12"/>
      <c r="Z82" s="12"/>
      <c r="AA82" s="18" t="str">
        <f aca="false">IF(K82&lt;&gt;"ВИРТУАЛЬНЫЙ ВЫБОР","",IF(Z82="✅ ЗАШЛО",W82*(P82-1),IF(Z82="❌ НЕ ЗАШЛО",-W82,IF(Z82="½ ЗАШЛО",W82*(P82-1)/2,IF(Z82="½ НЕ ЗАШЛО",-W82/2,IF(Z82="ВОЗВРАТ",0,""))))))</f>
        <v/>
      </c>
      <c r="AB82" s="18" t="str">
        <f aca="false">IF(AND(K82="ВИРТУАЛЬНЫЙ ВЫБОР",OR(Z82="✅ ЗАШЛО",Z82="❌ НЕ ЗАШЛО",Z82="½ ЗАШЛО",Z82="½ НЕ ЗАШЛО",Z82="ВОЗВРАТ")),W82,"")</f>
        <v/>
      </c>
      <c r="AC82" s="15"/>
      <c r="AD82" s="16" t="str">
        <f aca="false">IF(OR(AC82="",P82=""),"",P82/AC82-1)</f>
        <v/>
      </c>
      <c r="AE82" s="19" t="str">
        <f aca="false">IF(AND(M82=0,OR(Z82="✅ ЗАШЛО",Z82="❌ НЕ ЗАШЛО"),L82&lt;&gt;""),(L82-IF(Z82="✅ ЗАШЛО",1,0))^2,"")</f>
        <v/>
      </c>
      <c r="AF82" s="15"/>
      <c r="AG82" s="15"/>
      <c r="AH82" s="13"/>
      <c r="AI82" s="13"/>
      <c r="AJ82" s="13"/>
      <c r="AK82" s="20" t="str">
        <f aca="false">IF(AH82="","",IF(ABS(AH82+AI82+AJ82-1)&lt;0.000001,"OK","ОШИБКА"))</f>
        <v/>
      </c>
      <c r="AL82" s="13"/>
      <c r="AM82" s="12"/>
      <c r="AN82" s="12"/>
      <c r="AO82" s="12"/>
      <c r="AP82" s="12"/>
      <c r="AQ82" s="18" t="str">
        <f aca="false">IF(A82="","",N(AQ81)+N(AA82))</f>
        <v/>
      </c>
      <c r="AR82" s="18" t="str">
        <f aca="false">IF(AQ82="","",MAX(0,MAX($AQ$8:AQ82))-AQ82)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3"/>
      <c r="M83" s="13"/>
      <c r="N83" s="13"/>
      <c r="O83" s="14" t="str">
        <f aca="false">IF(OR(L83="",L83=0),"",(1-M83)/L83)</f>
        <v/>
      </c>
      <c r="P83" s="15"/>
      <c r="Q83" s="12"/>
      <c r="R83" s="12"/>
      <c r="S83" s="13"/>
      <c r="T83" s="16" t="str">
        <f aca="false">IF(OR(S83="",L83=""),"",L83/(1-M83)-S83)</f>
        <v/>
      </c>
      <c r="U83" s="16" t="str">
        <f aca="false">IF(OR(L83="",P83=""),"",L83*(P83-1)-N83)</f>
        <v/>
      </c>
      <c r="V83" s="13"/>
      <c r="W83" s="17"/>
      <c r="X83" s="12"/>
      <c r="Y83" s="12"/>
      <c r="Z83" s="12"/>
      <c r="AA83" s="18" t="str">
        <f aca="false">IF(K83&lt;&gt;"ВИРТУАЛЬНЫЙ ВЫБОР","",IF(Z83="✅ ЗАШЛО",W83*(P83-1),IF(Z83="❌ НЕ ЗАШЛО",-W83,IF(Z83="½ ЗАШЛО",W83*(P83-1)/2,IF(Z83="½ НЕ ЗАШЛО",-W83/2,IF(Z83="ВОЗВРАТ",0,""))))))</f>
        <v/>
      </c>
      <c r="AB83" s="18" t="str">
        <f aca="false">IF(AND(K83="ВИРТУАЛЬНЫЙ ВЫБОР",OR(Z83="✅ ЗАШЛО",Z83="❌ НЕ ЗАШЛО",Z83="½ ЗАШЛО",Z83="½ НЕ ЗАШЛО",Z83="ВОЗВРАТ")),W83,"")</f>
        <v/>
      </c>
      <c r="AC83" s="15"/>
      <c r="AD83" s="16" t="str">
        <f aca="false">IF(OR(AC83="",P83=""),"",P83/AC83-1)</f>
        <v/>
      </c>
      <c r="AE83" s="19" t="str">
        <f aca="false">IF(AND(M83=0,OR(Z83="✅ ЗАШЛО",Z83="❌ НЕ ЗАШЛО"),L83&lt;&gt;""),(L83-IF(Z83="✅ ЗАШЛО",1,0))^2,"")</f>
        <v/>
      </c>
      <c r="AF83" s="15"/>
      <c r="AG83" s="15"/>
      <c r="AH83" s="13"/>
      <c r="AI83" s="13"/>
      <c r="AJ83" s="13"/>
      <c r="AK83" s="20" t="str">
        <f aca="false">IF(AH83="","",IF(ABS(AH83+AI83+AJ83-1)&lt;0.000001,"OK","ОШИБКА"))</f>
        <v/>
      </c>
      <c r="AL83" s="13"/>
      <c r="AM83" s="12"/>
      <c r="AN83" s="12"/>
      <c r="AO83" s="12"/>
      <c r="AP83" s="12"/>
      <c r="AQ83" s="18" t="str">
        <f aca="false">IF(A83="","",N(AQ82)+N(AA83))</f>
        <v/>
      </c>
      <c r="AR83" s="18" t="str">
        <f aca="false">IF(AQ83="","",MAX(0,MAX($AQ$8:AQ83))-AQ83)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3"/>
      <c r="M84" s="13"/>
      <c r="N84" s="13"/>
      <c r="O84" s="14" t="str">
        <f aca="false">IF(OR(L84="",L84=0),"",(1-M84)/L84)</f>
        <v/>
      </c>
      <c r="P84" s="15"/>
      <c r="Q84" s="12"/>
      <c r="R84" s="12"/>
      <c r="S84" s="13"/>
      <c r="T84" s="16" t="str">
        <f aca="false">IF(OR(S84="",L84=""),"",L84/(1-M84)-S84)</f>
        <v/>
      </c>
      <c r="U84" s="16" t="str">
        <f aca="false">IF(OR(L84="",P84=""),"",L84*(P84-1)-N84)</f>
        <v/>
      </c>
      <c r="V84" s="13"/>
      <c r="W84" s="17"/>
      <c r="X84" s="12"/>
      <c r="Y84" s="12"/>
      <c r="Z84" s="12"/>
      <c r="AA84" s="18" t="str">
        <f aca="false">IF(K84&lt;&gt;"ВИРТУАЛЬНЫЙ ВЫБОР","",IF(Z84="✅ ЗАШЛО",W84*(P84-1),IF(Z84="❌ НЕ ЗАШЛО",-W84,IF(Z84="½ ЗАШЛО",W84*(P84-1)/2,IF(Z84="½ НЕ ЗАШЛО",-W84/2,IF(Z84="ВОЗВРАТ",0,""))))))</f>
        <v/>
      </c>
      <c r="AB84" s="18" t="str">
        <f aca="false">IF(AND(K84="ВИРТУАЛЬНЫЙ ВЫБОР",OR(Z84="✅ ЗАШЛО",Z84="❌ НЕ ЗАШЛО",Z84="½ ЗАШЛО",Z84="½ НЕ ЗАШЛО",Z84="ВОЗВРАТ")),W84,"")</f>
        <v/>
      </c>
      <c r="AC84" s="15"/>
      <c r="AD84" s="16" t="str">
        <f aca="false">IF(OR(AC84="",P84=""),"",P84/AC84-1)</f>
        <v/>
      </c>
      <c r="AE84" s="19" t="str">
        <f aca="false">IF(AND(M84=0,OR(Z84="✅ ЗАШЛО",Z84="❌ НЕ ЗАШЛО"),L84&lt;&gt;""),(L84-IF(Z84="✅ ЗАШЛО",1,0))^2,"")</f>
        <v/>
      </c>
      <c r="AF84" s="15"/>
      <c r="AG84" s="15"/>
      <c r="AH84" s="13"/>
      <c r="AI84" s="13"/>
      <c r="AJ84" s="13"/>
      <c r="AK84" s="20" t="str">
        <f aca="false">IF(AH84="","",IF(ABS(AH84+AI84+AJ84-1)&lt;0.000001,"OK","ОШИБКА"))</f>
        <v/>
      </c>
      <c r="AL84" s="13"/>
      <c r="AM84" s="12"/>
      <c r="AN84" s="12"/>
      <c r="AO84" s="12"/>
      <c r="AP84" s="12"/>
      <c r="AQ84" s="18" t="str">
        <f aca="false">IF(A84="","",N(AQ83)+N(AA84))</f>
        <v/>
      </c>
      <c r="AR84" s="18" t="str">
        <f aca="false">IF(AQ84="","",MAX(0,MAX($AQ$8:AQ84))-AQ84)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3"/>
      <c r="M85" s="13"/>
      <c r="N85" s="13"/>
      <c r="O85" s="14" t="str">
        <f aca="false">IF(OR(L85="",L85=0),"",(1-M85)/L85)</f>
        <v/>
      </c>
      <c r="P85" s="15"/>
      <c r="Q85" s="12"/>
      <c r="R85" s="12"/>
      <c r="S85" s="13"/>
      <c r="T85" s="16" t="str">
        <f aca="false">IF(OR(S85="",L85=""),"",L85/(1-M85)-S85)</f>
        <v/>
      </c>
      <c r="U85" s="16" t="str">
        <f aca="false">IF(OR(L85="",P85=""),"",L85*(P85-1)-N85)</f>
        <v/>
      </c>
      <c r="V85" s="13"/>
      <c r="W85" s="17"/>
      <c r="X85" s="12"/>
      <c r="Y85" s="12"/>
      <c r="Z85" s="12"/>
      <c r="AA85" s="18" t="str">
        <f aca="false">IF(K85&lt;&gt;"ВИРТУАЛЬНЫЙ ВЫБОР","",IF(Z85="✅ ЗАШЛО",W85*(P85-1),IF(Z85="❌ НЕ ЗАШЛО",-W85,IF(Z85="½ ЗАШЛО",W85*(P85-1)/2,IF(Z85="½ НЕ ЗАШЛО",-W85/2,IF(Z85="ВОЗВРАТ",0,""))))))</f>
        <v/>
      </c>
      <c r="AB85" s="18" t="str">
        <f aca="false">IF(AND(K85="ВИРТУАЛЬНЫЙ ВЫБОР",OR(Z85="✅ ЗАШЛО",Z85="❌ НЕ ЗАШЛО",Z85="½ ЗАШЛО",Z85="½ НЕ ЗАШЛО",Z85="ВОЗВРАТ")),W85,"")</f>
        <v/>
      </c>
      <c r="AC85" s="15"/>
      <c r="AD85" s="16" t="str">
        <f aca="false">IF(OR(AC85="",P85=""),"",P85/AC85-1)</f>
        <v/>
      </c>
      <c r="AE85" s="19" t="str">
        <f aca="false">IF(AND(M85=0,OR(Z85="✅ ЗАШЛО",Z85="❌ НЕ ЗАШЛО"),L85&lt;&gt;""),(L85-IF(Z85="✅ ЗАШЛО",1,0))^2,"")</f>
        <v/>
      </c>
      <c r="AF85" s="15"/>
      <c r="AG85" s="15"/>
      <c r="AH85" s="13"/>
      <c r="AI85" s="13"/>
      <c r="AJ85" s="13"/>
      <c r="AK85" s="20" t="str">
        <f aca="false">IF(AH85="","",IF(ABS(AH85+AI85+AJ85-1)&lt;0.000001,"OK","ОШИБКА"))</f>
        <v/>
      </c>
      <c r="AL85" s="13"/>
      <c r="AM85" s="12"/>
      <c r="AN85" s="12"/>
      <c r="AO85" s="12"/>
      <c r="AP85" s="12"/>
      <c r="AQ85" s="18" t="str">
        <f aca="false">IF(A85="","",N(AQ84)+N(AA85))</f>
        <v/>
      </c>
      <c r="AR85" s="18" t="str">
        <f aca="false">IF(AQ85="","",MAX(0,MAX($AQ$8:AQ85))-AQ85)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3"/>
      <c r="M86" s="13"/>
      <c r="N86" s="13"/>
      <c r="O86" s="14" t="str">
        <f aca="false">IF(OR(L86="",L86=0),"",(1-M86)/L86)</f>
        <v/>
      </c>
      <c r="P86" s="15"/>
      <c r="Q86" s="12"/>
      <c r="R86" s="12"/>
      <c r="S86" s="13"/>
      <c r="T86" s="16" t="str">
        <f aca="false">IF(OR(S86="",L86=""),"",L86/(1-M86)-S86)</f>
        <v/>
      </c>
      <c r="U86" s="16" t="str">
        <f aca="false">IF(OR(L86="",P86=""),"",L86*(P86-1)-N86)</f>
        <v/>
      </c>
      <c r="V86" s="13"/>
      <c r="W86" s="17"/>
      <c r="X86" s="12"/>
      <c r="Y86" s="12"/>
      <c r="Z86" s="12"/>
      <c r="AA86" s="18" t="str">
        <f aca="false">IF(K86&lt;&gt;"ВИРТУАЛЬНЫЙ ВЫБОР","",IF(Z86="✅ ЗАШЛО",W86*(P86-1),IF(Z86="❌ НЕ ЗАШЛО",-W86,IF(Z86="½ ЗАШЛО",W86*(P86-1)/2,IF(Z86="½ НЕ ЗАШЛО",-W86/2,IF(Z86="ВОЗВРАТ",0,""))))))</f>
        <v/>
      </c>
      <c r="AB86" s="18" t="str">
        <f aca="false">IF(AND(K86="ВИРТУАЛЬНЫЙ ВЫБОР",OR(Z86="✅ ЗАШЛО",Z86="❌ НЕ ЗАШЛО",Z86="½ ЗАШЛО",Z86="½ НЕ ЗАШЛО",Z86="ВОЗВРАТ")),W86,"")</f>
        <v/>
      </c>
      <c r="AC86" s="15"/>
      <c r="AD86" s="16" t="str">
        <f aca="false">IF(OR(AC86="",P86=""),"",P86/AC86-1)</f>
        <v/>
      </c>
      <c r="AE86" s="19" t="str">
        <f aca="false">IF(AND(M86=0,OR(Z86="✅ ЗАШЛО",Z86="❌ НЕ ЗАШЛО"),L86&lt;&gt;""),(L86-IF(Z86="✅ ЗАШЛО",1,0))^2,"")</f>
        <v/>
      </c>
      <c r="AF86" s="15"/>
      <c r="AG86" s="15"/>
      <c r="AH86" s="13"/>
      <c r="AI86" s="13"/>
      <c r="AJ86" s="13"/>
      <c r="AK86" s="20" t="str">
        <f aca="false">IF(AH86="","",IF(ABS(AH86+AI86+AJ86-1)&lt;0.000001,"OK","ОШИБКА"))</f>
        <v/>
      </c>
      <c r="AL86" s="13"/>
      <c r="AM86" s="12"/>
      <c r="AN86" s="12"/>
      <c r="AO86" s="12"/>
      <c r="AP86" s="12"/>
      <c r="AQ86" s="18" t="str">
        <f aca="false">IF(A86="","",N(AQ85)+N(AA86))</f>
        <v/>
      </c>
      <c r="AR86" s="18" t="str">
        <f aca="false">IF(AQ86="","",MAX(0,MAX($AQ$8:AQ86))-AQ86)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3"/>
      <c r="M87" s="13"/>
      <c r="N87" s="13"/>
      <c r="O87" s="14" t="str">
        <f aca="false">IF(OR(L87="",L87=0),"",(1-M87)/L87)</f>
        <v/>
      </c>
      <c r="P87" s="15"/>
      <c r="Q87" s="12"/>
      <c r="R87" s="12"/>
      <c r="S87" s="13"/>
      <c r="T87" s="16" t="str">
        <f aca="false">IF(OR(S87="",L87=""),"",L87/(1-M87)-S87)</f>
        <v/>
      </c>
      <c r="U87" s="16" t="str">
        <f aca="false">IF(OR(L87="",P87=""),"",L87*(P87-1)-N87)</f>
        <v/>
      </c>
      <c r="V87" s="13"/>
      <c r="W87" s="17"/>
      <c r="X87" s="12"/>
      <c r="Y87" s="12"/>
      <c r="Z87" s="12"/>
      <c r="AA87" s="18" t="str">
        <f aca="false">IF(K87&lt;&gt;"ВИРТУАЛЬНЫЙ ВЫБОР","",IF(Z87="✅ ЗАШЛО",W87*(P87-1),IF(Z87="❌ НЕ ЗАШЛО",-W87,IF(Z87="½ ЗАШЛО",W87*(P87-1)/2,IF(Z87="½ НЕ ЗАШЛО",-W87/2,IF(Z87="ВОЗВРАТ",0,""))))))</f>
        <v/>
      </c>
      <c r="AB87" s="18" t="str">
        <f aca="false">IF(AND(K87="ВИРТУАЛЬНЫЙ ВЫБОР",OR(Z87="✅ ЗАШЛО",Z87="❌ НЕ ЗАШЛО",Z87="½ ЗАШЛО",Z87="½ НЕ ЗАШЛО",Z87="ВОЗВРАТ")),W87,"")</f>
        <v/>
      </c>
      <c r="AC87" s="15"/>
      <c r="AD87" s="16" t="str">
        <f aca="false">IF(OR(AC87="",P87=""),"",P87/AC87-1)</f>
        <v/>
      </c>
      <c r="AE87" s="19" t="str">
        <f aca="false">IF(AND(M87=0,OR(Z87="✅ ЗАШЛО",Z87="❌ НЕ ЗАШЛО"),L87&lt;&gt;""),(L87-IF(Z87="✅ ЗАШЛО",1,0))^2,"")</f>
        <v/>
      </c>
      <c r="AF87" s="15"/>
      <c r="AG87" s="15"/>
      <c r="AH87" s="13"/>
      <c r="AI87" s="13"/>
      <c r="AJ87" s="13"/>
      <c r="AK87" s="20" t="str">
        <f aca="false">IF(AH87="","",IF(ABS(AH87+AI87+AJ87-1)&lt;0.000001,"OK","ОШИБКА"))</f>
        <v/>
      </c>
      <c r="AL87" s="13"/>
      <c r="AM87" s="12"/>
      <c r="AN87" s="12"/>
      <c r="AO87" s="12"/>
      <c r="AP87" s="12"/>
      <c r="AQ87" s="18" t="str">
        <f aca="false">IF(A87="","",N(AQ86)+N(AA87))</f>
        <v/>
      </c>
      <c r="AR87" s="18" t="str">
        <f aca="false">IF(AQ87="","",MAX(0,MAX($AQ$8:AQ87))-AQ87)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3"/>
      <c r="M88" s="13"/>
      <c r="N88" s="13"/>
      <c r="O88" s="14" t="str">
        <f aca="false">IF(OR(L88="",L88=0),"",(1-M88)/L88)</f>
        <v/>
      </c>
      <c r="P88" s="15"/>
      <c r="Q88" s="12"/>
      <c r="R88" s="12"/>
      <c r="S88" s="13"/>
      <c r="T88" s="16" t="str">
        <f aca="false">IF(OR(S88="",L88=""),"",L88/(1-M88)-S88)</f>
        <v/>
      </c>
      <c r="U88" s="16" t="str">
        <f aca="false">IF(OR(L88="",P88=""),"",L88*(P88-1)-N88)</f>
        <v/>
      </c>
      <c r="V88" s="13"/>
      <c r="W88" s="17"/>
      <c r="X88" s="12"/>
      <c r="Y88" s="12"/>
      <c r="Z88" s="12"/>
      <c r="AA88" s="18" t="str">
        <f aca="false">IF(K88&lt;&gt;"ВИРТУАЛЬНЫЙ ВЫБОР","",IF(Z88="✅ ЗАШЛО",W88*(P88-1),IF(Z88="❌ НЕ ЗАШЛО",-W88,IF(Z88="½ ЗАШЛО",W88*(P88-1)/2,IF(Z88="½ НЕ ЗАШЛО",-W88/2,IF(Z88="ВОЗВРАТ",0,""))))))</f>
        <v/>
      </c>
      <c r="AB88" s="18" t="str">
        <f aca="false">IF(AND(K88="ВИРТУАЛЬНЫЙ ВЫБОР",OR(Z88="✅ ЗАШЛО",Z88="❌ НЕ ЗАШЛО",Z88="½ ЗАШЛО",Z88="½ НЕ ЗАШЛО",Z88="ВОЗВРАТ")),W88,"")</f>
        <v/>
      </c>
      <c r="AC88" s="15"/>
      <c r="AD88" s="16" t="str">
        <f aca="false">IF(OR(AC88="",P88=""),"",P88/AC88-1)</f>
        <v/>
      </c>
      <c r="AE88" s="19" t="str">
        <f aca="false">IF(AND(M88=0,OR(Z88="✅ ЗАШЛО",Z88="❌ НЕ ЗАШЛО"),L88&lt;&gt;""),(L88-IF(Z88="✅ ЗАШЛО",1,0))^2,"")</f>
        <v/>
      </c>
      <c r="AF88" s="15"/>
      <c r="AG88" s="15"/>
      <c r="AH88" s="13"/>
      <c r="AI88" s="13"/>
      <c r="AJ88" s="13"/>
      <c r="AK88" s="20" t="str">
        <f aca="false">IF(AH88="","",IF(ABS(AH88+AI88+AJ88-1)&lt;0.000001,"OK","ОШИБКА"))</f>
        <v/>
      </c>
      <c r="AL88" s="13"/>
      <c r="AM88" s="12"/>
      <c r="AN88" s="12"/>
      <c r="AO88" s="12"/>
      <c r="AP88" s="12"/>
      <c r="AQ88" s="18" t="str">
        <f aca="false">IF(A88="","",N(AQ87)+N(AA88))</f>
        <v/>
      </c>
      <c r="AR88" s="18" t="str">
        <f aca="false">IF(AQ88="","",MAX(0,MAX($AQ$8:AQ88))-AQ88)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3"/>
      <c r="M89" s="13"/>
      <c r="N89" s="13"/>
      <c r="O89" s="14" t="str">
        <f aca="false">IF(OR(L89="",L89=0),"",(1-M89)/L89)</f>
        <v/>
      </c>
      <c r="P89" s="15"/>
      <c r="Q89" s="12"/>
      <c r="R89" s="12"/>
      <c r="S89" s="13"/>
      <c r="T89" s="16" t="str">
        <f aca="false">IF(OR(S89="",L89=""),"",L89/(1-M89)-S89)</f>
        <v/>
      </c>
      <c r="U89" s="16" t="str">
        <f aca="false">IF(OR(L89="",P89=""),"",L89*(P89-1)-N89)</f>
        <v/>
      </c>
      <c r="V89" s="13"/>
      <c r="W89" s="17"/>
      <c r="X89" s="12"/>
      <c r="Y89" s="12"/>
      <c r="Z89" s="12"/>
      <c r="AA89" s="18" t="str">
        <f aca="false">IF(K89&lt;&gt;"ВИРТУАЛЬНЫЙ ВЫБОР","",IF(Z89="✅ ЗАШЛО",W89*(P89-1),IF(Z89="❌ НЕ ЗАШЛО",-W89,IF(Z89="½ ЗАШЛО",W89*(P89-1)/2,IF(Z89="½ НЕ ЗАШЛО",-W89/2,IF(Z89="ВОЗВРАТ",0,""))))))</f>
        <v/>
      </c>
      <c r="AB89" s="18" t="str">
        <f aca="false">IF(AND(K89="ВИРТУАЛЬНЫЙ ВЫБОР",OR(Z89="✅ ЗАШЛО",Z89="❌ НЕ ЗАШЛО",Z89="½ ЗАШЛО",Z89="½ НЕ ЗАШЛО",Z89="ВОЗВРАТ")),W89,"")</f>
        <v/>
      </c>
      <c r="AC89" s="15"/>
      <c r="AD89" s="16" t="str">
        <f aca="false">IF(OR(AC89="",P89=""),"",P89/AC89-1)</f>
        <v/>
      </c>
      <c r="AE89" s="19" t="str">
        <f aca="false">IF(AND(M89=0,OR(Z89="✅ ЗАШЛО",Z89="❌ НЕ ЗАШЛО"),L89&lt;&gt;""),(L89-IF(Z89="✅ ЗАШЛО",1,0))^2,"")</f>
        <v/>
      </c>
      <c r="AF89" s="15"/>
      <c r="AG89" s="15"/>
      <c r="AH89" s="13"/>
      <c r="AI89" s="13"/>
      <c r="AJ89" s="13"/>
      <c r="AK89" s="20" t="str">
        <f aca="false">IF(AH89="","",IF(ABS(AH89+AI89+AJ89-1)&lt;0.000001,"OK","ОШИБКА"))</f>
        <v/>
      </c>
      <c r="AL89" s="13"/>
      <c r="AM89" s="12"/>
      <c r="AN89" s="12"/>
      <c r="AO89" s="12"/>
      <c r="AP89" s="12"/>
      <c r="AQ89" s="18" t="str">
        <f aca="false">IF(A89="","",N(AQ88)+N(AA89))</f>
        <v/>
      </c>
      <c r="AR89" s="18" t="str">
        <f aca="false">IF(AQ89="","",MAX(0,MAX($AQ$8:AQ89))-AQ89)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3"/>
      <c r="M90" s="13"/>
      <c r="N90" s="13"/>
      <c r="O90" s="14" t="str">
        <f aca="false">IF(OR(L90="",L90=0),"",(1-M90)/L90)</f>
        <v/>
      </c>
      <c r="P90" s="15"/>
      <c r="Q90" s="12"/>
      <c r="R90" s="12"/>
      <c r="S90" s="13"/>
      <c r="T90" s="16" t="str">
        <f aca="false">IF(OR(S90="",L90=""),"",L90/(1-M90)-S90)</f>
        <v/>
      </c>
      <c r="U90" s="16" t="str">
        <f aca="false">IF(OR(L90="",P90=""),"",L90*(P90-1)-N90)</f>
        <v/>
      </c>
      <c r="V90" s="13"/>
      <c r="W90" s="17"/>
      <c r="X90" s="12"/>
      <c r="Y90" s="12"/>
      <c r="Z90" s="12"/>
      <c r="AA90" s="18" t="str">
        <f aca="false">IF(K90&lt;&gt;"ВИРТУАЛЬНЫЙ ВЫБОР","",IF(Z90="✅ ЗАШЛО",W90*(P90-1),IF(Z90="❌ НЕ ЗАШЛО",-W90,IF(Z90="½ ЗАШЛО",W90*(P90-1)/2,IF(Z90="½ НЕ ЗАШЛО",-W90/2,IF(Z90="ВОЗВРАТ",0,""))))))</f>
        <v/>
      </c>
      <c r="AB90" s="18" t="str">
        <f aca="false">IF(AND(K90="ВИРТУАЛЬНЫЙ ВЫБОР",OR(Z90="✅ ЗАШЛО",Z90="❌ НЕ ЗАШЛО",Z90="½ ЗАШЛО",Z90="½ НЕ ЗАШЛО",Z90="ВОЗВРАТ")),W90,"")</f>
        <v/>
      </c>
      <c r="AC90" s="15"/>
      <c r="AD90" s="16" t="str">
        <f aca="false">IF(OR(AC90="",P90=""),"",P90/AC90-1)</f>
        <v/>
      </c>
      <c r="AE90" s="19" t="str">
        <f aca="false">IF(AND(M90=0,OR(Z90="✅ ЗАШЛО",Z90="❌ НЕ ЗАШЛО"),L90&lt;&gt;""),(L90-IF(Z90="✅ ЗАШЛО",1,0))^2,"")</f>
        <v/>
      </c>
      <c r="AF90" s="15"/>
      <c r="AG90" s="15"/>
      <c r="AH90" s="13"/>
      <c r="AI90" s="13"/>
      <c r="AJ90" s="13"/>
      <c r="AK90" s="20" t="str">
        <f aca="false">IF(AH90="","",IF(ABS(AH90+AI90+AJ90-1)&lt;0.000001,"OK","ОШИБКА"))</f>
        <v/>
      </c>
      <c r="AL90" s="13"/>
      <c r="AM90" s="12"/>
      <c r="AN90" s="12"/>
      <c r="AO90" s="12"/>
      <c r="AP90" s="12"/>
      <c r="AQ90" s="18" t="str">
        <f aca="false">IF(A90="","",N(AQ89)+N(AA90))</f>
        <v/>
      </c>
      <c r="AR90" s="18" t="str">
        <f aca="false">IF(AQ90="","",MAX(0,MAX($AQ$8:AQ90))-AQ90)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3"/>
      <c r="M91" s="13"/>
      <c r="N91" s="13"/>
      <c r="O91" s="14" t="str">
        <f aca="false">IF(OR(L91="",L91=0),"",(1-M91)/L91)</f>
        <v/>
      </c>
      <c r="P91" s="15"/>
      <c r="Q91" s="12"/>
      <c r="R91" s="12"/>
      <c r="S91" s="13"/>
      <c r="T91" s="16" t="str">
        <f aca="false">IF(OR(S91="",L91=""),"",L91/(1-M91)-S91)</f>
        <v/>
      </c>
      <c r="U91" s="16" t="str">
        <f aca="false">IF(OR(L91="",P91=""),"",L91*(P91-1)-N91)</f>
        <v/>
      </c>
      <c r="V91" s="13"/>
      <c r="W91" s="17"/>
      <c r="X91" s="12"/>
      <c r="Y91" s="12"/>
      <c r="Z91" s="12"/>
      <c r="AA91" s="18" t="str">
        <f aca="false">IF(K91&lt;&gt;"ВИРТУАЛЬНЫЙ ВЫБОР","",IF(Z91="✅ ЗАШЛО",W91*(P91-1),IF(Z91="❌ НЕ ЗАШЛО",-W91,IF(Z91="½ ЗАШЛО",W91*(P91-1)/2,IF(Z91="½ НЕ ЗАШЛО",-W91/2,IF(Z91="ВОЗВРАТ",0,""))))))</f>
        <v/>
      </c>
      <c r="AB91" s="18" t="str">
        <f aca="false">IF(AND(K91="ВИРТУАЛЬНЫЙ ВЫБОР",OR(Z91="✅ ЗАШЛО",Z91="❌ НЕ ЗАШЛО",Z91="½ ЗАШЛО",Z91="½ НЕ ЗАШЛО",Z91="ВОЗВРАТ")),W91,"")</f>
        <v/>
      </c>
      <c r="AC91" s="15"/>
      <c r="AD91" s="16" t="str">
        <f aca="false">IF(OR(AC91="",P91=""),"",P91/AC91-1)</f>
        <v/>
      </c>
      <c r="AE91" s="19" t="str">
        <f aca="false">IF(AND(M91=0,OR(Z91="✅ ЗАШЛО",Z91="❌ НЕ ЗАШЛО"),L91&lt;&gt;""),(L91-IF(Z91="✅ ЗАШЛО",1,0))^2,"")</f>
        <v/>
      </c>
      <c r="AF91" s="15"/>
      <c r="AG91" s="15"/>
      <c r="AH91" s="13"/>
      <c r="AI91" s="13"/>
      <c r="AJ91" s="13"/>
      <c r="AK91" s="20" t="str">
        <f aca="false">IF(AH91="","",IF(ABS(AH91+AI91+AJ91-1)&lt;0.000001,"OK","ОШИБКА"))</f>
        <v/>
      </c>
      <c r="AL91" s="13"/>
      <c r="AM91" s="12"/>
      <c r="AN91" s="12"/>
      <c r="AO91" s="12"/>
      <c r="AP91" s="12"/>
      <c r="AQ91" s="18" t="str">
        <f aca="false">IF(A91="","",N(AQ90)+N(AA91))</f>
        <v/>
      </c>
      <c r="AR91" s="18" t="str">
        <f aca="false">IF(AQ91="","",MAX(0,MAX($AQ$8:AQ91))-AQ91)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3"/>
      <c r="M92" s="13"/>
      <c r="N92" s="13"/>
      <c r="O92" s="14" t="str">
        <f aca="false">IF(OR(L92="",L92=0),"",(1-M92)/L92)</f>
        <v/>
      </c>
      <c r="P92" s="15"/>
      <c r="Q92" s="12"/>
      <c r="R92" s="12"/>
      <c r="S92" s="13"/>
      <c r="T92" s="16" t="str">
        <f aca="false">IF(OR(S92="",L92=""),"",L92/(1-M92)-S92)</f>
        <v/>
      </c>
      <c r="U92" s="16" t="str">
        <f aca="false">IF(OR(L92="",P92=""),"",L92*(P92-1)-N92)</f>
        <v/>
      </c>
      <c r="V92" s="13"/>
      <c r="W92" s="17"/>
      <c r="X92" s="12"/>
      <c r="Y92" s="12"/>
      <c r="Z92" s="12"/>
      <c r="AA92" s="18" t="str">
        <f aca="false">IF(K92&lt;&gt;"ВИРТУАЛЬНЫЙ ВЫБОР","",IF(Z92="✅ ЗАШЛО",W92*(P92-1),IF(Z92="❌ НЕ ЗАШЛО",-W92,IF(Z92="½ ЗАШЛО",W92*(P92-1)/2,IF(Z92="½ НЕ ЗАШЛО",-W92/2,IF(Z92="ВОЗВРАТ",0,""))))))</f>
        <v/>
      </c>
      <c r="AB92" s="18" t="str">
        <f aca="false">IF(AND(K92="ВИРТУАЛЬНЫЙ ВЫБОР",OR(Z92="✅ ЗАШЛО",Z92="❌ НЕ ЗАШЛО",Z92="½ ЗАШЛО",Z92="½ НЕ ЗАШЛО",Z92="ВОЗВРАТ")),W92,"")</f>
        <v/>
      </c>
      <c r="AC92" s="15"/>
      <c r="AD92" s="16" t="str">
        <f aca="false">IF(OR(AC92="",P92=""),"",P92/AC92-1)</f>
        <v/>
      </c>
      <c r="AE92" s="19" t="str">
        <f aca="false">IF(AND(M92=0,OR(Z92="✅ ЗАШЛО",Z92="❌ НЕ ЗАШЛО"),L92&lt;&gt;""),(L92-IF(Z92="✅ ЗАШЛО",1,0))^2,"")</f>
        <v/>
      </c>
      <c r="AF92" s="15"/>
      <c r="AG92" s="15"/>
      <c r="AH92" s="13"/>
      <c r="AI92" s="13"/>
      <c r="AJ92" s="13"/>
      <c r="AK92" s="20" t="str">
        <f aca="false">IF(AH92="","",IF(ABS(AH92+AI92+AJ92-1)&lt;0.000001,"OK","ОШИБКА"))</f>
        <v/>
      </c>
      <c r="AL92" s="13"/>
      <c r="AM92" s="12"/>
      <c r="AN92" s="12"/>
      <c r="AO92" s="12"/>
      <c r="AP92" s="12"/>
      <c r="AQ92" s="18" t="str">
        <f aca="false">IF(A92="","",N(AQ91)+N(AA92))</f>
        <v/>
      </c>
      <c r="AR92" s="18" t="str">
        <f aca="false">IF(AQ92="","",MAX(0,MAX($AQ$8:AQ92))-AQ92)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4" t="str">
        <f aca="false">IF(OR(L93="",L93=0),"",(1-M93)/L93)</f>
        <v/>
      </c>
      <c r="P93" s="15"/>
      <c r="Q93" s="12"/>
      <c r="R93" s="12"/>
      <c r="S93" s="13"/>
      <c r="T93" s="16" t="str">
        <f aca="false">IF(OR(S93="",L93=""),"",L93/(1-M93)-S93)</f>
        <v/>
      </c>
      <c r="U93" s="16" t="str">
        <f aca="false">IF(OR(L93="",P93=""),"",L93*(P93-1)-N93)</f>
        <v/>
      </c>
      <c r="V93" s="13"/>
      <c r="W93" s="17"/>
      <c r="X93" s="12"/>
      <c r="Y93" s="12"/>
      <c r="Z93" s="12"/>
      <c r="AA93" s="18" t="str">
        <f aca="false">IF(K93&lt;&gt;"ВИРТУАЛЬНЫЙ ВЫБОР","",IF(Z93="✅ ЗАШЛО",W93*(P93-1),IF(Z93="❌ НЕ ЗАШЛО",-W93,IF(Z93="½ ЗАШЛО",W93*(P93-1)/2,IF(Z93="½ НЕ ЗАШЛО",-W93/2,IF(Z93="ВОЗВРАТ",0,""))))))</f>
        <v/>
      </c>
      <c r="AB93" s="18" t="str">
        <f aca="false">IF(AND(K93="ВИРТУАЛЬНЫЙ ВЫБОР",OR(Z93="✅ ЗАШЛО",Z93="❌ НЕ ЗАШЛО",Z93="½ ЗАШЛО",Z93="½ НЕ ЗАШЛО",Z93="ВОЗВРАТ")),W93,"")</f>
        <v/>
      </c>
      <c r="AC93" s="15"/>
      <c r="AD93" s="16" t="str">
        <f aca="false">IF(OR(AC93="",P93=""),"",P93/AC93-1)</f>
        <v/>
      </c>
      <c r="AE93" s="19" t="str">
        <f aca="false">IF(AND(M93=0,OR(Z93="✅ ЗАШЛО",Z93="❌ НЕ ЗАШЛО"),L93&lt;&gt;""),(L93-IF(Z93="✅ ЗАШЛО",1,0))^2,"")</f>
        <v/>
      </c>
      <c r="AF93" s="15"/>
      <c r="AG93" s="15"/>
      <c r="AH93" s="13"/>
      <c r="AI93" s="13"/>
      <c r="AJ93" s="13"/>
      <c r="AK93" s="20" t="str">
        <f aca="false">IF(AH93="","",IF(ABS(AH93+AI93+AJ93-1)&lt;0.000001,"OK","ОШИБКА"))</f>
        <v/>
      </c>
      <c r="AL93" s="13"/>
      <c r="AM93" s="12"/>
      <c r="AN93" s="12"/>
      <c r="AO93" s="12"/>
      <c r="AP93" s="12"/>
      <c r="AQ93" s="18" t="str">
        <f aca="false">IF(A93="","",N(AQ92)+N(AA93))</f>
        <v/>
      </c>
      <c r="AR93" s="18" t="str">
        <f aca="false">IF(AQ93="","",MAX(0,MAX($AQ$8:AQ93))-AQ93)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3"/>
      <c r="M94" s="13"/>
      <c r="N94" s="13"/>
      <c r="O94" s="14" t="str">
        <f aca="false">IF(OR(L94="",L94=0),"",(1-M94)/L94)</f>
        <v/>
      </c>
      <c r="P94" s="15"/>
      <c r="Q94" s="12"/>
      <c r="R94" s="12"/>
      <c r="S94" s="13"/>
      <c r="T94" s="16" t="str">
        <f aca="false">IF(OR(S94="",L94=""),"",L94/(1-M94)-S94)</f>
        <v/>
      </c>
      <c r="U94" s="16" t="str">
        <f aca="false">IF(OR(L94="",P94=""),"",L94*(P94-1)-N94)</f>
        <v/>
      </c>
      <c r="V94" s="13"/>
      <c r="W94" s="17"/>
      <c r="X94" s="12"/>
      <c r="Y94" s="12"/>
      <c r="Z94" s="12"/>
      <c r="AA94" s="18" t="str">
        <f aca="false">IF(K94&lt;&gt;"ВИРТУАЛЬНЫЙ ВЫБОР","",IF(Z94="✅ ЗАШЛО",W94*(P94-1),IF(Z94="❌ НЕ ЗАШЛО",-W94,IF(Z94="½ ЗАШЛО",W94*(P94-1)/2,IF(Z94="½ НЕ ЗАШЛО",-W94/2,IF(Z94="ВОЗВРАТ",0,""))))))</f>
        <v/>
      </c>
      <c r="AB94" s="18" t="str">
        <f aca="false">IF(AND(K94="ВИРТУАЛЬНЫЙ ВЫБОР",OR(Z94="✅ ЗАШЛО",Z94="❌ НЕ ЗАШЛО",Z94="½ ЗАШЛО",Z94="½ НЕ ЗАШЛО",Z94="ВОЗВРАТ")),W94,"")</f>
        <v/>
      </c>
      <c r="AC94" s="15"/>
      <c r="AD94" s="16" t="str">
        <f aca="false">IF(OR(AC94="",P94=""),"",P94/AC94-1)</f>
        <v/>
      </c>
      <c r="AE94" s="19" t="str">
        <f aca="false">IF(AND(M94=0,OR(Z94="✅ ЗАШЛО",Z94="❌ НЕ ЗАШЛО"),L94&lt;&gt;""),(L94-IF(Z94="✅ ЗАШЛО",1,0))^2,"")</f>
        <v/>
      </c>
      <c r="AF94" s="15"/>
      <c r="AG94" s="15"/>
      <c r="AH94" s="13"/>
      <c r="AI94" s="13"/>
      <c r="AJ94" s="13"/>
      <c r="AK94" s="20" t="str">
        <f aca="false">IF(AH94="","",IF(ABS(AH94+AI94+AJ94-1)&lt;0.000001,"OK","ОШИБКА"))</f>
        <v/>
      </c>
      <c r="AL94" s="13"/>
      <c r="AM94" s="12"/>
      <c r="AN94" s="12"/>
      <c r="AO94" s="12"/>
      <c r="AP94" s="12"/>
      <c r="AQ94" s="18" t="str">
        <f aca="false">IF(A94="","",N(AQ93)+N(AA94))</f>
        <v/>
      </c>
      <c r="AR94" s="18" t="str">
        <f aca="false">IF(AQ94="","",MAX(0,MAX($AQ$8:AQ94))-AQ94)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3"/>
      <c r="M95" s="13"/>
      <c r="N95" s="13"/>
      <c r="O95" s="14" t="str">
        <f aca="false">IF(OR(L95="",L95=0),"",(1-M95)/L95)</f>
        <v/>
      </c>
      <c r="P95" s="15"/>
      <c r="Q95" s="12"/>
      <c r="R95" s="12"/>
      <c r="S95" s="13"/>
      <c r="T95" s="16" t="str">
        <f aca="false">IF(OR(S95="",L95=""),"",L95/(1-M95)-S95)</f>
        <v/>
      </c>
      <c r="U95" s="16" t="str">
        <f aca="false">IF(OR(L95="",P95=""),"",L95*(P95-1)-N95)</f>
        <v/>
      </c>
      <c r="V95" s="13"/>
      <c r="W95" s="17"/>
      <c r="X95" s="12"/>
      <c r="Y95" s="12"/>
      <c r="Z95" s="12"/>
      <c r="AA95" s="18" t="str">
        <f aca="false">IF(K95&lt;&gt;"ВИРТУАЛЬНЫЙ ВЫБОР","",IF(Z95="✅ ЗАШЛО",W95*(P95-1),IF(Z95="❌ НЕ ЗАШЛО",-W95,IF(Z95="½ ЗАШЛО",W95*(P95-1)/2,IF(Z95="½ НЕ ЗАШЛО",-W95/2,IF(Z95="ВОЗВРАТ",0,""))))))</f>
        <v/>
      </c>
      <c r="AB95" s="18" t="str">
        <f aca="false">IF(AND(K95="ВИРТУАЛЬНЫЙ ВЫБОР",OR(Z95="✅ ЗАШЛО",Z95="❌ НЕ ЗАШЛО",Z95="½ ЗАШЛО",Z95="½ НЕ ЗАШЛО",Z95="ВОЗВРАТ")),W95,"")</f>
        <v/>
      </c>
      <c r="AC95" s="15"/>
      <c r="AD95" s="16" t="str">
        <f aca="false">IF(OR(AC95="",P95=""),"",P95/AC95-1)</f>
        <v/>
      </c>
      <c r="AE95" s="19" t="str">
        <f aca="false">IF(AND(M95=0,OR(Z95="✅ ЗАШЛО",Z95="❌ НЕ ЗАШЛО"),L95&lt;&gt;""),(L95-IF(Z95="✅ ЗАШЛО",1,0))^2,"")</f>
        <v/>
      </c>
      <c r="AF95" s="15"/>
      <c r="AG95" s="15"/>
      <c r="AH95" s="13"/>
      <c r="AI95" s="13"/>
      <c r="AJ95" s="13"/>
      <c r="AK95" s="20" t="str">
        <f aca="false">IF(AH95="","",IF(ABS(AH95+AI95+AJ95-1)&lt;0.000001,"OK","ОШИБКА"))</f>
        <v/>
      </c>
      <c r="AL95" s="13"/>
      <c r="AM95" s="12"/>
      <c r="AN95" s="12"/>
      <c r="AO95" s="12"/>
      <c r="AP95" s="12"/>
      <c r="AQ95" s="18" t="str">
        <f aca="false">IF(A95="","",N(AQ94)+N(AA95))</f>
        <v/>
      </c>
      <c r="AR95" s="18" t="str">
        <f aca="false">IF(AQ95="","",MAX(0,MAX($AQ$8:AQ95))-AQ95)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3"/>
      <c r="M96" s="13"/>
      <c r="N96" s="13"/>
      <c r="O96" s="14" t="str">
        <f aca="false">IF(OR(L96="",L96=0),"",(1-M96)/L96)</f>
        <v/>
      </c>
      <c r="P96" s="15"/>
      <c r="Q96" s="12"/>
      <c r="R96" s="12"/>
      <c r="S96" s="13"/>
      <c r="T96" s="16" t="str">
        <f aca="false">IF(OR(S96="",L96=""),"",L96/(1-M96)-S96)</f>
        <v/>
      </c>
      <c r="U96" s="16" t="str">
        <f aca="false">IF(OR(L96="",P96=""),"",L96*(P96-1)-N96)</f>
        <v/>
      </c>
      <c r="V96" s="13"/>
      <c r="W96" s="17"/>
      <c r="X96" s="12"/>
      <c r="Y96" s="12"/>
      <c r="Z96" s="12"/>
      <c r="AA96" s="18" t="str">
        <f aca="false">IF(K96&lt;&gt;"ВИРТУАЛЬНЫЙ ВЫБОР","",IF(Z96="✅ ЗАШЛО",W96*(P96-1),IF(Z96="❌ НЕ ЗАШЛО",-W96,IF(Z96="½ ЗАШЛО",W96*(P96-1)/2,IF(Z96="½ НЕ ЗАШЛО",-W96/2,IF(Z96="ВОЗВРАТ",0,""))))))</f>
        <v/>
      </c>
      <c r="AB96" s="18" t="str">
        <f aca="false">IF(AND(K96="ВИРТУАЛЬНЫЙ ВЫБОР",OR(Z96="✅ ЗАШЛО",Z96="❌ НЕ ЗАШЛО",Z96="½ ЗАШЛО",Z96="½ НЕ ЗАШЛО",Z96="ВОЗВРАТ")),W96,"")</f>
        <v/>
      </c>
      <c r="AC96" s="15"/>
      <c r="AD96" s="16" t="str">
        <f aca="false">IF(OR(AC96="",P96=""),"",P96/AC96-1)</f>
        <v/>
      </c>
      <c r="AE96" s="19" t="str">
        <f aca="false">IF(AND(M96=0,OR(Z96="✅ ЗАШЛО",Z96="❌ НЕ ЗАШЛО"),L96&lt;&gt;""),(L96-IF(Z96="✅ ЗАШЛО",1,0))^2,"")</f>
        <v/>
      </c>
      <c r="AF96" s="15"/>
      <c r="AG96" s="15"/>
      <c r="AH96" s="13"/>
      <c r="AI96" s="13"/>
      <c r="AJ96" s="13"/>
      <c r="AK96" s="20" t="str">
        <f aca="false">IF(AH96="","",IF(ABS(AH96+AI96+AJ96-1)&lt;0.000001,"OK","ОШИБКА"))</f>
        <v/>
      </c>
      <c r="AL96" s="13"/>
      <c r="AM96" s="12"/>
      <c r="AN96" s="12"/>
      <c r="AO96" s="12"/>
      <c r="AP96" s="12"/>
      <c r="AQ96" s="18" t="str">
        <f aca="false">IF(A96="","",N(AQ95)+N(AA96))</f>
        <v/>
      </c>
      <c r="AR96" s="18" t="str">
        <f aca="false">IF(AQ96="","",MAX(0,MAX($AQ$8:AQ96))-AQ96)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3"/>
      <c r="M97" s="13"/>
      <c r="N97" s="13"/>
      <c r="O97" s="14" t="str">
        <f aca="false">IF(OR(L97="",L97=0),"",(1-M97)/L97)</f>
        <v/>
      </c>
      <c r="P97" s="15"/>
      <c r="Q97" s="12"/>
      <c r="R97" s="12"/>
      <c r="S97" s="13"/>
      <c r="T97" s="16" t="str">
        <f aca="false">IF(OR(S97="",L97=""),"",L97/(1-M97)-S97)</f>
        <v/>
      </c>
      <c r="U97" s="16" t="str">
        <f aca="false">IF(OR(L97="",P97=""),"",L97*(P97-1)-N97)</f>
        <v/>
      </c>
      <c r="V97" s="13"/>
      <c r="W97" s="17"/>
      <c r="X97" s="12"/>
      <c r="Y97" s="12"/>
      <c r="Z97" s="12"/>
      <c r="AA97" s="18" t="str">
        <f aca="false">IF(K97&lt;&gt;"ВИРТУАЛЬНЫЙ ВЫБОР","",IF(Z97="✅ ЗАШЛО",W97*(P97-1),IF(Z97="❌ НЕ ЗАШЛО",-W97,IF(Z97="½ ЗАШЛО",W97*(P97-1)/2,IF(Z97="½ НЕ ЗАШЛО",-W97/2,IF(Z97="ВОЗВРАТ",0,""))))))</f>
        <v/>
      </c>
      <c r="AB97" s="18" t="str">
        <f aca="false">IF(AND(K97="ВИРТУАЛЬНЫЙ ВЫБОР",OR(Z97="✅ ЗАШЛО",Z97="❌ НЕ ЗАШЛО",Z97="½ ЗАШЛО",Z97="½ НЕ ЗАШЛО",Z97="ВОЗВРАТ")),W97,"")</f>
        <v/>
      </c>
      <c r="AC97" s="15"/>
      <c r="AD97" s="16" t="str">
        <f aca="false">IF(OR(AC97="",P97=""),"",P97/AC97-1)</f>
        <v/>
      </c>
      <c r="AE97" s="19" t="str">
        <f aca="false">IF(AND(M97=0,OR(Z97="✅ ЗАШЛО",Z97="❌ НЕ ЗАШЛО"),L97&lt;&gt;""),(L97-IF(Z97="✅ ЗАШЛО",1,0))^2,"")</f>
        <v/>
      </c>
      <c r="AF97" s="15"/>
      <c r="AG97" s="15"/>
      <c r="AH97" s="13"/>
      <c r="AI97" s="13"/>
      <c r="AJ97" s="13"/>
      <c r="AK97" s="20" t="str">
        <f aca="false">IF(AH97="","",IF(ABS(AH97+AI97+AJ97-1)&lt;0.000001,"OK","ОШИБКА"))</f>
        <v/>
      </c>
      <c r="AL97" s="13"/>
      <c r="AM97" s="12"/>
      <c r="AN97" s="12"/>
      <c r="AO97" s="12"/>
      <c r="AP97" s="12"/>
      <c r="AQ97" s="18" t="str">
        <f aca="false">IF(A97="","",N(AQ96)+N(AA97))</f>
        <v/>
      </c>
      <c r="AR97" s="18" t="str">
        <f aca="false">IF(AQ97="","",MAX(0,MAX($AQ$8:AQ97))-AQ97)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3"/>
      <c r="M98" s="13"/>
      <c r="N98" s="13"/>
      <c r="O98" s="14" t="str">
        <f aca="false">IF(OR(L98="",L98=0),"",(1-M98)/L98)</f>
        <v/>
      </c>
      <c r="P98" s="15"/>
      <c r="Q98" s="12"/>
      <c r="R98" s="12"/>
      <c r="S98" s="13"/>
      <c r="T98" s="16" t="str">
        <f aca="false">IF(OR(S98="",L98=""),"",L98/(1-M98)-S98)</f>
        <v/>
      </c>
      <c r="U98" s="16" t="str">
        <f aca="false">IF(OR(L98="",P98=""),"",L98*(P98-1)-N98)</f>
        <v/>
      </c>
      <c r="V98" s="13"/>
      <c r="W98" s="17"/>
      <c r="X98" s="12"/>
      <c r="Y98" s="12"/>
      <c r="Z98" s="12"/>
      <c r="AA98" s="18" t="str">
        <f aca="false">IF(K98&lt;&gt;"ВИРТУАЛЬНЫЙ ВЫБОР","",IF(Z98="✅ ЗАШЛО",W98*(P98-1),IF(Z98="❌ НЕ ЗАШЛО",-W98,IF(Z98="½ ЗАШЛО",W98*(P98-1)/2,IF(Z98="½ НЕ ЗАШЛО",-W98/2,IF(Z98="ВОЗВРАТ",0,""))))))</f>
        <v/>
      </c>
      <c r="AB98" s="18" t="str">
        <f aca="false">IF(AND(K98="ВИРТУАЛЬНЫЙ ВЫБОР",OR(Z98="✅ ЗАШЛО",Z98="❌ НЕ ЗАШЛО",Z98="½ ЗАШЛО",Z98="½ НЕ ЗАШЛО",Z98="ВОЗВРАТ")),W98,"")</f>
        <v/>
      </c>
      <c r="AC98" s="15"/>
      <c r="AD98" s="16" t="str">
        <f aca="false">IF(OR(AC98="",P98=""),"",P98/AC98-1)</f>
        <v/>
      </c>
      <c r="AE98" s="19" t="str">
        <f aca="false">IF(AND(M98=0,OR(Z98="✅ ЗАШЛО",Z98="❌ НЕ ЗАШЛО"),L98&lt;&gt;""),(L98-IF(Z98="✅ ЗАШЛО",1,0))^2,"")</f>
        <v/>
      </c>
      <c r="AF98" s="15"/>
      <c r="AG98" s="15"/>
      <c r="AH98" s="13"/>
      <c r="AI98" s="13"/>
      <c r="AJ98" s="13"/>
      <c r="AK98" s="20" t="str">
        <f aca="false">IF(AH98="","",IF(ABS(AH98+AI98+AJ98-1)&lt;0.000001,"OK","ОШИБКА"))</f>
        <v/>
      </c>
      <c r="AL98" s="13"/>
      <c r="AM98" s="12"/>
      <c r="AN98" s="12"/>
      <c r="AO98" s="12"/>
      <c r="AP98" s="12"/>
      <c r="AQ98" s="18" t="str">
        <f aca="false">IF(A98="","",N(AQ97)+N(AA98))</f>
        <v/>
      </c>
      <c r="AR98" s="18" t="str">
        <f aca="false">IF(AQ98="","",MAX(0,MAX($AQ$8:AQ98))-AQ98)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3"/>
      <c r="M99" s="13"/>
      <c r="N99" s="13"/>
      <c r="O99" s="14" t="str">
        <f aca="false">IF(OR(L99="",L99=0),"",(1-M99)/L99)</f>
        <v/>
      </c>
      <c r="P99" s="15"/>
      <c r="Q99" s="12"/>
      <c r="R99" s="12"/>
      <c r="S99" s="13"/>
      <c r="T99" s="16" t="str">
        <f aca="false">IF(OR(S99="",L99=""),"",L99/(1-M99)-S99)</f>
        <v/>
      </c>
      <c r="U99" s="16" t="str">
        <f aca="false">IF(OR(L99="",P99=""),"",L99*(P99-1)-N99)</f>
        <v/>
      </c>
      <c r="V99" s="13"/>
      <c r="W99" s="17"/>
      <c r="X99" s="12"/>
      <c r="Y99" s="12"/>
      <c r="Z99" s="12"/>
      <c r="AA99" s="18" t="str">
        <f aca="false">IF(K99&lt;&gt;"ВИРТУАЛЬНЫЙ ВЫБОР","",IF(Z99="✅ ЗАШЛО",W99*(P99-1),IF(Z99="❌ НЕ ЗАШЛО",-W99,IF(Z99="½ ЗАШЛО",W99*(P99-1)/2,IF(Z99="½ НЕ ЗАШЛО",-W99/2,IF(Z99="ВОЗВРАТ",0,""))))))</f>
        <v/>
      </c>
      <c r="AB99" s="18" t="str">
        <f aca="false">IF(AND(K99="ВИРТУАЛЬНЫЙ ВЫБОР",OR(Z99="✅ ЗАШЛО",Z99="❌ НЕ ЗАШЛО",Z99="½ ЗАШЛО",Z99="½ НЕ ЗАШЛО",Z99="ВОЗВРАТ")),W99,"")</f>
        <v/>
      </c>
      <c r="AC99" s="15"/>
      <c r="AD99" s="16" t="str">
        <f aca="false">IF(OR(AC99="",P99=""),"",P99/AC99-1)</f>
        <v/>
      </c>
      <c r="AE99" s="19" t="str">
        <f aca="false">IF(AND(M99=0,OR(Z99="✅ ЗАШЛО",Z99="❌ НЕ ЗАШЛО"),L99&lt;&gt;""),(L99-IF(Z99="✅ ЗАШЛО",1,0))^2,"")</f>
        <v/>
      </c>
      <c r="AF99" s="15"/>
      <c r="AG99" s="15"/>
      <c r="AH99" s="13"/>
      <c r="AI99" s="13"/>
      <c r="AJ99" s="13"/>
      <c r="AK99" s="20" t="str">
        <f aca="false">IF(AH99="","",IF(ABS(AH99+AI99+AJ99-1)&lt;0.000001,"OK","ОШИБКА"))</f>
        <v/>
      </c>
      <c r="AL99" s="13"/>
      <c r="AM99" s="12"/>
      <c r="AN99" s="12"/>
      <c r="AO99" s="12"/>
      <c r="AP99" s="12"/>
      <c r="AQ99" s="18" t="str">
        <f aca="false">IF(A99="","",N(AQ98)+N(AA99))</f>
        <v/>
      </c>
      <c r="AR99" s="18" t="str">
        <f aca="false">IF(AQ99="","",MAX(0,MAX($AQ$8:AQ99))-AQ99)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3"/>
      <c r="M100" s="13"/>
      <c r="N100" s="13"/>
      <c r="O100" s="14" t="str">
        <f aca="false">IF(OR(L100="",L100=0),"",(1-M100)/L100)</f>
        <v/>
      </c>
      <c r="P100" s="15"/>
      <c r="Q100" s="12"/>
      <c r="R100" s="12"/>
      <c r="S100" s="13"/>
      <c r="T100" s="16" t="str">
        <f aca="false">IF(OR(S100="",L100=""),"",L100/(1-M100)-S100)</f>
        <v/>
      </c>
      <c r="U100" s="16" t="str">
        <f aca="false">IF(OR(L100="",P100=""),"",L100*(P100-1)-N100)</f>
        <v/>
      </c>
      <c r="V100" s="13"/>
      <c r="W100" s="17"/>
      <c r="X100" s="12"/>
      <c r="Y100" s="12"/>
      <c r="Z100" s="12"/>
      <c r="AA100" s="18" t="str">
        <f aca="false">IF(K100&lt;&gt;"ВИРТУАЛЬНЫЙ ВЫБОР","",IF(Z100="✅ ЗАШЛО",W100*(P100-1),IF(Z100="❌ НЕ ЗАШЛО",-W100,IF(Z100="½ ЗАШЛО",W100*(P100-1)/2,IF(Z100="½ НЕ ЗАШЛО",-W100/2,IF(Z100="ВОЗВРАТ",0,""))))))</f>
        <v/>
      </c>
      <c r="AB100" s="18" t="str">
        <f aca="false">IF(AND(K100="ВИРТУАЛЬНЫЙ ВЫБОР",OR(Z100="✅ ЗАШЛО",Z100="❌ НЕ ЗАШЛО",Z100="½ ЗАШЛО",Z100="½ НЕ ЗАШЛО",Z100="ВОЗВРАТ")),W100,"")</f>
        <v/>
      </c>
      <c r="AC100" s="15"/>
      <c r="AD100" s="16" t="str">
        <f aca="false">IF(OR(AC100="",P100=""),"",P100/AC100-1)</f>
        <v/>
      </c>
      <c r="AE100" s="19" t="str">
        <f aca="false">IF(AND(M100=0,OR(Z100="✅ ЗАШЛО",Z100="❌ НЕ ЗАШЛО"),L100&lt;&gt;""),(L100-IF(Z100="✅ ЗАШЛО",1,0))^2,"")</f>
        <v/>
      </c>
      <c r="AF100" s="15"/>
      <c r="AG100" s="15"/>
      <c r="AH100" s="13"/>
      <c r="AI100" s="13"/>
      <c r="AJ100" s="13"/>
      <c r="AK100" s="20" t="str">
        <f aca="false">IF(AH100="","",IF(ABS(AH100+AI100+AJ100-1)&lt;0.000001,"OK","ОШИБКА"))</f>
        <v/>
      </c>
      <c r="AL100" s="13"/>
      <c r="AM100" s="12"/>
      <c r="AN100" s="12"/>
      <c r="AO100" s="12"/>
      <c r="AP100" s="12"/>
      <c r="AQ100" s="18" t="str">
        <f aca="false">IF(A100="","",N(AQ99)+N(AA100))</f>
        <v/>
      </c>
      <c r="AR100" s="18" t="str">
        <f aca="false">IF(AQ100="","",MAX(0,MAX($AQ$8:AQ100))-AQ100)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3"/>
      <c r="M101" s="13"/>
      <c r="N101" s="13"/>
      <c r="O101" s="14" t="str">
        <f aca="false">IF(OR(L101="",L101=0),"",(1-M101)/L101)</f>
        <v/>
      </c>
      <c r="P101" s="15"/>
      <c r="Q101" s="12"/>
      <c r="R101" s="12"/>
      <c r="S101" s="13"/>
      <c r="T101" s="16" t="str">
        <f aca="false">IF(OR(S101="",L101=""),"",L101/(1-M101)-S101)</f>
        <v/>
      </c>
      <c r="U101" s="16" t="str">
        <f aca="false">IF(OR(L101="",P101=""),"",L101*(P101-1)-N101)</f>
        <v/>
      </c>
      <c r="V101" s="13"/>
      <c r="W101" s="17"/>
      <c r="X101" s="12"/>
      <c r="Y101" s="12"/>
      <c r="Z101" s="12"/>
      <c r="AA101" s="18" t="str">
        <f aca="false">IF(K101&lt;&gt;"ВИРТУАЛЬНЫЙ ВЫБОР","",IF(Z101="✅ ЗАШЛО",W101*(P101-1),IF(Z101="❌ НЕ ЗАШЛО",-W101,IF(Z101="½ ЗАШЛО",W101*(P101-1)/2,IF(Z101="½ НЕ ЗАШЛО",-W101/2,IF(Z101="ВОЗВРАТ",0,""))))))</f>
        <v/>
      </c>
      <c r="AB101" s="18" t="str">
        <f aca="false">IF(AND(K101="ВИРТУАЛЬНЫЙ ВЫБОР",OR(Z101="✅ ЗАШЛО",Z101="❌ НЕ ЗАШЛО",Z101="½ ЗАШЛО",Z101="½ НЕ ЗАШЛО",Z101="ВОЗВРАТ")),W101,"")</f>
        <v/>
      </c>
      <c r="AC101" s="15"/>
      <c r="AD101" s="16" t="str">
        <f aca="false">IF(OR(AC101="",P101=""),"",P101/AC101-1)</f>
        <v/>
      </c>
      <c r="AE101" s="19" t="str">
        <f aca="false">IF(AND(M101=0,OR(Z101="✅ ЗАШЛО",Z101="❌ НЕ ЗАШЛО"),L101&lt;&gt;""),(L101-IF(Z101="✅ ЗАШЛО",1,0))^2,"")</f>
        <v/>
      </c>
      <c r="AF101" s="15"/>
      <c r="AG101" s="15"/>
      <c r="AH101" s="13"/>
      <c r="AI101" s="13"/>
      <c r="AJ101" s="13"/>
      <c r="AK101" s="20" t="str">
        <f aca="false">IF(AH101="","",IF(ABS(AH101+AI101+AJ101-1)&lt;0.000001,"OK","ОШИБКА"))</f>
        <v/>
      </c>
      <c r="AL101" s="13"/>
      <c r="AM101" s="12"/>
      <c r="AN101" s="12"/>
      <c r="AO101" s="12"/>
      <c r="AP101" s="12"/>
      <c r="AQ101" s="18" t="str">
        <f aca="false">IF(A101="","",N(AQ100)+N(AA101))</f>
        <v/>
      </c>
      <c r="AR101" s="18" t="str">
        <f aca="false">IF(AQ101="","",MAX(0,MAX($AQ$8:AQ101))-AQ101)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3"/>
      <c r="M102" s="13"/>
      <c r="N102" s="13"/>
      <c r="O102" s="14" t="str">
        <f aca="false">IF(OR(L102="",L102=0),"",(1-M102)/L102)</f>
        <v/>
      </c>
      <c r="P102" s="15"/>
      <c r="Q102" s="12"/>
      <c r="R102" s="12"/>
      <c r="S102" s="13"/>
      <c r="T102" s="16" t="str">
        <f aca="false">IF(OR(S102="",L102=""),"",L102/(1-M102)-S102)</f>
        <v/>
      </c>
      <c r="U102" s="16" t="str">
        <f aca="false">IF(OR(L102="",P102=""),"",L102*(P102-1)-N102)</f>
        <v/>
      </c>
      <c r="V102" s="13"/>
      <c r="W102" s="17"/>
      <c r="X102" s="12"/>
      <c r="Y102" s="12"/>
      <c r="Z102" s="12"/>
      <c r="AA102" s="18" t="str">
        <f aca="false">IF(K102&lt;&gt;"ВИРТУАЛЬНЫЙ ВЫБОР","",IF(Z102="✅ ЗАШЛО",W102*(P102-1),IF(Z102="❌ НЕ ЗАШЛО",-W102,IF(Z102="½ ЗАШЛО",W102*(P102-1)/2,IF(Z102="½ НЕ ЗАШЛО",-W102/2,IF(Z102="ВОЗВРАТ",0,""))))))</f>
        <v/>
      </c>
      <c r="AB102" s="18" t="str">
        <f aca="false">IF(AND(K102="ВИРТУАЛЬНЫЙ ВЫБОР",OR(Z102="✅ ЗАШЛО",Z102="❌ НЕ ЗАШЛО",Z102="½ ЗАШЛО",Z102="½ НЕ ЗАШЛО",Z102="ВОЗВРАТ")),W102,"")</f>
        <v/>
      </c>
      <c r="AC102" s="15"/>
      <c r="AD102" s="16" t="str">
        <f aca="false">IF(OR(AC102="",P102=""),"",P102/AC102-1)</f>
        <v/>
      </c>
      <c r="AE102" s="19" t="str">
        <f aca="false">IF(AND(M102=0,OR(Z102="✅ ЗАШЛО",Z102="❌ НЕ ЗАШЛО"),L102&lt;&gt;""),(L102-IF(Z102="✅ ЗАШЛО",1,0))^2,"")</f>
        <v/>
      </c>
      <c r="AF102" s="15"/>
      <c r="AG102" s="15"/>
      <c r="AH102" s="13"/>
      <c r="AI102" s="13"/>
      <c r="AJ102" s="13"/>
      <c r="AK102" s="20" t="str">
        <f aca="false">IF(AH102="","",IF(ABS(AH102+AI102+AJ102-1)&lt;0.000001,"OK","ОШИБКА"))</f>
        <v/>
      </c>
      <c r="AL102" s="13"/>
      <c r="AM102" s="12"/>
      <c r="AN102" s="12"/>
      <c r="AO102" s="12"/>
      <c r="AP102" s="12"/>
      <c r="AQ102" s="18" t="str">
        <f aca="false">IF(A102="","",N(AQ101)+N(AA102))</f>
        <v/>
      </c>
      <c r="AR102" s="18" t="str">
        <f aca="false">IF(AQ102="","",MAX(0,MAX($AQ$8:AQ102))-AQ102)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3"/>
      <c r="M103" s="13"/>
      <c r="N103" s="13"/>
      <c r="O103" s="14" t="str">
        <f aca="false">IF(OR(L103="",L103=0),"",(1-M103)/L103)</f>
        <v/>
      </c>
      <c r="P103" s="15"/>
      <c r="Q103" s="12"/>
      <c r="R103" s="12"/>
      <c r="S103" s="13"/>
      <c r="T103" s="16" t="str">
        <f aca="false">IF(OR(S103="",L103=""),"",L103/(1-M103)-S103)</f>
        <v/>
      </c>
      <c r="U103" s="16" t="str">
        <f aca="false">IF(OR(L103="",P103=""),"",L103*(P103-1)-N103)</f>
        <v/>
      </c>
      <c r="V103" s="13"/>
      <c r="W103" s="17"/>
      <c r="X103" s="12"/>
      <c r="Y103" s="12"/>
      <c r="Z103" s="12"/>
      <c r="AA103" s="18" t="str">
        <f aca="false">IF(K103&lt;&gt;"ВИРТУАЛЬНЫЙ ВЫБОР","",IF(Z103="✅ ЗАШЛО",W103*(P103-1),IF(Z103="❌ НЕ ЗАШЛО",-W103,IF(Z103="½ ЗАШЛО",W103*(P103-1)/2,IF(Z103="½ НЕ ЗАШЛО",-W103/2,IF(Z103="ВОЗВРАТ",0,""))))))</f>
        <v/>
      </c>
      <c r="AB103" s="18" t="str">
        <f aca="false">IF(AND(K103="ВИРТУАЛЬНЫЙ ВЫБОР",OR(Z103="✅ ЗАШЛО",Z103="❌ НЕ ЗАШЛО",Z103="½ ЗАШЛО",Z103="½ НЕ ЗАШЛО",Z103="ВОЗВРАТ")),W103,"")</f>
        <v/>
      </c>
      <c r="AC103" s="15"/>
      <c r="AD103" s="16" t="str">
        <f aca="false">IF(OR(AC103="",P103=""),"",P103/AC103-1)</f>
        <v/>
      </c>
      <c r="AE103" s="19" t="str">
        <f aca="false">IF(AND(M103=0,OR(Z103="✅ ЗАШЛО",Z103="❌ НЕ ЗАШЛО"),L103&lt;&gt;""),(L103-IF(Z103="✅ ЗАШЛО",1,0))^2,"")</f>
        <v/>
      </c>
      <c r="AF103" s="15"/>
      <c r="AG103" s="15"/>
      <c r="AH103" s="13"/>
      <c r="AI103" s="13"/>
      <c r="AJ103" s="13"/>
      <c r="AK103" s="20" t="str">
        <f aca="false">IF(AH103="","",IF(ABS(AH103+AI103+AJ103-1)&lt;0.000001,"OK","ОШИБКА"))</f>
        <v/>
      </c>
      <c r="AL103" s="13"/>
      <c r="AM103" s="12"/>
      <c r="AN103" s="12"/>
      <c r="AO103" s="12"/>
      <c r="AP103" s="12"/>
      <c r="AQ103" s="18" t="str">
        <f aca="false">IF(A103="","",N(AQ102)+N(AA103))</f>
        <v/>
      </c>
      <c r="AR103" s="18" t="str">
        <f aca="false">IF(AQ103="","",MAX(0,MAX($AQ$8:AQ103))-AQ103)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3"/>
      <c r="M104" s="13"/>
      <c r="N104" s="13"/>
      <c r="O104" s="14" t="str">
        <f aca="false">IF(OR(L104="",L104=0),"",(1-M104)/L104)</f>
        <v/>
      </c>
      <c r="P104" s="15"/>
      <c r="Q104" s="12"/>
      <c r="R104" s="12"/>
      <c r="S104" s="13"/>
      <c r="T104" s="16" t="str">
        <f aca="false">IF(OR(S104="",L104=""),"",L104/(1-M104)-S104)</f>
        <v/>
      </c>
      <c r="U104" s="16" t="str">
        <f aca="false">IF(OR(L104="",P104=""),"",L104*(P104-1)-N104)</f>
        <v/>
      </c>
      <c r="V104" s="13"/>
      <c r="W104" s="17"/>
      <c r="X104" s="12"/>
      <c r="Y104" s="12"/>
      <c r="Z104" s="12"/>
      <c r="AA104" s="18" t="str">
        <f aca="false">IF(K104&lt;&gt;"ВИРТУАЛЬНЫЙ ВЫБОР","",IF(Z104="✅ ЗАШЛО",W104*(P104-1),IF(Z104="❌ НЕ ЗАШЛО",-W104,IF(Z104="½ ЗАШЛО",W104*(P104-1)/2,IF(Z104="½ НЕ ЗАШЛО",-W104/2,IF(Z104="ВОЗВРАТ",0,""))))))</f>
        <v/>
      </c>
      <c r="AB104" s="18" t="str">
        <f aca="false">IF(AND(K104="ВИРТУАЛЬНЫЙ ВЫБОР",OR(Z104="✅ ЗАШЛО",Z104="❌ НЕ ЗАШЛО",Z104="½ ЗАШЛО",Z104="½ НЕ ЗАШЛО",Z104="ВОЗВРАТ")),W104,"")</f>
        <v/>
      </c>
      <c r="AC104" s="15"/>
      <c r="AD104" s="16" t="str">
        <f aca="false">IF(OR(AC104="",P104=""),"",P104/AC104-1)</f>
        <v/>
      </c>
      <c r="AE104" s="19" t="str">
        <f aca="false">IF(AND(M104=0,OR(Z104="✅ ЗАШЛО",Z104="❌ НЕ ЗАШЛО"),L104&lt;&gt;""),(L104-IF(Z104="✅ ЗАШЛО",1,0))^2,"")</f>
        <v/>
      </c>
      <c r="AF104" s="15"/>
      <c r="AG104" s="15"/>
      <c r="AH104" s="13"/>
      <c r="AI104" s="13"/>
      <c r="AJ104" s="13"/>
      <c r="AK104" s="20" t="str">
        <f aca="false">IF(AH104="","",IF(ABS(AH104+AI104+AJ104-1)&lt;0.000001,"OK","ОШИБКА"))</f>
        <v/>
      </c>
      <c r="AL104" s="13"/>
      <c r="AM104" s="12"/>
      <c r="AN104" s="12"/>
      <c r="AO104" s="12"/>
      <c r="AP104" s="12"/>
      <c r="AQ104" s="18" t="str">
        <f aca="false">IF(A104="","",N(AQ103)+N(AA104))</f>
        <v/>
      </c>
      <c r="AR104" s="18" t="str">
        <f aca="false">IF(AQ104="","",MAX(0,MAX($AQ$8:AQ104))-AQ104)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3"/>
      <c r="M105" s="13"/>
      <c r="N105" s="13"/>
      <c r="O105" s="14" t="str">
        <f aca="false">IF(OR(L105="",L105=0),"",(1-M105)/L105)</f>
        <v/>
      </c>
      <c r="P105" s="15"/>
      <c r="Q105" s="12"/>
      <c r="R105" s="12"/>
      <c r="S105" s="13"/>
      <c r="T105" s="16" t="str">
        <f aca="false">IF(OR(S105="",L105=""),"",L105/(1-M105)-S105)</f>
        <v/>
      </c>
      <c r="U105" s="16" t="str">
        <f aca="false">IF(OR(L105="",P105=""),"",L105*(P105-1)-N105)</f>
        <v/>
      </c>
      <c r="V105" s="13"/>
      <c r="W105" s="17"/>
      <c r="X105" s="12"/>
      <c r="Y105" s="12"/>
      <c r="Z105" s="12"/>
      <c r="AA105" s="18" t="str">
        <f aca="false">IF(K105&lt;&gt;"ВИРТУАЛЬНЫЙ ВЫБОР","",IF(Z105="✅ ЗАШЛО",W105*(P105-1),IF(Z105="❌ НЕ ЗАШЛО",-W105,IF(Z105="½ ЗАШЛО",W105*(P105-1)/2,IF(Z105="½ НЕ ЗАШЛО",-W105/2,IF(Z105="ВОЗВРАТ",0,""))))))</f>
        <v/>
      </c>
      <c r="AB105" s="18" t="str">
        <f aca="false">IF(AND(K105="ВИРТУАЛЬНЫЙ ВЫБОР",OR(Z105="✅ ЗАШЛО",Z105="❌ НЕ ЗАШЛО",Z105="½ ЗАШЛО",Z105="½ НЕ ЗАШЛО",Z105="ВОЗВРАТ")),W105,"")</f>
        <v/>
      </c>
      <c r="AC105" s="15"/>
      <c r="AD105" s="16" t="str">
        <f aca="false">IF(OR(AC105="",P105=""),"",P105/AC105-1)</f>
        <v/>
      </c>
      <c r="AE105" s="19" t="str">
        <f aca="false">IF(AND(M105=0,OR(Z105="✅ ЗАШЛО",Z105="❌ НЕ ЗАШЛО"),L105&lt;&gt;""),(L105-IF(Z105="✅ ЗАШЛО",1,0))^2,"")</f>
        <v/>
      </c>
      <c r="AF105" s="15"/>
      <c r="AG105" s="15"/>
      <c r="AH105" s="13"/>
      <c r="AI105" s="13"/>
      <c r="AJ105" s="13"/>
      <c r="AK105" s="20" t="str">
        <f aca="false">IF(AH105="","",IF(ABS(AH105+AI105+AJ105-1)&lt;0.000001,"OK","ОШИБКА"))</f>
        <v/>
      </c>
      <c r="AL105" s="13"/>
      <c r="AM105" s="12"/>
      <c r="AN105" s="12"/>
      <c r="AO105" s="12"/>
      <c r="AP105" s="12"/>
      <c r="AQ105" s="18" t="str">
        <f aca="false">IF(A105="","",N(AQ104)+N(AA105))</f>
        <v/>
      </c>
      <c r="AR105" s="18" t="str">
        <f aca="false">IF(AQ105="","",MAX(0,MAX($AQ$8:AQ105))-AQ105)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3"/>
      <c r="M106" s="13"/>
      <c r="N106" s="13"/>
      <c r="O106" s="14" t="str">
        <f aca="false">IF(OR(L106="",L106=0),"",(1-M106)/L106)</f>
        <v/>
      </c>
      <c r="P106" s="15"/>
      <c r="Q106" s="12"/>
      <c r="R106" s="12"/>
      <c r="S106" s="13"/>
      <c r="T106" s="16" t="str">
        <f aca="false">IF(OR(S106="",L106=""),"",L106/(1-M106)-S106)</f>
        <v/>
      </c>
      <c r="U106" s="16" t="str">
        <f aca="false">IF(OR(L106="",P106=""),"",L106*(P106-1)-N106)</f>
        <v/>
      </c>
      <c r="V106" s="13"/>
      <c r="W106" s="17"/>
      <c r="X106" s="12"/>
      <c r="Y106" s="12"/>
      <c r="Z106" s="12"/>
      <c r="AA106" s="18" t="str">
        <f aca="false">IF(K106&lt;&gt;"ВИРТУАЛЬНЫЙ ВЫБОР","",IF(Z106="✅ ЗАШЛО",W106*(P106-1),IF(Z106="❌ НЕ ЗАШЛО",-W106,IF(Z106="½ ЗАШЛО",W106*(P106-1)/2,IF(Z106="½ НЕ ЗАШЛО",-W106/2,IF(Z106="ВОЗВРАТ",0,""))))))</f>
        <v/>
      </c>
      <c r="AB106" s="18" t="str">
        <f aca="false">IF(AND(K106="ВИРТУАЛЬНЫЙ ВЫБОР",OR(Z106="✅ ЗАШЛО",Z106="❌ НЕ ЗАШЛО",Z106="½ ЗАШЛО",Z106="½ НЕ ЗАШЛО",Z106="ВОЗВРАТ")),W106,"")</f>
        <v/>
      </c>
      <c r="AC106" s="15"/>
      <c r="AD106" s="16" t="str">
        <f aca="false">IF(OR(AC106="",P106=""),"",P106/AC106-1)</f>
        <v/>
      </c>
      <c r="AE106" s="19" t="str">
        <f aca="false">IF(AND(M106=0,OR(Z106="✅ ЗАШЛО",Z106="❌ НЕ ЗАШЛО"),L106&lt;&gt;""),(L106-IF(Z106="✅ ЗАШЛО",1,0))^2,"")</f>
        <v/>
      </c>
      <c r="AF106" s="15"/>
      <c r="AG106" s="15"/>
      <c r="AH106" s="13"/>
      <c r="AI106" s="13"/>
      <c r="AJ106" s="13"/>
      <c r="AK106" s="20" t="str">
        <f aca="false">IF(AH106="","",IF(ABS(AH106+AI106+AJ106-1)&lt;0.000001,"OK","ОШИБКА"))</f>
        <v/>
      </c>
      <c r="AL106" s="13"/>
      <c r="AM106" s="12"/>
      <c r="AN106" s="12"/>
      <c r="AO106" s="12"/>
      <c r="AP106" s="12"/>
      <c r="AQ106" s="18" t="str">
        <f aca="false">IF(A106="","",N(AQ105)+N(AA106))</f>
        <v/>
      </c>
      <c r="AR106" s="18" t="str">
        <f aca="false">IF(AQ106="","",MAX(0,MAX($AQ$8:AQ106))-AQ106)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3"/>
      <c r="M107" s="13"/>
      <c r="N107" s="13"/>
      <c r="O107" s="14" t="str">
        <f aca="false">IF(OR(L107="",L107=0),"",(1-M107)/L107)</f>
        <v/>
      </c>
      <c r="P107" s="15"/>
      <c r="Q107" s="12"/>
      <c r="R107" s="12"/>
      <c r="S107" s="13"/>
      <c r="T107" s="16" t="str">
        <f aca="false">IF(OR(S107="",L107=""),"",L107/(1-M107)-S107)</f>
        <v/>
      </c>
      <c r="U107" s="16" t="str">
        <f aca="false">IF(OR(L107="",P107=""),"",L107*(P107-1)-N107)</f>
        <v/>
      </c>
      <c r="V107" s="13"/>
      <c r="W107" s="17"/>
      <c r="X107" s="12"/>
      <c r="Y107" s="12"/>
      <c r="Z107" s="12"/>
      <c r="AA107" s="18" t="str">
        <f aca="false">IF(K107&lt;&gt;"ВИРТУАЛЬНЫЙ ВЫБОР","",IF(Z107="✅ ЗАШЛО",W107*(P107-1),IF(Z107="❌ НЕ ЗАШЛО",-W107,IF(Z107="½ ЗАШЛО",W107*(P107-1)/2,IF(Z107="½ НЕ ЗАШЛО",-W107/2,IF(Z107="ВОЗВРАТ",0,""))))))</f>
        <v/>
      </c>
      <c r="AB107" s="18" t="str">
        <f aca="false">IF(AND(K107="ВИРТУАЛЬНЫЙ ВЫБОР",OR(Z107="✅ ЗАШЛО",Z107="❌ НЕ ЗАШЛО",Z107="½ ЗАШЛО",Z107="½ НЕ ЗАШЛО",Z107="ВОЗВРАТ")),W107,"")</f>
        <v/>
      </c>
      <c r="AC107" s="15"/>
      <c r="AD107" s="16" t="str">
        <f aca="false">IF(OR(AC107="",P107=""),"",P107/AC107-1)</f>
        <v/>
      </c>
      <c r="AE107" s="19" t="str">
        <f aca="false">IF(AND(M107=0,OR(Z107="✅ ЗАШЛО",Z107="❌ НЕ ЗАШЛО"),L107&lt;&gt;""),(L107-IF(Z107="✅ ЗАШЛО",1,0))^2,"")</f>
        <v/>
      </c>
      <c r="AF107" s="15"/>
      <c r="AG107" s="15"/>
      <c r="AH107" s="13"/>
      <c r="AI107" s="13"/>
      <c r="AJ107" s="13"/>
      <c r="AK107" s="20" t="str">
        <f aca="false">IF(AH107="","",IF(ABS(AH107+AI107+AJ107-1)&lt;0.000001,"OK","ОШИБКА"))</f>
        <v/>
      </c>
      <c r="AL107" s="13"/>
      <c r="AM107" s="12"/>
      <c r="AN107" s="12"/>
      <c r="AO107" s="12"/>
      <c r="AP107" s="12"/>
      <c r="AQ107" s="18" t="str">
        <f aca="false">IF(A107="","",N(AQ106)+N(AA107))</f>
        <v/>
      </c>
      <c r="AR107" s="18" t="str">
        <f aca="false">IF(AQ107="","",MAX(0,MAX($AQ$8:AQ107))-AQ107)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3"/>
      <c r="M108" s="13"/>
      <c r="N108" s="13"/>
      <c r="O108" s="14" t="str">
        <f aca="false">IF(OR(L108="",L108=0),"",(1-M108)/L108)</f>
        <v/>
      </c>
      <c r="P108" s="15"/>
      <c r="Q108" s="12"/>
      <c r="R108" s="12"/>
      <c r="S108" s="13"/>
      <c r="T108" s="16" t="str">
        <f aca="false">IF(OR(S108="",L108=""),"",L108/(1-M108)-S108)</f>
        <v/>
      </c>
      <c r="U108" s="16" t="str">
        <f aca="false">IF(OR(L108="",P108=""),"",L108*(P108-1)-N108)</f>
        <v/>
      </c>
      <c r="V108" s="13"/>
      <c r="W108" s="17"/>
      <c r="X108" s="12"/>
      <c r="Y108" s="12"/>
      <c r="Z108" s="12"/>
      <c r="AA108" s="18" t="str">
        <f aca="false">IF(K108&lt;&gt;"ВИРТУАЛЬНЫЙ ВЫБОР","",IF(Z108="✅ ЗАШЛО",W108*(P108-1),IF(Z108="❌ НЕ ЗАШЛО",-W108,IF(Z108="½ ЗАШЛО",W108*(P108-1)/2,IF(Z108="½ НЕ ЗАШЛО",-W108/2,IF(Z108="ВОЗВРАТ",0,""))))))</f>
        <v/>
      </c>
      <c r="AB108" s="18" t="str">
        <f aca="false">IF(AND(K108="ВИРТУАЛЬНЫЙ ВЫБОР",OR(Z108="✅ ЗАШЛО",Z108="❌ НЕ ЗАШЛО",Z108="½ ЗАШЛО",Z108="½ НЕ ЗАШЛО",Z108="ВОЗВРАТ")),W108,"")</f>
        <v/>
      </c>
      <c r="AC108" s="15"/>
      <c r="AD108" s="16" t="str">
        <f aca="false">IF(OR(AC108="",P108=""),"",P108/AC108-1)</f>
        <v/>
      </c>
      <c r="AE108" s="19" t="str">
        <f aca="false">IF(AND(M108=0,OR(Z108="✅ ЗАШЛО",Z108="❌ НЕ ЗАШЛО"),L108&lt;&gt;""),(L108-IF(Z108="✅ ЗАШЛО",1,0))^2,"")</f>
        <v/>
      </c>
      <c r="AF108" s="15"/>
      <c r="AG108" s="15"/>
      <c r="AH108" s="13"/>
      <c r="AI108" s="13"/>
      <c r="AJ108" s="13"/>
      <c r="AK108" s="20" t="str">
        <f aca="false">IF(AH108="","",IF(ABS(AH108+AI108+AJ108-1)&lt;0.000001,"OK","ОШИБКА"))</f>
        <v/>
      </c>
      <c r="AL108" s="13"/>
      <c r="AM108" s="12"/>
      <c r="AN108" s="12"/>
      <c r="AO108" s="12"/>
      <c r="AP108" s="12"/>
      <c r="AQ108" s="18" t="str">
        <f aca="false">IF(A108="","",N(AQ107)+N(AA108))</f>
        <v/>
      </c>
      <c r="AR108" s="18" t="str">
        <f aca="false">IF(AQ108="","",MAX(0,MAX($AQ$8:AQ108))-AQ108)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3"/>
      <c r="M109" s="13"/>
      <c r="N109" s="13"/>
      <c r="O109" s="14" t="str">
        <f aca="false">IF(OR(L109="",L109=0),"",(1-M109)/L109)</f>
        <v/>
      </c>
      <c r="P109" s="15"/>
      <c r="Q109" s="12"/>
      <c r="R109" s="12"/>
      <c r="S109" s="13"/>
      <c r="T109" s="16" t="str">
        <f aca="false">IF(OR(S109="",L109=""),"",L109/(1-M109)-S109)</f>
        <v/>
      </c>
      <c r="U109" s="16" t="str">
        <f aca="false">IF(OR(L109="",P109=""),"",L109*(P109-1)-N109)</f>
        <v/>
      </c>
      <c r="V109" s="13"/>
      <c r="W109" s="17"/>
      <c r="X109" s="12"/>
      <c r="Y109" s="12"/>
      <c r="Z109" s="12"/>
      <c r="AA109" s="18" t="str">
        <f aca="false">IF(K109&lt;&gt;"ВИРТУАЛЬНЫЙ ВЫБОР","",IF(Z109="✅ ЗАШЛО",W109*(P109-1),IF(Z109="❌ НЕ ЗАШЛО",-W109,IF(Z109="½ ЗАШЛО",W109*(P109-1)/2,IF(Z109="½ НЕ ЗАШЛО",-W109/2,IF(Z109="ВОЗВРАТ",0,""))))))</f>
        <v/>
      </c>
      <c r="AB109" s="18" t="str">
        <f aca="false">IF(AND(K109="ВИРТУАЛЬНЫЙ ВЫБОР",OR(Z109="✅ ЗАШЛО",Z109="❌ НЕ ЗАШЛО",Z109="½ ЗАШЛО",Z109="½ НЕ ЗАШЛО",Z109="ВОЗВРАТ")),W109,"")</f>
        <v/>
      </c>
      <c r="AC109" s="15"/>
      <c r="AD109" s="16" t="str">
        <f aca="false">IF(OR(AC109="",P109=""),"",P109/AC109-1)</f>
        <v/>
      </c>
      <c r="AE109" s="19" t="str">
        <f aca="false">IF(AND(M109=0,OR(Z109="✅ ЗАШЛО",Z109="❌ НЕ ЗАШЛО"),L109&lt;&gt;""),(L109-IF(Z109="✅ ЗАШЛО",1,0))^2,"")</f>
        <v/>
      </c>
      <c r="AF109" s="15"/>
      <c r="AG109" s="15"/>
      <c r="AH109" s="13"/>
      <c r="AI109" s="13"/>
      <c r="AJ109" s="13"/>
      <c r="AK109" s="20" t="str">
        <f aca="false">IF(AH109="","",IF(ABS(AH109+AI109+AJ109-1)&lt;0.000001,"OK","ОШИБКА"))</f>
        <v/>
      </c>
      <c r="AL109" s="13"/>
      <c r="AM109" s="12"/>
      <c r="AN109" s="12"/>
      <c r="AO109" s="12"/>
      <c r="AP109" s="12"/>
      <c r="AQ109" s="18" t="str">
        <f aca="false">IF(A109="","",N(AQ108)+N(AA109))</f>
        <v/>
      </c>
      <c r="AR109" s="18" t="str">
        <f aca="false">IF(AQ109="","",MAX(0,MAX($AQ$8:AQ109))-AQ109)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3"/>
      <c r="M110" s="13"/>
      <c r="N110" s="13"/>
      <c r="O110" s="14" t="str">
        <f aca="false">IF(OR(L110="",L110=0),"",(1-M110)/L110)</f>
        <v/>
      </c>
      <c r="P110" s="15"/>
      <c r="Q110" s="12"/>
      <c r="R110" s="12"/>
      <c r="S110" s="13"/>
      <c r="T110" s="16" t="str">
        <f aca="false">IF(OR(S110="",L110=""),"",L110/(1-M110)-S110)</f>
        <v/>
      </c>
      <c r="U110" s="16" t="str">
        <f aca="false">IF(OR(L110="",P110=""),"",L110*(P110-1)-N110)</f>
        <v/>
      </c>
      <c r="V110" s="13"/>
      <c r="W110" s="17"/>
      <c r="X110" s="12"/>
      <c r="Y110" s="12"/>
      <c r="Z110" s="12"/>
      <c r="AA110" s="18" t="str">
        <f aca="false">IF(K110&lt;&gt;"ВИРТУАЛЬНЫЙ ВЫБОР","",IF(Z110="✅ ЗАШЛО",W110*(P110-1),IF(Z110="❌ НЕ ЗАШЛО",-W110,IF(Z110="½ ЗАШЛО",W110*(P110-1)/2,IF(Z110="½ НЕ ЗАШЛО",-W110/2,IF(Z110="ВОЗВРАТ",0,""))))))</f>
        <v/>
      </c>
      <c r="AB110" s="18" t="str">
        <f aca="false">IF(AND(K110="ВИРТУАЛЬНЫЙ ВЫБОР",OR(Z110="✅ ЗАШЛО",Z110="❌ НЕ ЗАШЛО",Z110="½ ЗАШЛО",Z110="½ НЕ ЗАШЛО",Z110="ВОЗВРАТ")),W110,"")</f>
        <v/>
      </c>
      <c r="AC110" s="15"/>
      <c r="AD110" s="16" t="str">
        <f aca="false">IF(OR(AC110="",P110=""),"",P110/AC110-1)</f>
        <v/>
      </c>
      <c r="AE110" s="19" t="str">
        <f aca="false">IF(AND(M110=0,OR(Z110="✅ ЗАШЛО",Z110="❌ НЕ ЗАШЛО"),L110&lt;&gt;""),(L110-IF(Z110="✅ ЗАШЛО",1,0))^2,"")</f>
        <v/>
      </c>
      <c r="AF110" s="15"/>
      <c r="AG110" s="15"/>
      <c r="AH110" s="13"/>
      <c r="AI110" s="13"/>
      <c r="AJ110" s="13"/>
      <c r="AK110" s="20" t="str">
        <f aca="false">IF(AH110="","",IF(ABS(AH110+AI110+AJ110-1)&lt;0.000001,"OK","ОШИБКА"))</f>
        <v/>
      </c>
      <c r="AL110" s="13"/>
      <c r="AM110" s="12"/>
      <c r="AN110" s="12"/>
      <c r="AO110" s="12"/>
      <c r="AP110" s="12"/>
      <c r="AQ110" s="18" t="str">
        <f aca="false">IF(A110="","",N(AQ109)+N(AA110))</f>
        <v/>
      </c>
      <c r="AR110" s="18" t="str">
        <f aca="false">IF(AQ110="","",MAX(0,MAX($AQ$8:AQ110))-AQ110)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3"/>
      <c r="M111" s="13"/>
      <c r="N111" s="13"/>
      <c r="O111" s="14" t="str">
        <f aca="false">IF(OR(L111="",L111=0),"",(1-M111)/L111)</f>
        <v/>
      </c>
      <c r="P111" s="15"/>
      <c r="Q111" s="12"/>
      <c r="R111" s="12"/>
      <c r="S111" s="13"/>
      <c r="T111" s="16" t="str">
        <f aca="false">IF(OR(S111="",L111=""),"",L111/(1-M111)-S111)</f>
        <v/>
      </c>
      <c r="U111" s="16" t="str">
        <f aca="false">IF(OR(L111="",P111=""),"",L111*(P111-1)-N111)</f>
        <v/>
      </c>
      <c r="V111" s="13"/>
      <c r="W111" s="17"/>
      <c r="X111" s="12"/>
      <c r="Y111" s="12"/>
      <c r="Z111" s="12"/>
      <c r="AA111" s="18" t="str">
        <f aca="false">IF(K111&lt;&gt;"ВИРТУАЛЬНЫЙ ВЫБОР","",IF(Z111="✅ ЗАШЛО",W111*(P111-1),IF(Z111="❌ НЕ ЗАШЛО",-W111,IF(Z111="½ ЗАШЛО",W111*(P111-1)/2,IF(Z111="½ НЕ ЗАШЛО",-W111/2,IF(Z111="ВОЗВРАТ",0,""))))))</f>
        <v/>
      </c>
      <c r="AB111" s="18" t="str">
        <f aca="false">IF(AND(K111="ВИРТУАЛЬНЫЙ ВЫБОР",OR(Z111="✅ ЗАШЛО",Z111="❌ НЕ ЗАШЛО",Z111="½ ЗАШЛО",Z111="½ НЕ ЗАШЛО",Z111="ВОЗВРАТ")),W111,"")</f>
        <v/>
      </c>
      <c r="AC111" s="15"/>
      <c r="AD111" s="16" t="str">
        <f aca="false">IF(OR(AC111="",P111=""),"",P111/AC111-1)</f>
        <v/>
      </c>
      <c r="AE111" s="19" t="str">
        <f aca="false">IF(AND(M111=0,OR(Z111="✅ ЗАШЛО",Z111="❌ НЕ ЗАШЛО"),L111&lt;&gt;""),(L111-IF(Z111="✅ ЗАШЛО",1,0))^2,"")</f>
        <v/>
      </c>
      <c r="AF111" s="15"/>
      <c r="AG111" s="15"/>
      <c r="AH111" s="13"/>
      <c r="AI111" s="13"/>
      <c r="AJ111" s="13"/>
      <c r="AK111" s="20" t="str">
        <f aca="false">IF(AH111="","",IF(ABS(AH111+AI111+AJ111-1)&lt;0.000001,"OK","ОШИБКА"))</f>
        <v/>
      </c>
      <c r="AL111" s="13"/>
      <c r="AM111" s="12"/>
      <c r="AN111" s="12"/>
      <c r="AO111" s="12"/>
      <c r="AP111" s="12"/>
      <c r="AQ111" s="18" t="str">
        <f aca="false">IF(A111="","",N(AQ110)+N(AA111))</f>
        <v/>
      </c>
      <c r="AR111" s="18" t="str">
        <f aca="false">IF(AQ111="","",MAX(0,MAX($AQ$8:AQ111))-AQ111)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3"/>
      <c r="M112" s="13"/>
      <c r="N112" s="13"/>
      <c r="O112" s="14" t="str">
        <f aca="false">IF(OR(L112="",L112=0),"",(1-M112)/L112)</f>
        <v/>
      </c>
      <c r="P112" s="15"/>
      <c r="Q112" s="12"/>
      <c r="R112" s="12"/>
      <c r="S112" s="13"/>
      <c r="T112" s="16" t="str">
        <f aca="false">IF(OR(S112="",L112=""),"",L112/(1-M112)-S112)</f>
        <v/>
      </c>
      <c r="U112" s="16" t="str">
        <f aca="false">IF(OR(L112="",P112=""),"",L112*(P112-1)-N112)</f>
        <v/>
      </c>
      <c r="V112" s="13"/>
      <c r="W112" s="17"/>
      <c r="X112" s="12"/>
      <c r="Y112" s="12"/>
      <c r="Z112" s="12"/>
      <c r="AA112" s="18" t="str">
        <f aca="false">IF(K112&lt;&gt;"ВИРТУАЛЬНЫЙ ВЫБОР","",IF(Z112="✅ ЗАШЛО",W112*(P112-1),IF(Z112="❌ НЕ ЗАШЛО",-W112,IF(Z112="½ ЗАШЛО",W112*(P112-1)/2,IF(Z112="½ НЕ ЗАШЛО",-W112/2,IF(Z112="ВОЗВРАТ",0,""))))))</f>
        <v/>
      </c>
      <c r="AB112" s="18" t="str">
        <f aca="false">IF(AND(K112="ВИРТУАЛЬНЫЙ ВЫБОР",OR(Z112="✅ ЗАШЛО",Z112="❌ НЕ ЗАШЛО",Z112="½ ЗАШЛО",Z112="½ НЕ ЗАШЛО",Z112="ВОЗВРАТ")),W112,"")</f>
        <v/>
      </c>
      <c r="AC112" s="15"/>
      <c r="AD112" s="16" t="str">
        <f aca="false">IF(OR(AC112="",P112=""),"",P112/AC112-1)</f>
        <v/>
      </c>
      <c r="AE112" s="19" t="str">
        <f aca="false">IF(AND(M112=0,OR(Z112="✅ ЗАШЛО",Z112="❌ НЕ ЗАШЛО"),L112&lt;&gt;""),(L112-IF(Z112="✅ ЗАШЛО",1,0))^2,"")</f>
        <v/>
      </c>
      <c r="AF112" s="15"/>
      <c r="AG112" s="15"/>
      <c r="AH112" s="13"/>
      <c r="AI112" s="13"/>
      <c r="AJ112" s="13"/>
      <c r="AK112" s="20" t="str">
        <f aca="false">IF(AH112="","",IF(ABS(AH112+AI112+AJ112-1)&lt;0.000001,"OK","ОШИБКА"))</f>
        <v/>
      </c>
      <c r="AL112" s="13"/>
      <c r="AM112" s="12"/>
      <c r="AN112" s="12"/>
      <c r="AO112" s="12"/>
      <c r="AP112" s="12"/>
      <c r="AQ112" s="18" t="str">
        <f aca="false">IF(A112="","",N(AQ111)+N(AA112))</f>
        <v/>
      </c>
      <c r="AR112" s="18" t="str">
        <f aca="false">IF(AQ112="","",MAX(0,MAX($AQ$8:AQ112))-AQ112)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3"/>
      <c r="M113" s="13"/>
      <c r="N113" s="13"/>
      <c r="O113" s="14" t="str">
        <f aca="false">IF(OR(L113="",L113=0),"",(1-M113)/L113)</f>
        <v/>
      </c>
      <c r="P113" s="15"/>
      <c r="Q113" s="12"/>
      <c r="R113" s="12"/>
      <c r="S113" s="13"/>
      <c r="T113" s="16" t="str">
        <f aca="false">IF(OR(S113="",L113=""),"",L113/(1-M113)-S113)</f>
        <v/>
      </c>
      <c r="U113" s="16" t="str">
        <f aca="false">IF(OR(L113="",P113=""),"",L113*(P113-1)-N113)</f>
        <v/>
      </c>
      <c r="V113" s="13"/>
      <c r="W113" s="17"/>
      <c r="X113" s="12"/>
      <c r="Y113" s="12"/>
      <c r="Z113" s="12"/>
      <c r="AA113" s="18" t="str">
        <f aca="false">IF(K113&lt;&gt;"ВИРТУАЛЬНЫЙ ВЫБОР","",IF(Z113="✅ ЗАШЛО",W113*(P113-1),IF(Z113="❌ НЕ ЗАШЛО",-W113,IF(Z113="½ ЗАШЛО",W113*(P113-1)/2,IF(Z113="½ НЕ ЗАШЛО",-W113/2,IF(Z113="ВОЗВРАТ",0,""))))))</f>
        <v/>
      </c>
      <c r="AB113" s="18" t="str">
        <f aca="false">IF(AND(K113="ВИРТУАЛЬНЫЙ ВЫБОР",OR(Z113="✅ ЗАШЛО",Z113="❌ НЕ ЗАШЛО",Z113="½ ЗАШЛО",Z113="½ НЕ ЗАШЛО",Z113="ВОЗВРАТ")),W113,"")</f>
        <v/>
      </c>
      <c r="AC113" s="15"/>
      <c r="AD113" s="16" t="str">
        <f aca="false">IF(OR(AC113="",P113=""),"",P113/AC113-1)</f>
        <v/>
      </c>
      <c r="AE113" s="19" t="str">
        <f aca="false">IF(AND(M113=0,OR(Z113="✅ ЗАШЛО",Z113="❌ НЕ ЗАШЛО"),L113&lt;&gt;""),(L113-IF(Z113="✅ ЗАШЛО",1,0))^2,"")</f>
        <v/>
      </c>
      <c r="AF113" s="15"/>
      <c r="AG113" s="15"/>
      <c r="AH113" s="13"/>
      <c r="AI113" s="13"/>
      <c r="AJ113" s="13"/>
      <c r="AK113" s="20" t="str">
        <f aca="false">IF(AH113="","",IF(ABS(AH113+AI113+AJ113-1)&lt;0.000001,"OK","ОШИБКА"))</f>
        <v/>
      </c>
      <c r="AL113" s="13"/>
      <c r="AM113" s="12"/>
      <c r="AN113" s="12"/>
      <c r="AO113" s="12"/>
      <c r="AP113" s="12"/>
      <c r="AQ113" s="18" t="str">
        <f aca="false">IF(A113="","",N(AQ112)+N(AA113))</f>
        <v/>
      </c>
      <c r="AR113" s="18" t="str">
        <f aca="false">IF(AQ113="","",MAX(0,MAX($AQ$8:AQ113))-AQ113)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3"/>
      <c r="M114" s="13"/>
      <c r="N114" s="13"/>
      <c r="O114" s="14" t="str">
        <f aca="false">IF(OR(L114="",L114=0),"",(1-M114)/L114)</f>
        <v/>
      </c>
      <c r="P114" s="15"/>
      <c r="Q114" s="12"/>
      <c r="R114" s="12"/>
      <c r="S114" s="13"/>
      <c r="T114" s="16" t="str">
        <f aca="false">IF(OR(S114="",L114=""),"",L114/(1-M114)-S114)</f>
        <v/>
      </c>
      <c r="U114" s="16" t="str">
        <f aca="false">IF(OR(L114="",P114=""),"",L114*(P114-1)-N114)</f>
        <v/>
      </c>
      <c r="V114" s="13"/>
      <c r="W114" s="17"/>
      <c r="X114" s="12"/>
      <c r="Y114" s="12"/>
      <c r="Z114" s="12"/>
      <c r="AA114" s="18" t="str">
        <f aca="false">IF(K114&lt;&gt;"ВИРТУАЛЬНЫЙ ВЫБОР","",IF(Z114="✅ ЗАШЛО",W114*(P114-1),IF(Z114="❌ НЕ ЗАШЛО",-W114,IF(Z114="½ ЗАШЛО",W114*(P114-1)/2,IF(Z114="½ НЕ ЗАШЛО",-W114/2,IF(Z114="ВОЗВРАТ",0,""))))))</f>
        <v/>
      </c>
      <c r="AB114" s="18" t="str">
        <f aca="false">IF(AND(K114="ВИРТУАЛЬНЫЙ ВЫБОР",OR(Z114="✅ ЗАШЛО",Z114="❌ НЕ ЗАШЛО",Z114="½ ЗАШЛО",Z114="½ НЕ ЗАШЛО",Z114="ВОЗВРАТ")),W114,"")</f>
        <v/>
      </c>
      <c r="AC114" s="15"/>
      <c r="AD114" s="16" t="str">
        <f aca="false">IF(OR(AC114="",P114=""),"",P114/AC114-1)</f>
        <v/>
      </c>
      <c r="AE114" s="19" t="str">
        <f aca="false">IF(AND(M114=0,OR(Z114="✅ ЗАШЛО",Z114="❌ НЕ ЗАШЛО"),L114&lt;&gt;""),(L114-IF(Z114="✅ ЗАШЛО",1,0))^2,"")</f>
        <v/>
      </c>
      <c r="AF114" s="15"/>
      <c r="AG114" s="15"/>
      <c r="AH114" s="13"/>
      <c r="AI114" s="13"/>
      <c r="AJ114" s="13"/>
      <c r="AK114" s="20" t="str">
        <f aca="false">IF(AH114="","",IF(ABS(AH114+AI114+AJ114-1)&lt;0.000001,"OK","ОШИБКА"))</f>
        <v/>
      </c>
      <c r="AL114" s="13"/>
      <c r="AM114" s="12"/>
      <c r="AN114" s="12"/>
      <c r="AO114" s="12"/>
      <c r="AP114" s="12"/>
      <c r="AQ114" s="18" t="str">
        <f aca="false">IF(A114="","",N(AQ113)+N(AA114))</f>
        <v/>
      </c>
      <c r="AR114" s="18" t="str">
        <f aca="false">IF(AQ114="","",MAX(0,MAX($AQ$8:AQ114))-AQ114)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3"/>
      <c r="M115" s="13"/>
      <c r="N115" s="13"/>
      <c r="O115" s="14" t="str">
        <f aca="false">IF(OR(L115="",L115=0),"",(1-M115)/L115)</f>
        <v/>
      </c>
      <c r="P115" s="15"/>
      <c r="Q115" s="12"/>
      <c r="R115" s="12"/>
      <c r="S115" s="13"/>
      <c r="T115" s="16" t="str">
        <f aca="false">IF(OR(S115="",L115=""),"",L115/(1-M115)-S115)</f>
        <v/>
      </c>
      <c r="U115" s="16" t="str">
        <f aca="false">IF(OR(L115="",P115=""),"",L115*(P115-1)-N115)</f>
        <v/>
      </c>
      <c r="V115" s="13"/>
      <c r="W115" s="17"/>
      <c r="X115" s="12"/>
      <c r="Y115" s="12"/>
      <c r="Z115" s="12"/>
      <c r="AA115" s="18" t="str">
        <f aca="false">IF(K115&lt;&gt;"ВИРТУАЛЬНЫЙ ВЫБОР","",IF(Z115="✅ ЗАШЛО",W115*(P115-1),IF(Z115="❌ НЕ ЗАШЛО",-W115,IF(Z115="½ ЗАШЛО",W115*(P115-1)/2,IF(Z115="½ НЕ ЗАШЛО",-W115/2,IF(Z115="ВОЗВРАТ",0,""))))))</f>
        <v/>
      </c>
      <c r="AB115" s="18" t="str">
        <f aca="false">IF(AND(K115="ВИРТУАЛЬНЫЙ ВЫБОР",OR(Z115="✅ ЗАШЛО",Z115="❌ НЕ ЗАШЛО",Z115="½ ЗАШЛО",Z115="½ НЕ ЗАШЛО",Z115="ВОЗВРАТ")),W115,"")</f>
        <v/>
      </c>
      <c r="AC115" s="15"/>
      <c r="AD115" s="16" t="str">
        <f aca="false">IF(OR(AC115="",P115=""),"",P115/AC115-1)</f>
        <v/>
      </c>
      <c r="AE115" s="19" t="str">
        <f aca="false">IF(AND(M115=0,OR(Z115="✅ ЗАШЛО",Z115="❌ НЕ ЗАШЛО"),L115&lt;&gt;""),(L115-IF(Z115="✅ ЗАШЛО",1,0))^2,"")</f>
        <v/>
      </c>
      <c r="AF115" s="15"/>
      <c r="AG115" s="15"/>
      <c r="AH115" s="13"/>
      <c r="AI115" s="13"/>
      <c r="AJ115" s="13"/>
      <c r="AK115" s="20" t="str">
        <f aca="false">IF(AH115="","",IF(ABS(AH115+AI115+AJ115-1)&lt;0.000001,"OK","ОШИБКА"))</f>
        <v/>
      </c>
      <c r="AL115" s="13"/>
      <c r="AM115" s="12"/>
      <c r="AN115" s="12"/>
      <c r="AO115" s="12"/>
      <c r="AP115" s="12"/>
      <c r="AQ115" s="18" t="str">
        <f aca="false">IF(A115="","",N(AQ114)+N(AA115))</f>
        <v/>
      </c>
      <c r="AR115" s="18" t="str">
        <f aca="false">IF(AQ115="","",MAX(0,MAX($AQ$8:AQ115))-AQ115)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3"/>
      <c r="M116" s="13"/>
      <c r="N116" s="13"/>
      <c r="O116" s="14" t="str">
        <f aca="false">IF(OR(L116="",L116=0),"",(1-M116)/L116)</f>
        <v/>
      </c>
      <c r="P116" s="15"/>
      <c r="Q116" s="12"/>
      <c r="R116" s="12"/>
      <c r="S116" s="13"/>
      <c r="T116" s="16" t="str">
        <f aca="false">IF(OR(S116="",L116=""),"",L116/(1-M116)-S116)</f>
        <v/>
      </c>
      <c r="U116" s="16" t="str">
        <f aca="false">IF(OR(L116="",P116=""),"",L116*(P116-1)-N116)</f>
        <v/>
      </c>
      <c r="V116" s="13"/>
      <c r="W116" s="17"/>
      <c r="X116" s="12"/>
      <c r="Y116" s="12"/>
      <c r="Z116" s="12"/>
      <c r="AA116" s="18" t="str">
        <f aca="false">IF(K116&lt;&gt;"ВИРТУАЛЬНЫЙ ВЫБОР","",IF(Z116="✅ ЗАШЛО",W116*(P116-1),IF(Z116="❌ НЕ ЗАШЛО",-W116,IF(Z116="½ ЗАШЛО",W116*(P116-1)/2,IF(Z116="½ НЕ ЗАШЛО",-W116/2,IF(Z116="ВОЗВРАТ",0,""))))))</f>
        <v/>
      </c>
      <c r="AB116" s="18" t="str">
        <f aca="false">IF(AND(K116="ВИРТУАЛЬНЫЙ ВЫБОР",OR(Z116="✅ ЗАШЛО",Z116="❌ НЕ ЗАШЛО",Z116="½ ЗАШЛО",Z116="½ НЕ ЗАШЛО",Z116="ВОЗВРАТ")),W116,"")</f>
        <v/>
      </c>
      <c r="AC116" s="15"/>
      <c r="AD116" s="16" t="str">
        <f aca="false">IF(OR(AC116="",P116=""),"",P116/AC116-1)</f>
        <v/>
      </c>
      <c r="AE116" s="19" t="str">
        <f aca="false">IF(AND(M116=0,OR(Z116="✅ ЗАШЛО",Z116="❌ НЕ ЗАШЛО"),L116&lt;&gt;""),(L116-IF(Z116="✅ ЗАШЛО",1,0))^2,"")</f>
        <v/>
      </c>
      <c r="AF116" s="15"/>
      <c r="AG116" s="15"/>
      <c r="AH116" s="13"/>
      <c r="AI116" s="13"/>
      <c r="AJ116" s="13"/>
      <c r="AK116" s="20" t="str">
        <f aca="false">IF(AH116="","",IF(ABS(AH116+AI116+AJ116-1)&lt;0.000001,"OK","ОШИБКА"))</f>
        <v/>
      </c>
      <c r="AL116" s="13"/>
      <c r="AM116" s="12"/>
      <c r="AN116" s="12"/>
      <c r="AO116" s="12"/>
      <c r="AP116" s="12"/>
      <c r="AQ116" s="18" t="str">
        <f aca="false">IF(A116="","",N(AQ115)+N(AA116))</f>
        <v/>
      </c>
      <c r="AR116" s="18" t="str">
        <f aca="false">IF(AQ116="","",MAX(0,MAX($AQ$8:AQ116))-AQ116)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3"/>
      <c r="M117" s="13"/>
      <c r="N117" s="13"/>
      <c r="O117" s="14" t="str">
        <f aca="false">IF(OR(L117="",L117=0),"",(1-M117)/L117)</f>
        <v/>
      </c>
      <c r="P117" s="15"/>
      <c r="Q117" s="12"/>
      <c r="R117" s="12"/>
      <c r="S117" s="13"/>
      <c r="T117" s="16" t="str">
        <f aca="false">IF(OR(S117="",L117=""),"",L117/(1-M117)-S117)</f>
        <v/>
      </c>
      <c r="U117" s="16" t="str">
        <f aca="false">IF(OR(L117="",P117=""),"",L117*(P117-1)-N117)</f>
        <v/>
      </c>
      <c r="V117" s="13"/>
      <c r="W117" s="17"/>
      <c r="X117" s="12"/>
      <c r="Y117" s="12"/>
      <c r="Z117" s="12"/>
      <c r="AA117" s="18" t="str">
        <f aca="false">IF(K117&lt;&gt;"ВИРТУАЛЬНЫЙ ВЫБОР","",IF(Z117="✅ ЗАШЛО",W117*(P117-1),IF(Z117="❌ НЕ ЗАШЛО",-W117,IF(Z117="½ ЗАШЛО",W117*(P117-1)/2,IF(Z117="½ НЕ ЗАШЛО",-W117/2,IF(Z117="ВОЗВРАТ",0,""))))))</f>
        <v/>
      </c>
      <c r="AB117" s="18" t="str">
        <f aca="false">IF(AND(K117="ВИРТУАЛЬНЫЙ ВЫБОР",OR(Z117="✅ ЗАШЛО",Z117="❌ НЕ ЗАШЛО",Z117="½ ЗАШЛО",Z117="½ НЕ ЗАШЛО",Z117="ВОЗВРАТ")),W117,"")</f>
        <v/>
      </c>
      <c r="AC117" s="15"/>
      <c r="AD117" s="16" t="str">
        <f aca="false">IF(OR(AC117="",P117=""),"",P117/AC117-1)</f>
        <v/>
      </c>
      <c r="AE117" s="19" t="str">
        <f aca="false">IF(AND(M117=0,OR(Z117="✅ ЗАШЛО",Z117="❌ НЕ ЗАШЛО"),L117&lt;&gt;""),(L117-IF(Z117="✅ ЗАШЛО",1,0))^2,"")</f>
        <v/>
      </c>
      <c r="AF117" s="15"/>
      <c r="AG117" s="15"/>
      <c r="AH117" s="13"/>
      <c r="AI117" s="13"/>
      <c r="AJ117" s="13"/>
      <c r="AK117" s="20" t="str">
        <f aca="false">IF(AH117="","",IF(ABS(AH117+AI117+AJ117-1)&lt;0.000001,"OK","ОШИБКА"))</f>
        <v/>
      </c>
      <c r="AL117" s="13"/>
      <c r="AM117" s="12"/>
      <c r="AN117" s="12"/>
      <c r="AO117" s="12"/>
      <c r="AP117" s="12"/>
      <c r="AQ117" s="18" t="str">
        <f aca="false">IF(A117="","",N(AQ116)+N(AA117))</f>
        <v/>
      </c>
      <c r="AR117" s="18" t="str">
        <f aca="false">IF(AQ117="","",MAX(0,MAX($AQ$8:AQ117))-AQ117)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3"/>
      <c r="M118" s="13"/>
      <c r="N118" s="13"/>
      <c r="O118" s="14" t="str">
        <f aca="false">IF(OR(L118="",L118=0),"",(1-M118)/L118)</f>
        <v/>
      </c>
      <c r="P118" s="15"/>
      <c r="Q118" s="12"/>
      <c r="R118" s="12"/>
      <c r="S118" s="13"/>
      <c r="T118" s="16" t="str">
        <f aca="false">IF(OR(S118="",L118=""),"",L118/(1-M118)-S118)</f>
        <v/>
      </c>
      <c r="U118" s="16" t="str">
        <f aca="false">IF(OR(L118="",P118=""),"",L118*(P118-1)-N118)</f>
        <v/>
      </c>
      <c r="V118" s="13"/>
      <c r="W118" s="17"/>
      <c r="X118" s="12"/>
      <c r="Y118" s="12"/>
      <c r="Z118" s="12"/>
      <c r="AA118" s="18" t="str">
        <f aca="false">IF(K118&lt;&gt;"ВИРТУАЛЬНЫЙ ВЫБОР","",IF(Z118="✅ ЗАШЛО",W118*(P118-1),IF(Z118="❌ НЕ ЗАШЛО",-W118,IF(Z118="½ ЗАШЛО",W118*(P118-1)/2,IF(Z118="½ НЕ ЗАШЛО",-W118/2,IF(Z118="ВОЗВРАТ",0,""))))))</f>
        <v/>
      </c>
      <c r="AB118" s="18" t="str">
        <f aca="false">IF(AND(K118="ВИРТУАЛЬНЫЙ ВЫБОР",OR(Z118="✅ ЗАШЛО",Z118="❌ НЕ ЗАШЛО",Z118="½ ЗАШЛО",Z118="½ НЕ ЗАШЛО",Z118="ВОЗВРАТ")),W118,"")</f>
        <v/>
      </c>
      <c r="AC118" s="15"/>
      <c r="AD118" s="16" t="str">
        <f aca="false">IF(OR(AC118="",P118=""),"",P118/AC118-1)</f>
        <v/>
      </c>
      <c r="AE118" s="19" t="str">
        <f aca="false">IF(AND(M118=0,OR(Z118="✅ ЗАШЛО",Z118="❌ НЕ ЗАШЛО"),L118&lt;&gt;""),(L118-IF(Z118="✅ ЗАШЛО",1,0))^2,"")</f>
        <v/>
      </c>
      <c r="AF118" s="15"/>
      <c r="AG118" s="15"/>
      <c r="AH118" s="13"/>
      <c r="AI118" s="13"/>
      <c r="AJ118" s="13"/>
      <c r="AK118" s="20" t="str">
        <f aca="false">IF(AH118="","",IF(ABS(AH118+AI118+AJ118-1)&lt;0.000001,"OK","ОШИБКА"))</f>
        <v/>
      </c>
      <c r="AL118" s="13"/>
      <c r="AM118" s="12"/>
      <c r="AN118" s="12"/>
      <c r="AO118" s="12"/>
      <c r="AP118" s="12"/>
      <c r="AQ118" s="18" t="str">
        <f aca="false">IF(A118="","",N(AQ117)+N(AA118))</f>
        <v/>
      </c>
      <c r="AR118" s="18" t="str">
        <f aca="false">IF(AQ118="","",MAX(0,MAX($AQ$8:AQ118))-AQ118)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3"/>
      <c r="M119" s="13"/>
      <c r="N119" s="13"/>
      <c r="O119" s="14" t="str">
        <f aca="false">IF(OR(L119="",L119=0),"",(1-M119)/L119)</f>
        <v/>
      </c>
      <c r="P119" s="15"/>
      <c r="Q119" s="12"/>
      <c r="R119" s="12"/>
      <c r="S119" s="13"/>
      <c r="T119" s="16" t="str">
        <f aca="false">IF(OR(S119="",L119=""),"",L119/(1-M119)-S119)</f>
        <v/>
      </c>
      <c r="U119" s="16" t="str">
        <f aca="false">IF(OR(L119="",P119=""),"",L119*(P119-1)-N119)</f>
        <v/>
      </c>
      <c r="V119" s="13"/>
      <c r="W119" s="17"/>
      <c r="X119" s="12"/>
      <c r="Y119" s="12"/>
      <c r="Z119" s="12"/>
      <c r="AA119" s="18" t="str">
        <f aca="false">IF(K119&lt;&gt;"ВИРТУАЛЬНЫЙ ВЫБОР","",IF(Z119="✅ ЗАШЛО",W119*(P119-1),IF(Z119="❌ НЕ ЗАШЛО",-W119,IF(Z119="½ ЗАШЛО",W119*(P119-1)/2,IF(Z119="½ НЕ ЗАШЛО",-W119/2,IF(Z119="ВОЗВРАТ",0,""))))))</f>
        <v/>
      </c>
      <c r="AB119" s="18" t="str">
        <f aca="false">IF(AND(K119="ВИРТУАЛЬНЫЙ ВЫБОР",OR(Z119="✅ ЗАШЛО",Z119="❌ НЕ ЗАШЛО",Z119="½ ЗАШЛО",Z119="½ НЕ ЗАШЛО",Z119="ВОЗВРАТ")),W119,"")</f>
        <v/>
      </c>
      <c r="AC119" s="15"/>
      <c r="AD119" s="16" t="str">
        <f aca="false">IF(OR(AC119="",P119=""),"",P119/AC119-1)</f>
        <v/>
      </c>
      <c r="AE119" s="19" t="str">
        <f aca="false">IF(AND(M119=0,OR(Z119="✅ ЗАШЛО",Z119="❌ НЕ ЗАШЛО"),L119&lt;&gt;""),(L119-IF(Z119="✅ ЗАШЛО",1,0))^2,"")</f>
        <v/>
      </c>
      <c r="AF119" s="15"/>
      <c r="AG119" s="15"/>
      <c r="AH119" s="13"/>
      <c r="AI119" s="13"/>
      <c r="AJ119" s="13"/>
      <c r="AK119" s="20" t="str">
        <f aca="false">IF(AH119="","",IF(ABS(AH119+AI119+AJ119-1)&lt;0.000001,"OK","ОШИБКА"))</f>
        <v/>
      </c>
      <c r="AL119" s="13"/>
      <c r="AM119" s="12"/>
      <c r="AN119" s="12"/>
      <c r="AO119" s="12"/>
      <c r="AP119" s="12"/>
      <c r="AQ119" s="18" t="str">
        <f aca="false">IF(A119="","",N(AQ118)+N(AA119))</f>
        <v/>
      </c>
      <c r="AR119" s="18" t="str">
        <f aca="false">IF(AQ119="","",MAX(0,MAX($AQ$8:AQ119))-AQ119)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3"/>
      <c r="M120" s="13"/>
      <c r="N120" s="13"/>
      <c r="O120" s="14" t="str">
        <f aca="false">IF(OR(L120="",L120=0),"",(1-M120)/L120)</f>
        <v/>
      </c>
      <c r="P120" s="15"/>
      <c r="Q120" s="12"/>
      <c r="R120" s="12"/>
      <c r="S120" s="13"/>
      <c r="T120" s="16" t="str">
        <f aca="false">IF(OR(S120="",L120=""),"",L120/(1-M120)-S120)</f>
        <v/>
      </c>
      <c r="U120" s="16" t="str">
        <f aca="false">IF(OR(L120="",P120=""),"",L120*(P120-1)-N120)</f>
        <v/>
      </c>
      <c r="V120" s="13"/>
      <c r="W120" s="17"/>
      <c r="X120" s="12"/>
      <c r="Y120" s="12"/>
      <c r="Z120" s="12"/>
      <c r="AA120" s="18" t="str">
        <f aca="false">IF(K120&lt;&gt;"ВИРТУАЛЬНЫЙ ВЫБОР","",IF(Z120="✅ ЗАШЛО",W120*(P120-1),IF(Z120="❌ НЕ ЗАШЛО",-W120,IF(Z120="½ ЗАШЛО",W120*(P120-1)/2,IF(Z120="½ НЕ ЗАШЛО",-W120/2,IF(Z120="ВОЗВРАТ",0,""))))))</f>
        <v/>
      </c>
      <c r="AB120" s="18" t="str">
        <f aca="false">IF(AND(K120="ВИРТУАЛЬНЫЙ ВЫБОР",OR(Z120="✅ ЗАШЛО",Z120="❌ НЕ ЗАШЛО",Z120="½ ЗАШЛО",Z120="½ НЕ ЗАШЛО",Z120="ВОЗВРАТ")),W120,"")</f>
        <v/>
      </c>
      <c r="AC120" s="15"/>
      <c r="AD120" s="16" t="str">
        <f aca="false">IF(OR(AC120="",P120=""),"",P120/AC120-1)</f>
        <v/>
      </c>
      <c r="AE120" s="19" t="str">
        <f aca="false">IF(AND(M120=0,OR(Z120="✅ ЗАШЛО",Z120="❌ НЕ ЗАШЛО"),L120&lt;&gt;""),(L120-IF(Z120="✅ ЗАШЛО",1,0))^2,"")</f>
        <v/>
      </c>
      <c r="AF120" s="15"/>
      <c r="AG120" s="15"/>
      <c r="AH120" s="13"/>
      <c r="AI120" s="13"/>
      <c r="AJ120" s="13"/>
      <c r="AK120" s="20" t="str">
        <f aca="false">IF(AH120="","",IF(ABS(AH120+AI120+AJ120-1)&lt;0.000001,"OK","ОШИБКА"))</f>
        <v/>
      </c>
      <c r="AL120" s="13"/>
      <c r="AM120" s="12"/>
      <c r="AN120" s="12"/>
      <c r="AO120" s="12"/>
      <c r="AP120" s="12"/>
      <c r="AQ120" s="18" t="str">
        <f aca="false">IF(A120="","",N(AQ119)+N(AA120))</f>
        <v/>
      </c>
      <c r="AR120" s="18" t="str">
        <f aca="false">IF(AQ120="","",MAX(0,MAX($AQ$8:AQ120))-AQ120)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3"/>
      <c r="M121" s="13"/>
      <c r="N121" s="13"/>
      <c r="O121" s="14" t="str">
        <f aca="false">IF(OR(L121="",L121=0),"",(1-M121)/L121)</f>
        <v/>
      </c>
      <c r="P121" s="15"/>
      <c r="Q121" s="12"/>
      <c r="R121" s="12"/>
      <c r="S121" s="13"/>
      <c r="T121" s="16" t="str">
        <f aca="false">IF(OR(S121="",L121=""),"",L121/(1-M121)-S121)</f>
        <v/>
      </c>
      <c r="U121" s="16" t="str">
        <f aca="false">IF(OR(L121="",P121=""),"",L121*(P121-1)-N121)</f>
        <v/>
      </c>
      <c r="V121" s="13"/>
      <c r="W121" s="17"/>
      <c r="X121" s="12"/>
      <c r="Y121" s="12"/>
      <c r="Z121" s="12"/>
      <c r="AA121" s="18" t="str">
        <f aca="false">IF(K121&lt;&gt;"ВИРТУАЛЬНЫЙ ВЫБОР","",IF(Z121="✅ ЗАШЛО",W121*(P121-1),IF(Z121="❌ НЕ ЗАШЛО",-W121,IF(Z121="½ ЗАШЛО",W121*(P121-1)/2,IF(Z121="½ НЕ ЗАШЛО",-W121/2,IF(Z121="ВОЗВРАТ",0,""))))))</f>
        <v/>
      </c>
      <c r="AB121" s="18" t="str">
        <f aca="false">IF(AND(K121="ВИРТУАЛЬНЫЙ ВЫБОР",OR(Z121="✅ ЗАШЛО",Z121="❌ НЕ ЗАШЛО",Z121="½ ЗАШЛО",Z121="½ НЕ ЗАШЛО",Z121="ВОЗВРАТ")),W121,"")</f>
        <v/>
      </c>
      <c r="AC121" s="15"/>
      <c r="AD121" s="16" t="str">
        <f aca="false">IF(OR(AC121="",P121=""),"",P121/AC121-1)</f>
        <v/>
      </c>
      <c r="AE121" s="19" t="str">
        <f aca="false">IF(AND(M121=0,OR(Z121="✅ ЗАШЛО",Z121="❌ НЕ ЗАШЛО"),L121&lt;&gt;""),(L121-IF(Z121="✅ ЗАШЛО",1,0))^2,"")</f>
        <v/>
      </c>
      <c r="AF121" s="15"/>
      <c r="AG121" s="15"/>
      <c r="AH121" s="13"/>
      <c r="AI121" s="13"/>
      <c r="AJ121" s="13"/>
      <c r="AK121" s="20" t="str">
        <f aca="false">IF(AH121="","",IF(ABS(AH121+AI121+AJ121-1)&lt;0.000001,"OK","ОШИБКА"))</f>
        <v/>
      </c>
      <c r="AL121" s="13"/>
      <c r="AM121" s="12"/>
      <c r="AN121" s="12"/>
      <c r="AO121" s="12"/>
      <c r="AP121" s="12"/>
      <c r="AQ121" s="18" t="str">
        <f aca="false">IF(A121="","",N(AQ120)+N(AA121))</f>
        <v/>
      </c>
      <c r="AR121" s="18" t="str">
        <f aca="false">IF(AQ121="","",MAX(0,MAX($AQ$8:AQ121))-AQ121)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3"/>
      <c r="M122" s="13"/>
      <c r="N122" s="13"/>
      <c r="O122" s="14" t="str">
        <f aca="false">IF(OR(L122="",L122=0),"",(1-M122)/L122)</f>
        <v/>
      </c>
      <c r="P122" s="15"/>
      <c r="Q122" s="12"/>
      <c r="R122" s="12"/>
      <c r="S122" s="13"/>
      <c r="T122" s="16" t="str">
        <f aca="false">IF(OR(S122="",L122=""),"",L122/(1-M122)-S122)</f>
        <v/>
      </c>
      <c r="U122" s="16" t="str">
        <f aca="false">IF(OR(L122="",P122=""),"",L122*(P122-1)-N122)</f>
        <v/>
      </c>
      <c r="V122" s="13"/>
      <c r="W122" s="17"/>
      <c r="X122" s="12"/>
      <c r="Y122" s="12"/>
      <c r="Z122" s="12"/>
      <c r="AA122" s="18" t="str">
        <f aca="false">IF(K122&lt;&gt;"ВИРТУАЛЬНЫЙ ВЫБОР","",IF(Z122="✅ ЗАШЛО",W122*(P122-1),IF(Z122="❌ НЕ ЗАШЛО",-W122,IF(Z122="½ ЗАШЛО",W122*(P122-1)/2,IF(Z122="½ НЕ ЗАШЛО",-W122/2,IF(Z122="ВОЗВРАТ",0,""))))))</f>
        <v/>
      </c>
      <c r="AB122" s="18" t="str">
        <f aca="false">IF(AND(K122="ВИРТУАЛЬНЫЙ ВЫБОР",OR(Z122="✅ ЗАШЛО",Z122="❌ НЕ ЗАШЛО",Z122="½ ЗАШЛО",Z122="½ НЕ ЗАШЛО",Z122="ВОЗВРАТ")),W122,"")</f>
        <v/>
      </c>
      <c r="AC122" s="15"/>
      <c r="AD122" s="16" t="str">
        <f aca="false">IF(OR(AC122="",P122=""),"",P122/AC122-1)</f>
        <v/>
      </c>
      <c r="AE122" s="19" t="str">
        <f aca="false">IF(AND(M122=0,OR(Z122="✅ ЗАШЛО",Z122="❌ НЕ ЗАШЛО"),L122&lt;&gt;""),(L122-IF(Z122="✅ ЗАШЛО",1,0))^2,"")</f>
        <v/>
      </c>
      <c r="AF122" s="15"/>
      <c r="AG122" s="15"/>
      <c r="AH122" s="13"/>
      <c r="AI122" s="13"/>
      <c r="AJ122" s="13"/>
      <c r="AK122" s="20" t="str">
        <f aca="false">IF(AH122="","",IF(ABS(AH122+AI122+AJ122-1)&lt;0.000001,"OK","ОШИБКА"))</f>
        <v/>
      </c>
      <c r="AL122" s="13"/>
      <c r="AM122" s="12"/>
      <c r="AN122" s="12"/>
      <c r="AO122" s="12"/>
      <c r="AP122" s="12"/>
      <c r="AQ122" s="18" t="str">
        <f aca="false">IF(A122="","",N(AQ121)+N(AA122))</f>
        <v/>
      </c>
      <c r="AR122" s="18" t="str">
        <f aca="false">IF(AQ122="","",MAX(0,MAX($AQ$8:AQ122))-AQ122)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3"/>
      <c r="M123" s="13"/>
      <c r="N123" s="13"/>
      <c r="O123" s="14" t="str">
        <f aca="false">IF(OR(L123="",L123=0),"",(1-M123)/L123)</f>
        <v/>
      </c>
      <c r="P123" s="15"/>
      <c r="Q123" s="12"/>
      <c r="R123" s="12"/>
      <c r="S123" s="13"/>
      <c r="T123" s="16" t="str">
        <f aca="false">IF(OR(S123="",L123=""),"",L123/(1-M123)-S123)</f>
        <v/>
      </c>
      <c r="U123" s="16" t="str">
        <f aca="false">IF(OR(L123="",P123=""),"",L123*(P123-1)-N123)</f>
        <v/>
      </c>
      <c r="V123" s="13"/>
      <c r="W123" s="17"/>
      <c r="X123" s="12"/>
      <c r="Y123" s="12"/>
      <c r="Z123" s="12"/>
      <c r="AA123" s="18" t="str">
        <f aca="false">IF(K123&lt;&gt;"ВИРТУАЛЬНЫЙ ВЫБОР","",IF(Z123="✅ ЗАШЛО",W123*(P123-1),IF(Z123="❌ НЕ ЗАШЛО",-W123,IF(Z123="½ ЗАШЛО",W123*(P123-1)/2,IF(Z123="½ НЕ ЗАШЛО",-W123/2,IF(Z123="ВОЗВРАТ",0,""))))))</f>
        <v/>
      </c>
      <c r="AB123" s="18" t="str">
        <f aca="false">IF(AND(K123="ВИРТУАЛЬНЫЙ ВЫБОР",OR(Z123="✅ ЗАШЛО",Z123="❌ НЕ ЗАШЛО",Z123="½ ЗАШЛО",Z123="½ НЕ ЗАШЛО",Z123="ВОЗВРАТ")),W123,"")</f>
        <v/>
      </c>
      <c r="AC123" s="15"/>
      <c r="AD123" s="16" t="str">
        <f aca="false">IF(OR(AC123="",P123=""),"",P123/AC123-1)</f>
        <v/>
      </c>
      <c r="AE123" s="19" t="str">
        <f aca="false">IF(AND(M123=0,OR(Z123="✅ ЗАШЛО",Z123="❌ НЕ ЗАШЛО"),L123&lt;&gt;""),(L123-IF(Z123="✅ ЗАШЛО",1,0))^2,"")</f>
        <v/>
      </c>
      <c r="AF123" s="15"/>
      <c r="AG123" s="15"/>
      <c r="AH123" s="13"/>
      <c r="AI123" s="13"/>
      <c r="AJ123" s="13"/>
      <c r="AK123" s="20" t="str">
        <f aca="false">IF(AH123="","",IF(ABS(AH123+AI123+AJ123-1)&lt;0.000001,"OK","ОШИБКА"))</f>
        <v/>
      </c>
      <c r="AL123" s="13"/>
      <c r="AM123" s="12"/>
      <c r="AN123" s="12"/>
      <c r="AO123" s="12"/>
      <c r="AP123" s="12"/>
      <c r="AQ123" s="18" t="str">
        <f aca="false">IF(A123="","",N(AQ122)+N(AA123))</f>
        <v/>
      </c>
      <c r="AR123" s="18" t="str">
        <f aca="false">IF(AQ123="","",MAX(0,MAX($AQ$8:AQ123))-AQ123)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3"/>
      <c r="M124" s="13"/>
      <c r="N124" s="13"/>
      <c r="O124" s="14" t="str">
        <f aca="false">IF(OR(L124="",L124=0),"",(1-M124)/L124)</f>
        <v/>
      </c>
      <c r="P124" s="15"/>
      <c r="Q124" s="12"/>
      <c r="R124" s="12"/>
      <c r="S124" s="13"/>
      <c r="T124" s="16" t="str">
        <f aca="false">IF(OR(S124="",L124=""),"",L124/(1-M124)-S124)</f>
        <v/>
      </c>
      <c r="U124" s="16" t="str">
        <f aca="false">IF(OR(L124="",P124=""),"",L124*(P124-1)-N124)</f>
        <v/>
      </c>
      <c r="V124" s="13"/>
      <c r="W124" s="17"/>
      <c r="X124" s="12"/>
      <c r="Y124" s="12"/>
      <c r="Z124" s="12"/>
      <c r="AA124" s="18" t="str">
        <f aca="false">IF(K124&lt;&gt;"ВИРТУАЛЬНЫЙ ВЫБОР","",IF(Z124="✅ ЗАШЛО",W124*(P124-1),IF(Z124="❌ НЕ ЗАШЛО",-W124,IF(Z124="½ ЗАШЛО",W124*(P124-1)/2,IF(Z124="½ НЕ ЗАШЛО",-W124/2,IF(Z124="ВОЗВРАТ",0,""))))))</f>
        <v/>
      </c>
      <c r="AB124" s="18" t="str">
        <f aca="false">IF(AND(K124="ВИРТУАЛЬНЫЙ ВЫБОР",OR(Z124="✅ ЗАШЛО",Z124="❌ НЕ ЗАШЛО",Z124="½ ЗАШЛО",Z124="½ НЕ ЗАШЛО",Z124="ВОЗВРАТ")),W124,"")</f>
        <v/>
      </c>
      <c r="AC124" s="15"/>
      <c r="AD124" s="16" t="str">
        <f aca="false">IF(OR(AC124="",P124=""),"",P124/AC124-1)</f>
        <v/>
      </c>
      <c r="AE124" s="19" t="str">
        <f aca="false">IF(AND(M124=0,OR(Z124="✅ ЗАШЛО",Z124="❌ НЕ ЗАШЛО"),L124&lt;&gt;""),(L124-IF(Z124="✅ ЗАШЛО",1,0))^2,"")</f>
        <v/>
      </c>
      <c r="AF124" s="15"/>
      <c r="AG124" s="15"/>
      <c r="AH124" s="13"/>
      <c r="AI124" s="13"/>
      <c r="AJ124" s="13"/>
      <c r="AK124" s="20" t="str">
        <f aca="false">IF(AH124="","",IF(ABS(AH124+AI124+AJ124-1)&lt;0.000001,"OK","ОШИБКА"))</f>
        <v/>
      </c>
      <c r="AL124" s="13"/>
      <c r="AM124" s="12"/>
      <c r="AN124" s="12"/>
      <c r="AO124" s="12"/>
      <c r="AP124" s="12"/>
      <c r="AQ124" s="18" t="str">
        <f aca="false">IF(A124="","",N(AQ123)+N(AA124))</f>
        <v/>
      </c>
      <c r="AR124" s="18" t="str">
        <f aca="false">IF(AQ124="","",MAX(0,MAX($AQ$8:AQ124))-AQ124)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3"/>
      <c r="M125" s="13"/>
      <c r="N125" s="13"/>
      <c r="O125" s="14" t="str">
        <f aca="false">IF(OR(L125="",L125=0),"",(1-M125)/L125)</f>
        <v/>
      </c>
      <c r="P125" s="15"/>
      <c r="Q125" s="12"/>
      <c r="R125" s="12"/>
      <c r="S125" s="13"/>
      <c r="T125" s="16" t="str">
        <f aca="false">IF(OR(S125="",L125=""),"",L125/(1-M125)-S125)</f>
        <v/>
      </c>
      <c r="U125" s="16" t="str">
        <f aca="false">IF(OR(L125="",P125=""),"",L125*(P125-1)-N125)</f>
        <v/>
      </c>
      <c r="V125" s="13"/>
      <c r="W125" s="17"/>
      <c r="X125" s="12"/>
      <c r="Y125" s="12"/>
      <c r="Z125" s="12"/>
      <c r="AA125" s="18" t="str">
        <f aca="false">IF(K125&lt;&gt;"ВИРТУАЛЬНЫЙ ВЫБОР","",IF(Z125="✅ ЗАШЛО",W125*(P125-1),IF(Z125="❌ НЕ ЗАШЛО",-W125,IF(Z125="½ ЗАШЛО",W125*(P125-1)/2,IF(Z125="½ НЕ ЗАШЛО",-W125/2,IF(Z125="ВОЗВРАТ",0,""))))))</f>
        <v/>
      </c>
      <c r="AB125" s="18" t="str">
        <f aca="false">IF(AND(K125="ВИРТУАЛЬНЫЙ ВЫБОР",OR(Z125="✅ ЗАШЛО",Z125="❌ НЕ ЗАШЛО",Z125="½ ЗАШЛО",Z125="½ НЕ ЗАШЛО",Z125="ВОЗВРАТ")),W125,"")</f>
        <v/>
      </c>
      <c r="AC125" s="15"/>
      <c r="AD125" s="16" t="str">
        <f aca="false">IF(OR(AC125="",P125=""),"",P125/AC125-1)</f>
        <v/>
      </c>
      <c r="AE125" s="19" t="str">
        <f aca="false">IF(AND(M125=0,OR(Z125="✅ ЗАШЛО",Z125="❌ НЕ ЗАШЛО"),L125&lt;&gt;""),(L125-IF(Z125="✅ ЗАШЛО",1,0))^2,"")</f>
        <v/>
      </c>
      <c r="AF125" s="15"/>
      <c r="AG125" s="15"/>
      <c r="AH125" s="13"/>
      <c r="AI125" s="13"/>
      <c r="AJ125" s="13"/>
      <c r="AK125" s="20" t="str">
        <f aca="false">IF(AH125="","",IF(ABS(AH125+AI125+AJ125-1)&lt;0.000001,"OK","ОШИБКА"))</f>
        <v/>
      </c>
      <c r="AL125" s="13"/>
      <c r="AM125" s="12"/>
      <c r="AN125" s="12"/>
      <c r="AO125" s="12"/>
      <c r="AP125" s="12"/>
      <c r="AQ125" s="18" t="str">
        <f aca="false">IF(A125="","",N(AQ124)+N(AA125))</f>
        <v/>
      </c>
      <c r="AR125" s="18" t="str">
        <f aca="false">IF(AQ125="","",MAX(0,MAX($AQ$8:AQ125))-AQ125)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3"/>
      <c r="M126" s="13"/>
      <c r="N126" s="13"/>
      <c r="O126" s="14" t="str">
        <f aca="false">IF(OR(L126="",L126=0),"",(1-M126)/L126)</f>
        <v/>
      </c>
      <c r="P126" s="15"/>
      <c r="Q126" s="12"/>
      <c r="R126" s="12"/>
      <c r="S126" s="13"/>
      <c r="T126" s="16" t="str">
        <f aca="false">IF(OR(S126="",L126=""),"",L126/(1-M126)-S126)</f>
        <v/>
      </c>
      <c r="U126" s="16" t="str">
        <f aca="false">IF(OR(L126="",P126=""),"",L126*(P126-1)-N126)</f>
        <v/>
      </c>
      <c r="V126" s="13"/>
      <c r="W126" s="17"/>
      <c r="X126" s="12"/>
      <c r="Y126" s="12"/>
      <c r="Z126" s="12"/>
      <c r="AA126" s="18" t="str">
        <f aca="false">IF(K126&lt;&gt;"ВИРТУАЛЬНЫЙ ВЫБОР","",IF(Z126="✅ ЗАШЛО",W126*(P126-1),IF(Z126="❌ НЕ ЗАШЛО",-W126,IF(Z126="½ ЗАШЛО",W126*(P126-1)/2,IF(Z126="½ НЕ ЗАШЛО",-W126/2,IF(Z126="ВОЗВРАТ",0,""))))))</f>
        <v/>
      </c>
      <c r="AB126" s="18" t="str">
        <f aca="false">IF(AND(K126="ВИРТУАЛЬНЫЙ ВЫБОР",OR(Z126="✅ ЗАШЛО",Z126="❌ НЕ ЗАШЛО",Z126="½ ЗАШЛО",Z126="½ НЕ ЗАШЛО",Z126="ВОЗВРАТ")),W126,"")</f>
        <v/>
      </c>
      <c r="AC126" s="15"/>
      <c r="AD126" s="16" t="str">
        <f aca="false">IF(OR(AC126="",P126=""),"",P126/AC126-1)</f>
        <v/>
      </c>
      <c r="AE126" s="19" t="str">
        <f aca="false">IF(AND(M126=0,OR(Z126="✅ ЗАШЛО",Z126="❌ НЕ ЗАШЛО"),L126&lt;&gt;""),(L126-IF(Z126="✅ ЗАШЛО",1,0))^2,"")</f>
        <v/>
      </c>
      <c r="AF126" s="15"/>
      <c r="AG126" s="15"/>
      <c r="AH126" s="13"/>
      <c r="AI126" s="13"/>
      <c r="AJ126" s="13"/>
      <c r="AK126" s="20" t="str">
        <f aca="false">IF(AH126="","",IF(ABS(AH126+AI126+AJ126-1)&lt;0.000001,"OK","ОШИБКА"))</f>
        <v/>
      </c>
      <c r="AL126" s="13"/>
      <c r="AM126" s="12"/>
      <c r="AN126" s="12"/>
      <c r="AO126" s="12"/>
      <c r="AP126" s="12"/>
      <c r="AQ126" s="18" t="str">
        <f aca="false">IF(A126="","",N(AQ125)+N(AA126))</f>
        <v/>
      </c>
      <c r="AR126" s="18" t="str">
        <f aca="false">IF(AQ126="","",MAX(0,MAX($AQ$8:AQ126))-AQ126)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3"/>
      <c r="M127" s="13"/>
      <c r="N127" s="13"/>
      <c r="O127" s="14" t="str">
        <f aca="false">IF(OR(L127="",L127=0),"",(1-M127)/L127)</f>
        <v/>
      </c>
      <c r="P127" s="15"/>
      <c r="Q127" s="12"/>
      <c r="R127" s="12"/>
      <c r="S127" s="13"/>
      <c r="T127" s="16" t="str">
        <f aca="false">IF(OR(S127="",L127=""),"",L127/(1-M127)-S127)</f>
        <v/>
      </c>
      <c r="U127" s="16" t="str">
        <f aca="false">IF(OR(L127="",P127=""),"",L127*(P127-1)-N127)</f>
        <v/>
      </c>
      <c r="V127" s="13"/>
      <c r="W127" s="17"/>
      <c r="X127" s="12"/>
      <c r="Y127" s="12"/>
      <c r="Z127" s="12"/>
      <c r="AA127" s="18" t="str">
        <f aca="false">IF(K127&lt;&gt;"ВИРТУАЛЬНЫЙ ВЫБОР","",IF(Z127="✅ ЗАШЛО",W127*(P127-1),IF(Z127="❌ НЕ ЗАШЛО",-W127,IF(Z127="½ ЗАШЛО",W127*(P127-1)/2,IF(Z127="½ НЕ ЗАШЛО",-W127/2,IF(Z127="ВОЗВРАТ",0,""))))))</f>
        <v/>
      </c>
      <c r="AB127" s="18" t="str">
        <f aca="false">IF(AND(K127="ВИРТУАЛЬНЫЙ ВЫБОР",OR(Z127="✅ ЗАШЛО",Z127="❌ НЕ ЗАШЛО",Z127="½ ЗАШЛО",Z127="½ НЕ ЗАШЛО",Z127="ВОЗВРАТ")),W127,"")</f>
        <v/>
      </c>
      <c r="AC127" s="15"/>
      <c r="AD127" s="16" t="str">
        <f aca="false">IF(OR(AC127="",P127=""),"",P127/AC127-1)</f>
        <v/>
      </c>
      <c r="AE127" s="19" t="str">
        <f aca="false">IF(AND(M127=0,OR(Z127="✅ ЗАШЛО",Z127="❌ НЕ ЗАШЛО"),L127&lt;&gt;""),(L127-IF(Z127="✅ ЗАШЛО",1,0))^2,"")</f>
        <v/>
      </c>
      <c r="AF127" s="15"/>
      <c r="AG127" s="15"/>
      <c r="AH127" s="13"/>
      <c r="AI127" s="13"/>
      <c r="AJ127" s="13"/>
      <c r="AK127" s="20" t="str">
        <f aca="false">IF(AH127="","",IF(ABS(AH127+AI127+AJ127-1)&lt;0.000001,"OK","ОШИБКА"))</f>
        <v/>
      </c>
      <c r="AL127" s="13"/>
      <c r="AM127" s="12"/>
      <c r="AN127" s="12"/>
      <c r="AO127" s="12"/>
      <c r="AP127" s="12"/>
      <c r="AQ127" s="18" t="str">
        <f aca="false">IF(A127="","",N(AQ126)+N(AA127))</f>
        <v/>
      </c>
      <c r="AR127" s="18" t="str">
        <f aca="false">IF(AQ127="","",MAX(0,MAX($AQ$8:AQ127))-AQ127)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3"/>
      <c r="M128" s="13"/>
      <c r="N128" s="13"/>
      <c r="O128" s="14" t="str">
        <f aca="false">IF(OR(L128="",L128=0),"",(1-M128)/L128)</f>
        <v/>
      </c>
      <c r="P128" s="15"/>
      <c r="Q128" s="12"/>
      <c r="R128" s="12"/>
      <c r="S128" s="13"/>
      <c r="T128" s="16" t="str">
        <f aca="false">IF(OR(S128="",L128=""),"",L128/(1-M128)-S128)</f>
        <v/>
      </c>
      <c r="U128" s="16" t="str">
        <f aca="false">IF(OR(L128="",P128=""),"",L128*(P128-1)-N128)</f>
        <v/>
      </c>
      <c r="V128" s="13"/>
      <c r="W128" s="17"/>
      <c r="X128" s="12"/>
      <c r="Y128" s="12"/>
      <c r="Z128" s="12"/>
      <c r="AA128" s="18" t="str">
        <f aca="false">IF(K128&lt;&gt;"ВИРТУАЛЬНЫЙ ВЫБОР","",IF(Z128="✅ ЗАШЛО",W128*(P128-1),IF(Z128="❌ НЕ ЗАШЛО",-W128,IF(Z128="½ ЗАШЛО",W128*(P128-1)/2,IF(Z128="½ НЕ ЗАШЛО",-W128/2,IF(Z128="ВОЗВРАТ",0,""))))))</f>
        <v/>
      </c>
      <c r="AB128" s="18" t="str">
        <f aca="false">IF(AND(K128="ВИРТУАЛЬНЫЙ ВЫБОР",OR(Z128="✅ ЗАШЛО",Z128="❌ НЕ ЗАШЛО",Z128="½ ЗАШЛО",Z128="½ НЕ ЗАШЛО",Z128="ВОЗВРАТ")),W128,"")</f>
        <v/>
      </c>
      <c r="AC128" s="15"/>
      <c r="AD128" s="16" t="str">
        <f aca="false">IF(OR(AC128="",P128=""),"",P128/AC128-1)</f>
        <v/>
      </c>
      <c r="AE128" s="19" t="str">
        <f aca="false">IF(AND(M128=0,OR(Z128="✅ ЗАШЛО",Z128="❌ НЕ ЗАШЛО"),L128&lt;&gt;""),(L128-IF(Z128="✅ ЗАШЛО",1,0))^2,"")</f>
        <v/>
      </c>
      <c r="AF128" s="15"/>
      <c r="AG128" s="15"/>
      <c r="AH128" s="13"/>
      <c r="AI128" s="13"/>
      <c r="AJ128" s="13"/>
      <c r="AK128" s="20" t="str">
        <f aca="false">IF(AH128="","",IF(ABS(AH128+AI128+AJ128-1)&lt;0.000001,"OK","ОШИБКА"))</f>
        <v/>
      </c>
      <c r="AL128" s="13"/>
      <c r="AM128" s="12"/>
      <c r="AN128" s="12"/>
      <c r="AO128" s="12"/>
      <c r="AP128" s="12"/>
      <c r="AQ128" s="18" t="str">
        <f aca="false">IF(A128="","",N(AQ127)+N(AA128))</f>
        <v/>
      </c>
      <c r="AR128" s="18" t="str">
        <f aca="false">IF(AQ128="","",MAX(0,MAX($AQ$8:AQ128))-AQ128)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3"/>
      <c r="M129" s="13"/>
      <c r="N129" s="13"/>
      <c r="O129" s="14" t="str">
        <f aca="false">IF(OR(L129="",L129=0),"",(1-M129)/L129)</f>
        <v/>
      </c>
      <c r="P129" s="15"/>
      <c r="Q129" s="12"/>
      <c r="R129" s="12"/>
      <c r="S129" s="13"/>
      <c r="T129" s="16" t="str">
        <f aca="false">IF(OR(S129="",L129=""),"",L129/(1-M129)-S129)</f>
        <v/>
      </c>
      <c r="U129" s="16" t="str">
        <f aca="false">IF(OR(L129="",P129=""),"",L129*(P129-1)-N129)</f>
        <v/>
      </c>
      <c r="V129" s="13"/>
      <c r="W129" s="17"/>
      <c r="X129" s="12"/>
      <c r="Y129" s="12"/>
      <c r="Z129" s="12"/>
      <c r="AA129" s="18" t="str">
        <f aca="false">IF(K129&lt;&gt;"ВИРТУАЛЬНЫЙ ВЫБОР","",IF(Z129="✅ ЗАШЛО",W129*(P129-1),IF(Z129="❌ НЕ ЗАШЛО",-W129,IF(Z129="½ ЗАШЛО",W129*(P129-1)/2,IF(Z129="½ НЕ ЗАШЛО",-W129/2,IF(Z129="ВОЗВРАТ",0,""))))))</f>
        <v/>
      </c>
      <c r="AB129" s="18" t="str">
        <f aca="false">IF(AND(K129="ВИРТУАЛЬНЫЙ ВЫБОР",OR(Z129="✅ ЗАШЛО",Z129="❌ НЕ ЗАШЛО",Z129="½ ЗАШЛО",Z129="½ НЕ ЗАШЛО",Z129="ВОЗВРАТ")),W129,"")</f>
        <v/>
      </c>
      <c r="AC129" s="15"/>
      <c r="AD129" s="16" t="str">
        <f aca="false">IF(OR(AC129="",P129=""),"",P129/AC129-1)</f>
        <v/>
      </c>
      <c r="AE129" s="19" t="str">
        <f aca="false">IF(AND(M129=0,OR(Z129="✅ ЗАШЛО",Z129="❌ НЕ ЗАШЛО"),L129&lt;&gt;""),(L129-IF(Z129="✅ ЗАШЛО",1,0))^2,"")</f>
        <v/>
      </c>
      <c r="AF129" s="15"/>
      <c r="AG129" s="15"/>
      <c r="AH129" s="13"/>
      <c r="AI129" s="13"/>
      <c r="AJ129" s="13"/>
      <c r="AK129" s="20" t="str">
        <f aca="false">IF(AH129="","",IF(ABS(AH129+AI129+AJ129-1)&lt;0.000001,"OK","ОШИБКА"))</f>
        <v/>
      </c>
      <c r="AL129" s="13"/>
      <c r="AM129" s="12"/>
      <c r="AN129" s="12"/>
      <c r="AO129" s="12"/>
      <c r="AP129" s="12"/>
      <c r="AQ129" s="18" t="str">
        <f aca="false">IF(A129="","",N(AQ128)+N(AA129))</f>
        <v/>
      </c>
      <c r="AR129" s="18" t="str">
        <f aca="false">IF(AQ129="","",MAX(0,MAX($AQ$8:AQ129))-AQ129)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3"/>
      <c r="M130" s="13"/>
      <c r="N130" s="13"/>
      <c r="O130" s="14" t="str">
        <f aca="false">IF(OR(L130="",L130=0),"",(1-M130)/L130)</f>
        <v/>
      </c>
      <c r="P130" s="15"/>
      <c r="Q130" s="12"/>
      <c r="R130" s="12"/>
      <c r="S130" s="13"/>
      <c r="T130" s="16" t="str">
        <f aca="false">IF(OR(S130="",L130=""),"",L130/(1-M130)-S130)</f>
        <v/>
      </c>
      <c r="U130" s="16" t="str">
        <f aca="false">IF(OR(L130="",P130=""),"",L130*(P130-1)-N130)</f>
        <v/>
      </c>
      <c r="V130" s="13"/>
      <c r="W130" s="17"/>
      <c r="X130" s="12"/>
      <c r="Y130" s="12"/>
      <c r="Z130" s="12"/>
      <c r="AA130" s="18" t="str">
        <f aca="false">IF(K130&lt;&gt;"ВИРТУАЛЬНЫЙ ВЫБОР","",IF(Z130="✅ ЗАШЛО",W130*(P130-1),IF(Z130="❌ НЕ ЗАШЛО",-W130,IF(Z130="½ ЗАШЛО",W130*(P130-1)/2,IF(Z130="½ НЕ ЗАШЛО",-W130/2,IF(Z130="ВОЗВРАТ",0,""))))))</f>
        <v/>
      </c>
      <c r="AB130" s="18" t="str">
        <f aca="false">IF(AND(K130="ВИРТУАЛЬНЫЙ ВЫБОР",OR(Z130="✅ ЗАШЛО",Z130="❌ НЕ ЗАШЛО",Z130="½ ЗАШЛО",Z130="½ НЕ ЗАШЛО",Z130="ВОЗВРАТ")),W130,"")</f>
        <v/>
      </c>
      <c r="AC130" s="15"/>
      <c r="AD130" s="16" t="str">
        <f aca="false">IF(OR(AC130="",P130=""),"",P130/AC130-1)</f>
        <v/>
      </c>
      <c r="AE130" s="19" t="str">
        <f aca="false">IF(AND(M130=0,OR(Z130="✅ ЗАШЛО",Z130="❌ НЕ ЗАШЛО"),L130&lt;&gt;""),(L130-IF(Z130="✅ ЗАШЛО",1,0))^2,"")</f>
        <v/>
      </c>
      <c r="AF130" s="15"/>
      <c r="AG130" s="15"/>
      <c r="AH130" s="13"/>
      <c r="AI130" s="13"/>
      <c r="AJ130" s="13"/>
      <c r="AK130" s="20" t="str">
        <f aca="false">IF(AH130="","",IF(ABS(AH130+AI130+AJ130-1)&lt;0.000001,"OK","ОШИБКА"))</f>
        <v/>
      </c>
      <c r="AL130" s="13"/>
      <c r="AM130" s="12"/>
      <c r="AN130" s="12"/>
      <c r="AO130" s="12"/>
      <c r="AP130" s="12"/>
      <c r="AQ130" s="18" t="str">
        <f aca="false">IF(A130="","",N(AQ129)+N(AA130))</f>
        <v/>
      </c>
      <c r="AR130" s="18" t="str">
        <f aca="false">IF(AQ130="","",MAX(0,MAX($AQ$8:AQ130))-AQ130)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3"/>
      <c r="M131" s="13"/>
      <c r="N131" s="13"/>
      <c r="O131" s="14" t="str">
        <f aca="false">IF(OR(L131="",L131=0),"",(1-M131)/L131)</f>
        <v/>
      </c>
      <c r="P131" s="15"/>
      <c r="Q131" s="12"/>
      <c r="R131" s="12"/>
      <c r="S131" s="13"/>
      <c r="T131" s="16" t="str">
        <f aca="false">IF(OR(S131="",L131=""),"",L131/(1-M131)-S131)</f>
        <v/>
      </c>
      <c r="U131" s="16" t="str">
        <f aca="false">IF(OR(L131="",P131=""),"",L131*(P131-1)-N131)</f>
        <v/>
      </c>
      <c r="V131" s="13"/>
      <c r="W131" s="17"/>
      <c r="X131" s="12"/>
      <c r="Y131" s="12"/>
      <c r="Z131" s="12"/>
      <c r="AA131" s="18" t="str">
        <f aca="false">IF(K131&lt;&gt;"ВИРТУАЛЬНЫЙ ВЫБОР","",IF(Z131="✅ ЗАШЛО",W131*(P131-1),IF(Z131="❌ НЕ ЗАШЛО",-W131,IF(Z131="½ ЗАШЛО",W131*(P131-1)/2,IF(Z131="½ НЕ ЗАШЛО",-W131/2,IF(Z131="ВОЗВРАТ",0,""))))))</f>
        <v/>
      </c>
      <c r="AB131" s="18" t="str">
        <f aca="false">IF(AND(K131="ВИРТУАЛЬНЫЙ ВЫБОР",OR(Z131="✅ ЗАШЛО",Z131="❌ НЕ ЗАШЛО",Z131="½ ЗАШЛО",Z131="½ НЕ ЗАШЛО",Z131="ВОЗВРАТ")),W131,"")</f>
        <v/>
      </c>
      <c r="AC131" s="15"/>
      <c r="AD131" s="16" t="str">
        <f aca="false">IF(OR(AC131="",P131=""),"",P131/AC131-1)</f>
        <v/>
      </c>
      <c r="AE131" s="19" t="str">
        <f aca="false">IF(AND(M131=0,OR(Z131="✅ ЗАШЛО",Z131="❌ НЕ ЗАШЛО"),L131&lt;&gt;""),(L131-IF(Z131="✅ ЗАШЛО",1,0))^2,"")</f>
        <v/>
      </c>
      <c r="AF131" s="15"/>
      <c r="AG131" s="15"/>
      <c r="AH131" s="13"/>
      <c r="AI131" s="13"/>
      <c r="AJ131" s="13"/>
      <c r="AK131" s="20" t="str">
        <f aca="false">IF(AH131="","",IF(ABS(AH131+AI131+AJ131-1)&lt;0.000001,"OK","ОШИБКА"))</f>
        <v/>
      </c>
      <c r="AL131" s="13"/>
      <c r="AM131" s="12"/>
      <c r="AN131" s="12"/>
      <c r="AO131" s="12"/>
      <c r="AP131" s="12"/>
      <c r="AQ131" s="18" t="str">
        <f aca="false">IF(A131="","",N(AQ130)+N(AA131))</f>
        <v/>
      </c>
      <c r="AR131" s="18" t="str">
        <f aca="false">IF(AQ131="","",MAX(0,MAX($AQ$8:AQ131))-AQ131)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3"/>
      <c r="M132" s="13"/>
      <c r="N132" s="13"/>
      <c r="O132" s="14" t="str">
        <f aca="false">IF(OR(L132="",L132=0),"",(1-M132)/L132)</f>
        <v/>
      </c>
      <c r="P132" s="15"/>
      <c r="Q132" s="12"/>
      <c r="R132" s="12"/>
      <c r="S132" s="13"/>
      <c r="T132" s="16" t="str">
        <f aca="false">IF(OR(S132="",L132=""),"",L132/(1-M132)-S132)</f>
        <v/>
      </c>
      <c r="U132" s="16" t="str">
        <f aca="false">IF(OR(L132="",P132=""),"",L132*(P132-1)-N132)</f>
        <v/>
      </c>
      <c r="V132" s="13"/>
      <c r="W132" s="17"/>
      <c r="X132" s="12"/>
      <c r="Y132" s="12"/>
      <c r="Z132" s="12"/>
      <c r="AA132" s="18" t="str">
        <f aca="false">IF(K132&lt;&gt;"ВИРТУАЛЬНЫЙ ВЫБОР","",IF(Z132="✅ ЗАШЛО",W132*(P132-1),IF(Z132="❌ НЕ ЗАШЛО",-W132,IF(Z132="½ ЗАШЛО",W132*(P132-1)/2,IF(Z132="½ НЕ ЗАШЛО",-W132/2,IF(Z132="ВОЗВРАТ",0,""))))))</f>
        <v/>
      </c>
      <c r="AB132" s="18" t="str">
        <f aca="false">IF(AND(K132="ВИРТУАЛЬНЫЙ ВЫБОР",OR(Z132="✅ ЗАШЛО",Z132="❌ НЕ ЗАШЛО",Z132="½ ЗАШЛО",Z132="½ НЕ ЗАШЛО",Z132="ВОЗВРАТ")),W132,"")</f>
        <v/>
      </c>
      <c r="AC132" s="15"/>
      <c r="AD132" s="16" t="str">
        <f aca="false">IF(OR(AC132="",P132=""),"",P132/AC132-1)</f>
        <v/>
      </c>
      <c r="AE132" s="19" t="str">
        <f aca="false">IF(AND(M132=0,OR(Z132="✅ ЗАШЛО",Z132="❌ НЕ ЗАШЛО"),L132&lt;&gt;""),(L132-IF(Z132="✅ ЗАШЛО",1,0))^2,"")</f>
        <v/>
      </c>
      <c r="AF132" s="15"/>
      <c r="AG132" s="15"/>
      <c r="AH132" s="13"/>
      <c r="AI132" s="13"/>
      <c r="AJ132" s="13"/>
      <c r="AK132" s="20" t="str">
        <f aca="false">IF(AH132="","",IF(ABS(AH132+AI132+AJ132-1)&lt;0.000001,"OK","ОШИБКА"))</f>
        <v/>
      </c>
      <c r="AL132" s="13"/>
      <c r="AM132" s="12"/>
      <c r="AN132" s="12"/>
      <c r="AO132" s="12"/>
      <c r="AP132" s="12"/>
      <c r="AQ132" s="18" t="str">
        <f aca="false">IF(A132="","",N(AQ131)+N(AA132))</f>
        <v/>
      </c>
      <c r="AR132" s="18" t="str">
        <f aca="false">IF(AQ132="","",MAX(0,MAX($AQ$8:AQ132))-AQ132)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3"/>
      <c r="M133" s="13"/>
      <c r="N133" s="13"/>
      <c r="O133" s="14" t="str">
        <f aca="false">IF(OR(L133="",L133=0),"",(1-M133)/L133)</f>
        <v/>
      </c>
      <c r="P133" s="15"/>
      <c r="Q133" s="12"/>
      <c r="R133" s="12"/>
      <c r="S133" s="13"/>
      <c r="T133" s="16" t="str">
        <f aca="false">IF(OR(S133="",L133=""),"",L133/(1-M133)-S133)</f>
        <v/>
      </c>
      <c r="U133" s="16" t="str">
        <f aca="false">IF(OR(L133="",P133=""),"",L133*(P133-1)-N133)</f>
        <v/>
      </c>
      <c r="V133" s="13"/>
      <c r="W133" s="17"/>
      <c r="X133" s="12"/>
      <c r="Y133" s="12"/>
      <c r="Z133" s="12"/>
      <c r="AA133" s="18" t="str">
        <f aca="false">IF(K133&lt;&gt;"ВИРТУАЛЬНЫЙ ВЫБОР","",IF(Z133="✅ ЗАШЛО",W133*(P133-1),IF(Z133="❌ НЕ ЗАШЛО",-W133,IF(Z133="½ ЗАШЛО",W133*(P133-1)/2,IF(Z133="½ НЕ ЗАШЛО",-W133/2,IF(Z133="ВОЗВРАТ",0,""))))))</f>
        <v/>
      </c>
      <c r="AB133" s="18" t="str">
        <f aca="false">IF(AND(K133="ВИРТУАЛЬНЫЙ ВЫБОР",OR(Z133="✅ ЗАШЛО",Z133="❌ НЕ ЗАШЛО",Z133="½ ЗАШЛО",Z133="½ НЕ ЗАШЛО",Z133="ВОЗВРАТ")),W133,"")</f>
        <v/>
      </c>
      <c r="AC133" s="15"/>
      <c r="AD133" s="16" t="str">
        <f aca="false">IF(OR(AC133="",P133=""),"",P133/AC133-1)</f>
        <v/>
      </c>
      <c r="AE133" s="19" t="str">
        <f aca="false">IF(AND(M133=0,OR(Z133="✅ ЗАШЛО",Z133="❌ НЕ ЗАШЛО"),L133&lt;&gt;""),(L133-IF(Z133="✅ ЗАШЛО",1,0))^2,"")</f>
        <v/>
      </c>
      <c r="AF133" s="15"/>
      <c r="AG133" s="15"/>
      <c r="AH133" s="13"/>
      <c r="AI133" s="13"/>
      <c r="AJ133" s="13"/>
      <c r="AK133" s="20" t="str">
        <f aca="false">IF(AH133="","",IF(ABS(AH133+AI133+AJ133-1)&lt;0.000001,"OK","ОШИБКА"))</f>
        <v/>
      </c>
      <c r="AL133" s="13"/>
      <c r="AM133" s="12"/>
      <c r="AN133" s="12"/>
      <c r="AO133" s="12"/>
      <c r="AP133" s="12"/>
      <c r="AQ133" s="18" t="str">
        <f aca="false">IF(A133="","",N(AQ132)+N(AA133))</f>
        <v/>
      </c>
      <c r="AR133" s="18" t="str">
        <f aca="false">IF(AQ133="","",MAX(0,MAX($AQ$8:AQ133))-AQ133)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3"/>
      <c r="M134" s="13"/>
      <c r="N134" s="13"/>
      <c r="O134" s="14" t="str">
        <f aca="false">IF(OR(L134="",L134=0),"",(1-M134)/L134)</f>
        <v/>
      </c>
      <c r="P134" s="15"/>
      <c r="Q134" s="12"/>
      <c r="R134" s="12"/>
      <c r="S134" s="13"/>
      <c r="T134" s="16" t="str">
        <f aca="false">IF(OR(S134="",L134=""),"",L134/(1-M134)-S134)</f>
        <v/>
      </c>
      <c r="U134" s="16" t="str">
        <f aca="false">IF(OR(L134="",P134=""),"",L134*(P134-1)-N134)</f>
        <v/>
      </c>
      <c r="V134" s="13"/>
      <c r="W134" s="17"/>
      <c r="X134" s="12"/>
      <c r="Y134" s="12"/>
      <c r="Z134" s="12"/>
      <c r="AA134" s="18" t="str">
        <f aca="false">IF(K134&lt;&gt;"ВИРТУАЛЬНЫЙ ВЫБОР","",IF(Z134="✅ ЗАШЛО",W134*(P134-1),IF(Z134="❌ НЕ ЗАШЛО",-W134,IF(Z134="½ ЗАШЛО",W134*(P134-1)/2,IF(Z134="½ НЕ ЗАШЛО",-W134/2,IF(Z134="ВОЗВРАТ",0,""))))))</f>
        <v/>
      </c>
      <c r="AB134" s="18" t="str">
        <f aca="false">IF(AND(K134="ВИРТУАЛЬНЫЙ ВЫБОР",OR(Z134="✅ ЗАШЛО",Z134="❌ НЕ ЗАШЛО",Z134="½ ЗАШЛО",Z134="½ НЕ ЗАШЛО",Z134="ВОЗВРАТ")),W134,"")</f>
        <v/>
      </c>
      <c r="AC134" s="15"/>
      <c r="AD134" s="16" t="str">
        <f aca="false">IF(OR(AC134="",P134=""),"",P134/AC134-1)</f>
        <v/>
      </c>
      <c r="AE134" s="19" t="str">
        <f aca="false">IF(AND(M134=0,OR(Z134="✅ ЗАШЛО",Z134="❌ НЕ ЗАШЛО"),L134&lt;&gt;""),(L134-IF(Z134="✅ ЗАШЛО",1,0))^2,"")</f>
        <v/>
      </c>
      <c r="AF134" s="15"/>
      <c r="AG134" s="15"/>
      <c r="AH134" s="13"/>
      <c r="AI134" s="13"/>
      <c r="AJ134" s="13"/>
      <c r="AK134" s="20" t="str">
        <f aca="false">IF(AH134="","",IF(ABS(AH134+AI134+AJ134-1)&lt;0.000001,"OK","ОШИБКА"))</f>
        <v/>
      </c>
      <c r="AL134" s="13"/>
      <c r="AM134" s="12"/>
      <c r="AN134" s="12"/>
      <c r="AO134" s="12"/>
      <c r="AP134" s="12"/>
      <c r="AQ134" s="18" t="str">
        <f aca="false">IF(A134="","",N(AQ133)+N(AA134))</f>
        <v/>
      </c>
      <c r="AR134" s="18" t="str">
        <f aca="false">IF(AQ134="","",MAX(0,MAX($AQ$8:AQ134))-AQ134)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3"/>
      <c r="M135" s="13"/>
      <c r="N135" s="13"/>
      <c r="O135" s="14" t="str">
        <f aca="false">IF(OR(L135="",L135=0),"",(1-M135)/L135)</f>
        <v/>
      </c>
      <c r="P135" s="15"/>
      <c r="Q135" s="12"/>
      <c r="R135" s="12"/>
      <c r="S135" s="13"/>
      <c r="T135" s="16" t="str">
        <f aca="false">IF(OR(S135="",L135=""),"",L135/(1-M135)-S135)</f>
        <v/>
      </c>
      <c r="U135" s="16" t="str">
        <f aca="false">IF(OR(L135="",P135=""),"",L135*(P135-1)-N135)</f>
        <v/>
      </c>
      <c r="V135" s="13"/>
      <c r="W135" s="17"/>
      <c r="X135" s="12"/>
      <c r="Y135" s="12"/>
      <c r="Z135" s="12"/>
      <c r="AA135" s="18" t="str">
        <f aca="false">IF(K135&lt;&gt;"ВИРТУАЛЬНЫЙ ВЫБОР","",IF(Z135="✅ ЗАШЛО",W135*(P135-1),IF(Z135="❌ НЕ ЗАШЛО",-W135,IF(Z135="½ ЗАШЛО",W135*(P135-1)/2,IF(Z135="½ НЕ ЗАШЛО",-W135/2,IF(Z135="ВОЗВРАТ",0,""))))))</f>
        <v/>
      </c>
      <c r="AB135" s="18" t="str">
        <f aca="false">IF(AND(K135="ВИРТУАЛЬНЫЙ ВЫБОР",OR(Z135="✅ ЗАШЛО",Z135="❌ НЕ ЗАШЛО",Z135="½ ЗАШЛО",Z135="½ НЕ ЗАШЛО",Z135="ВОЗВРАТ")),W135,"")</f>
        <v/>
      </c>
      <c r="AC135" s="15"/>
      <c r="AD135" s="16" t="str">
        <f aca="false">IF(OR(AC135="",P135=""),"",P135/AC135-1)</f>
        <v/>
      </c>
      <c r="AE135" s="19" t="str">
        <f aca="false">IF(AND(M135=0,OR(Z135="✅ ЗАШЛО",Z135="❌ НЕ ЗАШЛО"),L135&lt;&gt;""),(L135-IF(Z135="✅ ЗАШЛО",1,0))^2,"")</f>
        <v/>
      </c>
      <c r="AF135" s="15"/>
      <c r="AG135" s="15"/>
      <c r="AH135" s="13"/>
      <c r="AI135" s="13"/>
      <c r="AJ135" s="13"/>
      <c r="AK135" s="20" t="str">
        <f aca="false">IF(AH135="","",IF(ABS(AH135+AI135+AJ135-1)&lt;0.000001,"OK","ОШИБКА"))</f>
        <v/>
      </c>
      <c r="AL135" s="13"/>
      <c r="AM135" s="12"/>
      <c r="AN135" s="12"/>
      <c r="AO135" s="12"/>
      <c r="AP135" s="12"/>
      <c r="AQ135" s="18" t="str">
        <f aca="false">IF(A135="","",N(AQ134)+N(AA135))</f>
        <v/>
      </c>
      <c r="AR135" s="18" t="str">
        <f aca="false">IF(AQ135="","",MAX(0,MAX($AQ$8:AQ135))-AQ135)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3"/>
      <c r="M136" s="13"/>
      <c r="N136" s="13"/>
      <c r="O136" s="14" t="str">
        <f aca="false">IF(OR(L136="",L136=0),"",(1-M136)/L136)</f>
        <v/>
      </c>
      <c r="P136" s="15"/>
      <c r="Q136" s="12"/>
      <c r="R136" s="12"/>
      <c r="S136" s="13"/>
      <c r="T136" s="16" t="str">
        <f aca="false">IF(OR(S136="",L136=""),"",L136/(1-M136)-S136)</f>
        <v/>
      </c>
      <c r="U136" s="16" t="str">
        <f aca="false">IF(OR(L136="",P136=""),"",L136*(P136-1)-N136)</f>
        <v/>
      </c>
      <c r="V136" s="13"/>
      <c r="W136" s="17"/>
      <c r="X136" s="12"/>
      <c r="Y136" s="12"/>
      <c r="Z136" s="12"/>
      <c r="AA136" s="18" t="str">
        <f aca="false">IF(K136&lt;&gt;"ВИРТУАЛЬНЫЙ ВЫБОР","",IF(Z136="✅ ЗАШЛО",W136*(P136-1),IF(Z136="❌ НЕ ЗАШЛО",-W136,IF(Z136="½ ЗАШЛО",W136*(P136-1)/2,IF(Z136="½ НЕ ЗАШЛО",-W136/2,IF(Z136="ВОЗВРАТ",0,""))))))</f>
        <v/>
      </c>
      <c r="AB136" s="18" t="str">
        <f aca="false">IF(AND(K136="ВИРТУАЛЬНЫЙ ВЫБОР",OR(Z136="✅ ЗАШЛО",Z136="❌ НЕ ЗАШЛО",Z136="½ ЗАШЛО",Z136="½ НЕ ЗАШЛО",Z136="ВОЗВРАТ")),W136,"")</f>
        <v/>
      </c>
      <c r="AC136" s="15"/>
      <c r="AD136" s="16" t="str">
        <f aca="false">IF(OR(AC136="",P136=""),"",P136/AC136-1)</f>
        <v/>
      </c>
      <c r="AE136" s="19" t="str">
        <f aca="false">IF(AND(M136=0,OR(Z136="✅ ЗАШЛО",Z136="❌ НЕ ЗАШЛО"),L136&lt;&gt;""),(L136-IF(Z136="✅ ЗАШЛО",1,0))^2,"")</f>
        <v/>
      </c>
      <c r="AF136" s="15"/>
      <c r="AG136" s="15"/>
      <c r="AH136" s="13"/>
      <c r="AI136" s="13"/>
      <c r="AJ136" s="13"/>
      <c r="AK136" s="20" t="str">
        <f aca="false">IF(AH136="","",IF(ABS(AH136+AI136+AJ136-1)&lt;0.000001,"OK","ОШИБКА"))</f>
        <v/>
      </c>
      <c r="AL136" s="13"/>
      <c r="AM136" s="12"/>
      <c r="AN136" s="12"/>
      <c r="AO136" s="12"/>
      <c r="AP136" s="12"/>
      <c r="AQ136" s="18" t="str">
        <f aca="false">IF(A136="","",N(AQ135)+N(AA136))</f>
        <v/>
      </c>
      <c r="AR136" s="18" t="str">
        <f aca="false">IF(AQ136="","",MAX(0,MAX($AQ$8:AQ136))-AQ136)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3"/>
      <c r="M137" s="13"/>
      <c r="N137" s="13"/>
      <c r="O137" s="14" t="str">
        <f aca="false">IF(OR(L137="",L137=0),"",(1-M137)/L137)</f>
        <v/>
      </c>
      <c r="P137" s="15"/>
      <c r="Q137" s="12"/>
      <c r="R137" s="12"/>
      <c r="S137" s="13"/>
      <c r="T137" s="16" t="str">
        <f aca="false">IF(OR(S137="",L137=""),"",L137/(1-M137)-S137)</f>
        <v/>
      </c>
      <c r="U137" s="16" t="str">
        <f aca="false">IF(OR(L137="",P137=""),"",L137*(P137-1)-N137)</f>
        <v/>
      </c>
      <c r="V137" s="13"/>
      <c r="W137" s="17"/>
      <c r="X137" s="12"/>
      <c r="Y137" s="12"/>
      <c r="Z137" s="12"/>
      <c r="AA137" s="18" t="str">
        <f aca="false">IF(K137&lt;&gt;"ВИРТУАЛЬНЫЙ ВЫБОР","",IF(Z137="✅ ЗАШЛО",W137*(P137-1),IF(Z137="❌ НЕ ЗАШЛО",-W137,IF(Z137="½ ЗАШЛО",W137*(P137-1)/2,IF(Z137="½ НЕ ЗАШЛО",-W137/2,IF(Z137="ВОЗВРАТ",0,""))))))</f>
        <v/>
      </c>
      <c r="AB137" s="18" t="str">
        <f aca="false">IF(AND(K137="ВИРТУАЛЬНЫЙ ВЫБОР",OR(Z137="✅ ЗАШЛО",Z137="❌ НЕ ЗАШЛО",Z137="½ ЗАШЛО",Z137="½ НЕ ЗАШЛО",Z137="ВОЗВРАТ")),W137,"")</f>
        <v/>
      </c>
      <c r="AC137" s="15"/>
      <c r="AD137" s="16" t="str">
        <f aca="false">IF(OR(AC137="",P137=""),"",P137/AC137-1)</f>
        <v/>
      </c>
      <c r="AE137" s="19" t="str">
        <f aca="false">IF(AND(M137=0,OR(Z137="✅ ЗАШЛО",Z137="❌ НЕ ЗАШЛО"),L137&lt;&gt;""),(L137-IF(Z137="✅ ЗАШЛО",1,0))^2,"")</f>
        <v/>
      </c>
      <c r="AF137" s="15"/>
      <c r="AG137" s="15"/>
      <c r="AH137" s="13"/>
      <c r="AI137" s="13"/>
      <c r="AJ137" s="13"/>
      <c r="AK137" s="20" t="str">
        <f aca="false">IF(AH137="","",IF(ABS(AH137+AI137+AJ137-1)&lt;0.000001,"OK","ОШИБКА"))</f>
        <v/>
      </c>
      <c r="AL137" s="13"/>
      <c r="AM137" s="12"/>
      <c r="AN137" s="12"/>
      <c r="AO137" s="12"/>
      <c r="AP137" s="12"/>
      <c r="AQ137" s="18" t="str">
        <f aca="false">IF(A137="","",N(AQ136)+N(AA137))</f>
        <v/>
      </c>
      <c r="AR137" s="18" t="str">
        <f aca="false">IF(AQ137="","",MAX(0,MAX($AQ$8:AQ137))-AQ137)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3"/>
      <c r="M138" s="13"/>
      <c r="N138" s="13"/>
      <c r="O138" s="14" t="str">
        <f aca="false">IF(OR(L138="",L138=0),"",(1-M138)/L138)</f>
        <v/>
      </c>
      <c r="P138" s="15"/>
      <c r="Q138" s="12"/>
      <c r="R138" s="12"/>
      <c r="S138" s="13"/>
      <c r="T138" s="16" t="str">
        <f aca="false">IF(OR(S138="",L138=""),"",L138/(1-M138)-S138)</f>
        <v/>
      </c>
      <c r="U138" s="16" t="str">
        <f aca="false">IF(OR(L138="",P138=""),"",L138*(P138-1)-N138)</f>
        <v/>
      </c>
      <c r="V138" s="13"/>
      <c r="W138" s="17"/>
      <c r="X138" s="12"/>
      <c r="Y138" s="12"/>
      <c r="Z138" s="12"/>
      <c r="AA138" s="18" t="str">
        <f aca="false">IF(K138&lt;&gt;"ВИРТУАЛЬНЫЙ ВЫБОР","",IF(Z138="✅ ЗАШЛО",W138*(P138-1),IF(Z138="❌ НЕ ЗАШЛО",-W138,IF(Z138="½ ЗАШЛО",W138*(P138-1)/2,IF(Z138="½ НЕ ЗАШЛО",-W138/2,IF(Z138="ВОЗВРАТ",0,""))))))</f>
        <v/>
      </c>
      <c r="AB138" s="18" t="str">
        <f aca="false">IF(AND(K138="ВИРТУАЛЬНЫЙ ВЫБОР",OR(Z138="✅ ЗАШЛО",Z138="❌ НЕ ЗАШЛО",Z138="½ ЗАШЛО",Z138="½ НЕ ЗАШЛО",Z138="ВОЗВРАТ")),W138,"")</f>
        <v/>
      </c>
      <c r="AC138" s="15"/>
      <c r="AD138" s="16" t="str">
        <f aca="false">IF(OR(AC138="",P138=""),"",P138/AC138-1)</f>
        <v/>
      </c>
      <c r="AE138" s="19" t="str">
        <f aca="false">IF(AND(M138=0,OR(Z138="✅ ЗАШЛО",Z138="❌ НЕ ЗАШЛО"),L138&lt;&gt;""),(L138-IF(Z138="✅ ЗАШЛО",1,0))^2,"")</f>
        <v/>
      </c>
      <c r="AF138" s="15"/>
      <c r="AG138" s="15"/>
      <c r="AH138" s="13"/>
      <c r="AI138" s="13"/>
      <c r="AJ138" s="13"/>
      <c r="AK138" s="20" t="str">
        <f aca="false">IF(AH138="","",IF(ABS(AH138+AI138+AJ138-1)&lt;0.000001,"OK","ОШИБКА"))</f>
        <v/>
      </c>
      <c r="AL138" s="13"/>
      <c r="AM138" s="12"/>
      <c r="AN138" s="12"/>
      <c r="AO138" s="12"/>
      <c r="AP138" s="12"/>
      <c r="AQ138" s="18" t="str">
        <f aca="false">IF(A138="","",N(AQ137)+N(AA138))</f>
        <v/>
      </c>
      <c r="AR138" s="18" t="str">
        <f aca="false">IF(AQ138="","",MAX(0,MAX($AQ$8:AQ138))-AQ138)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3"/>
      <c r="M139" s="13"/>
      <c r="N139" s="13"/>
      <c r="O139" s="14" t="str">
        <f aca="false">IF(OR(L139="",L139=0),"",(1-M139)/L139)</f>
        <v/>
      </c>
      <c r="P139" s="15"/>
      <c r="Q139" s="12"/>
      <c r="R139" s="12"/>
      <c r="S139" s="13"/>
      <c r="T139" s="16" t="str">
        <f aca="false">IF(OR(S139="",L139=""),"",L139/(1-M139)-S139)</f>
        <v/>
      </c>
      <c r="U139" s="16" t="str">
        <f aca="false">IF(OR(L139="",P139=""),"",L139*(P139-1)-N139)</f>
        <v/>
      </c>
      <c r="V139" s="13"/>
      <c r="W139" s="17"/>
      <c r="X139" s="12"/>
      <c r="Y139" s="12"/>
      <c r="Z139" s="12"/>
      <c r="AA139" s="18" t="str">
        <f aca="false">IF(K139&lt;&gt;"ВИРТУАЛЬНЫЙ ВЫБОР","",IF(Z139="✅ ЗАШЛО",W139*(P139-1),IF(Z139="❌ НЕ ЗАШЛО",-W139,IF(Z139="½ ЗАШЛО",W139*(P139-1)/2,IF(Z139="½ НЕ ЗАШЛО",-W139/2,IF(Z139="ВОЗВРАТ",0,""))))))</f>
        <v/>
      </c>
      <c r="AB139" s="18" t="str">
        <f aca="false">IF(AND(K139="ВИРТУАЛЬНЫЙ ВЫБОР",OR(Z139="✅ ЗАШЛО",Z139="❌ НЕ ЗАШЛО",Z139="½ ЗАШЛО",Z139="½ НЕ ЗАШЛО",Z139="ВОЗВРАТ")),W139,"")</f>
        <v/>
      </c>
      <c r="AC139" s="15"/>
      <c r="AD139" s="16" t="str">
        <f aca="false">IF(OR(AC139="",P139=""),"",P139/AC139-1)</f>
        <v/>
      </c>
      <c r="AE139" s="19" t="str">
        <f aca="false">IF(AND(M139=0,OR(Z139="✅ ЗАШЛО",Z139="❌ НЕ ЗАШЛО"),L139&lt;&gt;""),(L139-IF(Z139="✅ ЗАШЛО",1,0))^2,"")</f>
        <v/>
      </c>
      <c r="AF139" s="15"/>
      <c r="AG139" s="15"/>
      <c r="AH139" s="13"/>
      <c r="AI139" s="13"/>
      <c r="AJ139" s="13"/>
      <c r="AK139" s="20" t="str">
        <f aca="false">IF(AH139="","",IF(ABS(AH139+AI139+AJ139-1)&lt;0.000001,"OK","ОШИБКА"))</f>
        <v/>
      </c>
      <c r="AL139" s="13"/>
      <c r="AM139" s="12"/>
      <c r="AN139" s="12"/>
      <c r="AO139" s="12"/>
      <c r="AP139" s="12"/>
      <c r="AQ139" s="18" t="str">
        <f aca="false">IF(A139="","",N(AQ138)+N(AA139))</f>
        <v/>
      </c>
      <c r="AR139" s="18" t="str">
        <f aca="false">IF(AQ139="","",MAX(0,MAX($AQ$8:AQ139))-AQ139)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3"/>
      <c r="M140" s="13"/>
      <c r="N140" s="13"/>
      <c r="O140" s="14" t="str">
        <f aca="false">IF(OR(L140="",L140=0),"",(1-M140)/L140)</f>
        <v/>
      </c>
      <c r="P140" s="15"/>
      <c r="Q140" s="12"/>
      <c r="R140" s="12"/>
      <c r="S140" s="13"/>
      <c r="T140" s="16" t="str">
        <f aca="false">IF(OR(S140="",L140=""),"",L140/(1-M140)-S140)</f>
        <v/>
      </c>
      <c r="U140" s="16" t="str">
        <f aca="false">IF(OR(L140="",P140=""),"",L140*(P140-1)-N140)</f>
        <v/>
      </c>
      <c r="V140" s="13"/>
      <c r="W140" s="17"/>
      <c r="X140" s="12"/>
      <c r="Y140" s="12"/>
      <c r="Z140" s="12"/>
      <c r="AA140" s="18" t="str">
        <f aca="false">IF(K140&lt;&gt;"ВИРТУАЛЬНЫЙ ВЫБОР","",IF(Z140="✅ ЗАШЛО",W140*(P140-1),IF(Z140="❌ НЕ ЗАШЛО",-W140,IF(Z140="½ ЗАШЛО",W140*(P140-1)/2,IF(Z140="½ НЕ ЗАШЛО",-W140/2,IF(Z140="ВОЗВРАТ",0,""))))))</f>
        <v/>
      </c>
      <c r="AB140" s="18" t="str">
        <f aca="false">IF(AND(K140="ВИРТУАЛЬНЫЙ ВЫБОР",OR(Z140="✅ ЗАШЛО",Z140="❌ НЕ ЗАШЛО",Z140="½ ЗАШЛО",Z140="½ НЕ ЗАШЛО",Z140="ВОЗВРАТ")),W140,"")</f>
        <v/>
      </c>
      <c r="AC140" s="15"/>
      <c r="AD140" s="16" t="str">
        <f aca="false">IF(OR(AC140="",P140=""),"",P140/AC140-1)</f>
        <v/>
      </c>
      <c r="AE140" s="19" t="str">
        <f aca="false">IF(AND(M140=0,OR(Z140="✅ ЗАШЛО",Z140="❌ НЕ ЗАШЛО"),L140&lt;&gt;""),(L140-IF(Z140="✅ ЗАШЛО",1,0))^2,"")</f>
        <v/>
      </c>
      <c r="AF140" s="15"/>
      <c r="AG140" s="15"/>
      <c r="AH140" s="13"/>
      <c r="AI140" s="13"/>
      <c r="AJ140" s="13"/>
      <c r="AK140" s="20" t="str">
        <f aca="false">IF(AH140="","",IF(ABS(AH140+AI140+AJ140-1)&lt;0.000001,"OK","ОШИБКА"))</f>
        <v/>
      </c>
      <c r="AL140" s="13"/>
      <c r="AM140" s="12"/>
      <c r="AN140" s="12"/>
      <c r="AO140" s="12"/>
      <c r="AP140" s="12"/>
      <c r="AQ140" s="18" t="str">
        <f aca="false">IF(A140="","",N(AQ139)+N(AA140))</f>
        <v/>
      </c>
      <c r="AR140" s="18" t="str">
        <f aca="false">IF(AQ140="","",MAX(0,MAX($AQ$8:AQ140))-AQ140)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3"/>
      <c r="M141" s="13"/>
      <c r="N141" s="13"/>
      <c r="O141" s="14" t="str">
        <f aca="false">IF(OR(L141="",L141=0),"",(1-M141)/L141)</f>
        <v/>
      </c>
      <c r="P141" s="15"/>
      <c r="Q141" s="12"/>
      <c r="R141" s="12"/>
      <c r="S141" s="13"/>
      <c r="T141" s="16" t="str">
        <f aca="false">IF(OR(S141="",L141=""),"",L141/(1-M141)-S141)</f>
        <v/>
      </c>
      <c r="U141" s="16" t="str">
        <f aca="false">IF(OR(L141="",P141=""),"",L141*(P141-1)-N141)</f>
        <v/>
      </c>
      <c r="V141" s="13"/>
      <c r="W141" s="17"/>
      <c r="X141" s="12"/>
      <c r="Y141" s="12"/>
      <c r="Z141" s="12"/>
      <c r="AA141" s="18" t="str">
        <f aca="false">IF(K141&lt;&gt;"ВИРТУАЛЬНЫЙ ВЫБОР","",IF(Z141="✅ ЗАШЛО",W141*(P141-1),IF(Z141="❌ НЕ ЗАШЛО",-W141,IF(Z141="½ ЗАШЛО",W141*(P141-1)/2,IF(Z141="½ НЕ ЗАШЛО",-W141/2,IF(Z141="ВОЗВРАТ",0,""))))))</f>
        <v/>
      </c>
      <c r="AB141" s="18" t="str">
        <f aca="false">IF(AND(K141="ВИРТУАЛЬНЫЙ ВЫБОР",OR(Z141="✅ ЗАШЛО",Z141="❌ НЕ ЗАШЛО",Z141="½ ЗАШЛО",Z141="½ НЕ ЗАШЛО",Z141="ВОЗВРАТ")),W141,"")</f>
        <v/>
      </c>
      <c r="AC141" s="15"/>
      <c r="AD141" s="16" t="str">
        <f aca="false">IF(OR(AC141="",P141=""),"",P141/AC141-1)</f>
        <v/>
      </c>
      <c r="AE141" s="19" t="str">
        <f aca="false">IF(AND(M141=0,OR(Z141="✅ ЗАШЛО",Z141="❌ НЕ ЗАШЛО"),L141&lt;&gt;""),(L141-IF(Z141="✅ ЗАШЛО",1,0))^2,"")</f>
        <v/>
      </c>
      <c r="AF141" s="15"/>
      <c r="AG141" s="15"/>
      <c r="AH141" s="13"/>
      <c r="AI141" s="13"/>
      <c r="AJ141" s="13"/>
      <c r="AK141" s="20" t="str">
        <f aca="false">IF(AH141="","",IF(ABS(AH141+AI141+AJ141-1)&lt;0.000001,"OK","ОШИБКА"))</f>
        <v/>
      </c>
      <c r="AL141" s="13"/>
      <c r="AM141" s="12"/>
      <c r="AN141" s="12"/>
      <c r="AO141" s="12"/>
      <c r="AP141" s="12"/>
      <c r="AQ141" s="18" t="str">
        <f aca="false">IF(A141="","",N(AQ140)+N(AA141))</f>
        <v/>
      </c>
      <c r="AR141" s="18" t="str">
        <f aca="false">IF(AQ141="","",MAX(0,MAX($AQ$8:AQ141))-AQ141)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3"/>
      <c r="M142" s="13"/>
      <c r="N142" s="13"/>
      <c r="O142" s="14" t="str">
        <f aca="false">IF(OR(L142="",L142=0),"",(1-M142)/L142)</f>
        <v/>
      </c>
      <c r="P142" s="15"/>
      <c r="Q142" s="12"/>
      <c r="R142" s="12"/>
      <c r="S142" s="13"/>
      <c r="T142" s="16" t="str">
        <f aca="false">IF(OR(S142="",L142=""),"",L142/(1-M142)-S142)</f>
        <v/>
      </c>
      <c r="U142" s="16" t="str">
        <f aca="false">IF(OR(L142="",P142=""),"",L142*(P142-1)-N142)</f>
        <v/>
      </c>
      <c r="V142" s="13"/>
      <c r="W142" s="17"/>
      <c r="X142" s="12"/>
      <c r="Y142" s="12"/>
      <c r="Z142" s="12"/>
      <c r="AA142" s="18" t="str">
        <f aca="false">IF(K142&lt;&gt;"ВИРТУАЛЬНЫЙ ВЫБОР","",IF(Z142="✅ ЗАШЛО",W142*(P142-1),IF(Z142="❌ НЕ ЗАШЛО",-W142,IF(Z142="½ ЗАШЛО",W142*(P142-1)/2,IF(Z142="½ НЕ ЗАШЛО",-W142/2,IF(Z142="ВОЗВРАТ",0,""))))))</f>
        <v/>
      </c>
      <c r="AB142" s="18" t="str">
        <f aca="false">IF(AND(K142="ВИРТУАЛЬНЫЙ ВЫБОР",OR(Z142="✅ ЗАШЛО",Z142="❌ НЕ ЗАШЛО",Z142="½ ЗАШЛО",Z142="½ НЕ ЗАШЛО",Z142="ВОЗВРАТ")),W142,"")</f>
        <v/>
      </c>
      <c r="AC142" s="15"/>
      <c r="AD142" s="16" t="str">
        <f aca="false">IF(OR(AC142="",P142=""),"",P142/AC142-1)</f>
        <v/>
      </c>
      <c r="AE142" s="19" t="str">
        <f aca="false">IF(AND(M142=0,OR(Z142="✅ ЗАШЛО",Z142="❌ НЕ ЗАШЛО"),L142&lt;&gt;""),(L142-IF(Z142="✅ ЗАШЛО",1,0))^2,"")</f>
        <v/>
      </c>
      <c r="AF142" s="15"/>
      <c r="AG142" s="15"/>
      <c r="AH142" s="13"/>
      <c r="AI142" s="13"/>
      <c r="AJ142" s="13"/>
      <c r="AK142" s="20" t="str">
        <f aca="false">IF(AH142="","",IF(ABS(AH142+AI142+AJ142-1)&lt;0.000001,"OK","ОШИБКА"))</f>
        <v/>
      </c>
      <c r="AL142" s="13"/>
      <c r="AM142" s="12"/>
      <c r="AN142" s="12"/>
      <c r="AO142" s="12"/>
      <c r="AP142" s="12"/>
      <c r="AQ142" s="18" t="str">
        <f aca="false">IF(A142="","",N(AQ141)+N(AA142))</f>
        <v/>
      </c>
      <c r="AR142" s="18" t="str">
        <f aca="false">IF(AQ142="","",MAX(0,MAX($AQ$8:AQ142))-AQ142)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3"/>
      <c r="M143" s="13"/>
      <c r="N143" s="13"/>
      <c r="O143" s="14" t="str">
        <f aca="false">IF(OR(L143="",L143=0),"",(1-M143)/L143)</f>
        <v/>
      </c>
      <c r="P143" s="15"/>
      <c r="Q143" s="12"/>
      <c r="R143" s="12"/>
      <c r="S143" s="13"/>
      <c r="T143" s="16" t="str">
        <f aca="false">IF(OR(S143="",L143=""),"",L143/(1-M143)-S143)</f>
        <v/>
      </c>
      <c r="U143" s="16" t="str">
        <f aca="false">IF(OR(L143="",P143=""),"",L143*(P143-1)-N143)</f>
        <v/>
      </c>
      <c r="V143" s="13"/>
      <c r="W143" s="17"/>
      <c r="X143" s="12"/>
      <c r="Y143" s="12"/>
      <c r="Z143" s="12"/>
      <c r="AA143" s="18" t="str">
        <f aca="false">IF(K143&lt;&gt;"ВИРТУАЛЬНЫЙ ВЫБОР","",IF(Z143="✅ ЗАШЛО",W143*(P143-1),IF(Z143="❌ НЕ ЗАШЛО",-W143,IF(Z143="½ ЗАШЛО",W143*(P143-1)/2,IF(Z143="½ НЕ ЗАШЛО",-W143/2,IF(Z143="ВОЗВРАТ",0,""))))))</f>
        <v/>
      </c>
      <c r="AB143" s="18" t="str">
        <f aca="false">IF(AND(K143="ВИРТУАЛЬНЫЙ ВЫБОР",OR(Z143="✅ ЗАШЛО",Z143="❌ НЕ ЗАШЛО",Z143="½ ЗАШЛО",Z143="½ НЕ ЗАШЛО",Z143="ВОЗВРАТ")),W143,"")</f>
        <v/>
      </c>
      <c r="AC143" s="15"/>
      <c r="AD143" s="16" t="str">
        <f aca="false">IF(OR(AC143="",P143=""),"",P143/AC143-1)</f>
        <v/>
      </c>
      <c r="AE143" s="19" t="str">
        <f aca="false">IF(AND(M143=0,OR(Z143="✅ ЗАШЛО",Z143="❌ НЕ ЗАШЛО"),L143&lt;&gt;""),(L143-IF(Z143="✅ ЗАШЛО",1,0))^2,"")</f>
        <v/>
      </c>
      <c r="AF143" s="15"/>
      <c r="AG143" s="15"/>
      <c r="AH143" s="13"/>
      <c r="AI143" s="13"/>
      <c r="AJ143" s="13"/>
      <c r="AK143" s="20" t="str">
        <f aca="false">IF(AH143="","",IF(ABS(AH143+AI143+AJ143-1)&lt;0.000001,"OK","ОШИБКА"))</f>
        <v/>
      </c>
      <c r="AL143" s="13"/>
      <c r="AM143" s="12"/>
      <c r="AN143" s="12"/>
      <c r="AO143" s="12"/>
      <c r="AP143" s="12"/>
      <c r="AQ143" s="18" t="str">
        <f aca="false">IF(A143="","",N(AQ142)+N(AA143))</f>
        <v/>
      </c>
      <c r="AR143" s="18" t="str">
        <f aca="false">IF(AQ143="","",MAX(0,MAX($AQ$8:AQ143))-AQ143)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3"/>
      <c r="M144" s="13"/>
      <c r="N144" s="13"/>
      <c r="O144" s="14" t="str">
        <f aca="false">IF(OR(L144="",L144=0),"",(1-M144)/L144)</f>
        <v/>
      </c>
      <c r="P144" s="15"/>
      <c r="Q144" s="12"/>
      <c r="R144" s="12"/>
      <c r="S144" s="13"/>
      <c r="T144" s="16" t="str">
        <f aca="false">IF(OR(S144="",L144=""),"",L144/(1-M144)-S144)</f>
        <v/>
      </c>
      <c r="U144" s="16" t="str">
        <f aca="false">IF(OR(L144="",P144=""),"",L144*(P144-1)-N144)</f>
        <v/>
      </c>
      <c r="V144" s="13"/>
      <c r="W144" s="17"/>
      <c r="X144" s="12"/>
      <c r="Y144" s="12"/>
      <c r="Z144" s="12"/>
      <c r="AA144" s="18" t="str">
        <f aca="false">IF(K144&lt;&gt;"ВИРТУАЛЬНЫЙ ВЫБОР","",IF(Z144="✅ ЗАШЛО",W144*(P144-1),IF(Z144="❌ НЕ ЗАШЛО",-W144,IF(Z144="½ ЗАШЛО",W144*(P144-1)/2,IF(Z144="½ НЕ ЗАШЛО",-W144/2,IF(Z144="ВОЗВРАТ",0,""))))))</f>
        <v/>
      </c>
      <c r="AB144" s="18" t="str">
        <f aca="false">IF(AND(K144="ВИРТУАЛЬНЫЙ ВЫБОР",OR(Z144="✅ ЗАШЛО",Z144="❌ НЕ ЗАШЛО",Z144="½ ЗАШЛО",Z144="½ НЕ ЗАШЛО",Z144="ВОЗВРАТ")),W144,"")</f>
        <v/>
      </c>
      <c r="AC144" s="15"/>
      <c r="AD144" s="16" t="str">
        <f aca="false">IF(OR(AC144="",P144=""),"",P144/AC144-1)</f>
        <v/>
      </c>
      <c r="AE144" s="19" t="str">
        <f aca="false">IF(AND(M144=0,OR(Z144="✅ ЗАШЛО",Z144="❌ НЕ ЗАШЛО"),L144&lt;&gt;""),(L144-IF(Z144="✅ ЗАШЛО",1,0))^2,"")</f>
        <v/>
      </c>
      <c r="AF144" s="15"/>
      <c r="AG144" s="15"/>
      <c r="AH144" s="13"/>
      <c r="AI144" s="13"/>
      <c r="AJ144" s="13"/>
      <c r="AK144" s="20" t="str">
        <f aca="false">IF(AH144="","",IF(ABS(AH144+AI144+AJ144-1)&lt;0.000001,"OK","ОШИБКА"))</f>
        <v/>
      </c>
      <c r="AL144" s="13"/>
      <c r="AM144" s="12"/>
      <c r="AN144" s="12"/>
      <c r="AO144" s="12"/>
      <c r="AP144" s="12"/>
      <c r="AQ144" s="18" t="str">
        <f aca="false">IF(A144="","",N(AQ143)+N(AA144))</f>
        <v/>
      </c>
      <c r="AR144" s="18" t="str">
        <f aca="false">IF(AQ144="","",MAX(0,MAX($AQ$8:AQ144))-AQ144)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3"/>
      <c r="M145" s="13"/>
      <c r="N145" s="13"/>
      <c r="O145" s="14" t="str">
        <f aca="false">IF(OR(L145="",L145=0),"",(1-M145)/L145)</f>
        <v/>
      </c>
      <c r="P145" s="15"/>
      <c r="Q145" s="12"/>
      <c r="R145" s="12"/>
      <c r="S145" s="13"/>
      <c r="T145" s="16" t="str">
        <f aca="false">IF(OR(S145="",L145=""),"",L145/(1-M145)-S145)</f>
        <v/>
      </c>
      <c r="U145" s="16" t="str">
        <f aca="false">IF(OR(L145="",P145=""),"",L145*(P145-1)-N145)</f>
        <v/>
      </c>
      <c r="V145" s="13"/>
      <c r="W145" s="17"/>
      <c r="X145" s="12"/>
      <c r="Y145" s="12"/>
      <c r="Z145" s="12"/>
      <c r="AA145" s="18" t="str">
        <f aca="false">IF(K145&lt;&gt;"ВИРТУАЛЬНЫЙ ВЫБОР","",IF(Z145="✅ ЗАШЛО",W145*(P145-1),IF(Z145="❌ НЕ ЗАШЛО",-W145,IF(Z145="½ ЗАШЛО",W145*(P145-1)/2,IF(Z145="½ НЕ ЗАШЛО",-W145/2,IF(Z145="ВОЗВРАТ",0,""))))))</f>
        <v/>
      </c>
      <c r="AB145" s="18" t="str">
        <f aca="false">IF(AND(K145="ВИРТУАЛЬНЫЙ ВЫБОР",OR(Z145="✅ ЗАШЛО",Z145="❌ НЕ ЗАШЛО",Z145="½ ЗАШЛО",Z145="½ НЕ ЗАШЛО",Z145="ВОЗВРАТ")),W145,"")</f>
        <v/>
      </c>
      <c r="AC145" s="15"/>
      <c r="AD145" s="16" t="str">
        <f aca="false">IF(OR(AC145="",P145=""),"",P145/AC145-1)</f>
        <v/>
      </c>
      <c r="AE145" s="19" t="str">
        <f aca="false">IF(AND(M145=0,OR(Z145="✅ ЗАШЛО",Z145="❌ НЕ ЗАШЛО"),L145&lt;&gt;""),(L145-IF(Z145="✅ ЗАШЛО",1,0))^2,"")</f>
        <v/>
      </c>
      <c r="AF145" s="15"/>
      <c r="AG145" s="15"/>
      <c r="AH145" s="13"/>
      <c r="AI145" s="13"/>
      <c r="AJ145" s="13"/>
      <c r="AK145" s="20" t="str">
        <f aca="false">IF(AH145="","",IF(ABS(AH145+AI145+AJ145-1)&lt;0.000001,"OK","ОШИБКА"))</f>
        <v/>
      </c>
      <c r="AL145" s="13"/>
      <c r="AM145" s="12"/>
      <c r="AN145" s="12"/>
      <c r="AO145" s="12"/>
      <c r="AP145" s="12"/>
      <c r="AQ145" s="18" t="str">
        <f aca="false">IF(A145="","",N(AQ144)+N(AA145))</f>
        <v/>
      </c>
      <c r="AR145" s="18" t="str">
        <f aca="false">IF(AQ145="","",MAX(0,MAX($AQ$8:AQ145))-AQ145)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3"/>
      <c r="M146" s="13"/>
      <c r="N146" s="13"/>
      <c r="O146" s="14" t="str">
        <f aca="false">IF(OR(L146="",L146=0),"",(1-M146)/L146)</f>
        <v/>
      </c>
      <c r="P146" s="15"/>
      <c r="Q146" s="12"/>
      <c r="R146" s="12"/>
      <c r="S146" s="13"/>
      <c r="T146" s="16" t="str">
        <f aca="false">IF(OR(S146="",L146=""),"",L146/(1-M146)-S146)</f>
        <v/>
      </c>
      <c r="U146" s="16" t="str">
        <f aca="false">IF(OR(L146="",P146=""),"",L146*(P146-1)-N146)</f>
        <v/>
      </c>
      <c r="V146" s="13"/>
      <c r="W146" s="17"/>
      <c r="X146" s="12"/>
      <c r="Y146" s="12"/>
      <c r="Z146" s="12"/>
      <c r="AA146" s="18" t="str">
        <f aca="false">IF(K146&lt;&gt;"ВИРТУАЛЬНЫЙ ВЫБОР","",IF(Z146="✅ ЗАШЛО",W146*(P146-1),IF(Z146="❌ НЕ ЗАШЛО",-W146,IF(Z146="½ ЗАШЛО",W146*(P146-1)/2,IF(Z146="½ НЕ ЗАШЛО",-W146/2,IF(Z146="ВОЗВРАТ",0,""))))))</f>
        <v/>
      </c>
      <c r="AB146" s="18" t="str">
        <f aca="false">IF(AND(K146="ВИРТУАЛЬНЫЙ ВЫБОР",OR(Z146="✅ ЗАШЛО",Z146="❌ НЕ ЗАШЛО",Z146="½ ЗАШЛО",Z146="½ НЕ ЗАШЛО",Z146="ВОЗВРАТ")),W146,"")</f>
        <v/>
      </c>
      <c r="AC146" s="15"/>
      <c r="AD146" s="16" t="str">
        <f aca="false">IF(OR(AC146="",P146=""),"",P146/AC146-1)</f>
        <v/>
      </c>
      <c r="AE146" s="19" t="str">
        <f aca="false">IF(AND(M146=0,OR(Z146="✅ ЗАШЛО",Z146="❌ НЕ ЗАШЛО"),L146&lt;&gt;""),(L146-IF(Z146="✅ ЗАШЛО",1,0))^2,"")</f>
        <v/>
      </c>
      <c r="AF146" s="15"/>
      <c r="AG146" s="15"/>
      <c r="AH146" s="13"/>
      <c r="AI146" s="13"/>
      <c r="AJ146" s="13"/>
      <c r="AK146" s="20" t="str">
        <f aca="false">IF(AH146="","",IF(ABS(AH146+AI146+AJ146-1)&lt;0.000001,"OK","ОШИБКА"))</f>
        <v/>
      </c>
      <c r="AL146" s="13"/>
      <c r="AM146" s="12"/>
      <c r="AN146" s="12"/>
      <c r="AO146" s="12"/>
      <c r="AP146" s="12"/>
      <c r="AQ146" s="18" t="str">
        <f aca="false">IF(A146="","",N(AQ145)+N(AA146))</f>
        <v/>
      </c>
      <c r="AR146" s="18" t="str">
        <f aca="false">IF(AQ146="","",MAX(0,MAX($AQ$8:AQ146))-AQ146)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3"/>
      <c r="M147" s="13"/>
      <c r="N147" s="13"/>
      <c r="O147" s="14" t="str">
        <f aca="false">IF(OR(L147="",L147=0),"",(1-M147)/L147)</f>
        <v/>
      </c>
      <c r="P147" s="15"/>
      <c r="Q147" s="12"/>
      <c r="R147" s="12"/>
      <c r="S147" s="13"/>
      <c r="T147" s="16" t="str">
        <f aca="false">IF(OR(S147="",L147=""),"",L147/(1-M147)-S147)</f>
        <v/>
      </c>
      <c r="U147" s="16" t="str">
        <f aca="false">IF(OR(L147="",P147=""),"",L147*(P147-1)-N147)</f>
        <v/>
      </c>
      <c r="V147" s="13"/>
      <c r="W147" s="17"/>
      <c r="X147" s="12"/>
      <c r="Y147" s="12"/>
      <c r="Z147" s="12"/>
      <c r="AA147" s="18" t="str">
        <f aca="false">IF(K147&lt;&gt;"ВИРТУАЛЬНЫЙ ВЫБОР","",IF(Z147="✅ ЗАШЛО",W147*(P147-1),IF(Z147="❌ НЕ ЗАШЛО",-W147,IF(Z147="½ ЗАШЛО",W147*(P147-1)/2,IF(Z147="½ НЕ ЗАШЛО",-W147/2,IF(Z147="ВОЗВРАТ",0,""))))))</f>
        <v/>
      </c>
      <c r="AB147" s="18" t="str">
        <f aca="false">IF(AND(K147="ВИРТУАЛЬНЫЙ ВЫБОР",OR(Z147="✅ ЗАШЛО",Z147="❌ НЕ ЗАШЛО",Z147="½ ЗАШЛО",Z147="½ НЕ ЗАШЛО",Z147="ВОЗВРАТ")),W147,"")</f>
        <v/>
      </c>
      <c r="AC147" s="15"/>
      <c r="AD147" s="16" t="str">
        <f aca="false">IF(OR(AC147="",P147=""),"",P147/AC147-1)</f>
        <v/>
      </c>
      <c r="AE147" s="19" t="str">
        <f aca="false">IF(AND(M147=0,OR(Z147="✅ ЗАШЛО",Z147="❌ НЕ ЗАШЛО"),L147&lt;&gt;""),(L147-IF(Z147="✅ ЗАШЛО",1,0))^2,"")</f>
        <v/>
      </c>
      <c r="AF147" s="15"/>
      <c r="AG147" s="15"/>
      <c r="AH147" s="13"/>
      <c r="AI147" s="13"/>
      <c r="AJ147" s="13"/>
      <c r="AK147" s="20" t="str">
        <f aca="false">IF(AH147="","",IF(ABS(AH147+AI147+AJ147-1)&lt;0.000001,"OK","ОШИБКА"))</f>
        <v/>
      </c>
      <c r="AL147" s="13"/>
      <c r="AM147" s="12"/>
      <c r="AN147" s="12"/>
      <c r="AO147" s="12"/>
      <c r="AP147" s="12"/>
      <c r="AQ147" s="18" t="str">
        <f aca="false">IF(A147="","",N(AQ146)+N(AA147))</f>
        <v/>
      </c>
      <c r="AR147" s="18" t="str">
        <f aca="false">IF(AQ147="","",MAX(0,MAX($AQ$8:AQ147))-AQ147)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3"/>
      <c r="M148" s="13"/>
      <c r="N148" s="13"/>
      <c r="O148" s="14" t="str">
        <f aca="false">IF(OR(L148="",L148=0),"",(1-M148)/L148)</f>
        <v/>
      </c>
      <c r="P148" s="15"/>
      <c r="Q148" s="12"/>
      <c r="R148" s="12"/>
      <c r="S148" s="13"/>
      <c r="T148" s="16" t="str">
        <f aca="false">IF(OR(S148="",L148=""),"",L148/(1-M148)-S148)</f>
        <v/>
      </c>
      <c r="U148" s="16" t="str">
        <f aca="false">IF(OR(L148="",P148=""),"",L148*(P148-1)-N148)</f>
        <v/>
      </c>
      <c r="V148" s="13"/>
      <c r="W148" s="17"/>
      <c r="X148" s="12"/>
      <c r="Y148" s="12"/>
      <c r="Z148" s="12"/>
      <c r="AA148" s="18" t="str">
        <f aca="false">IF(K148&lt;&gt;"ВИРТУАЛЬНЫЙ ВЫБОР","",IF(Z148="✅ ЗАШЛО",W148*(P148-1),IF(Z148="❌ НЕ ЗАШЛО",-W148,IF(Z148="½ ЗАШЛО",W148*(P148-1)/2,IF(Z148="½ НЕ ЗАШЛО",-W148/2,IF(Z148="ВОЗВРАТ",0,""))))))</f>
        <v/>
      </c>
      <c r="AB148" s="18" t="str">
        <f aca="false">IF(AND(K148="ВИРТУАЛЬНЫЙ ВЫБОР",OR(Z148="✅ ЗАШЛО",Z148="❌ НЕ ЗАШЛО",Z148="½ ЗАШЛО",Z148="½ НЕ ЗАШЛО",Z148="ВОЗВРАТ")),W148,"")</f>
        <v/>
      </c>
      <c r="AC148" s="15"/>
      <c r="AD148" s="16" t="str">
        <f aca="false">IF(OR(AC148="",P148=""),"",P148/AC148-1)</f>
        <v/>
      </c>
      <c r="AE148" s="19" t="str">
        <f aca="false">IF(AND(M148=0,OR(Z148="✅ ЗАШЛО",Z148="❌ НЕ ЗАШЛО"),L148&lt;&gt;""),(L148-IF(Z148="✅ ЗАШЛО",1,0))^2,"")</f>
        <v/>
      </c>
      <c r="AF148" s="15"/>
      <c r="AG148" s="15"/>
      <c r="AH148" s="13"/>
      <c r="AI148" s="13"/>
      <c r="AJ148" s="13"/>
      <c r="AK148" s="20" t="str">
        <f aca="false">IF(AH148="","",IF(ABS(AH148+AI148+AJ148-1)&lt;0.000001,"OK","ОШИБКА"))</f>
        <v/>
      </c>
      <c r="AL148" s="13"/>
      <c r="AM148" s="12"/>
      <c r="AN148" s="12"/>
      <c r="AO148" s="12"/>
      <c r="AP148" s="12"/>
      <c r="AQ148" s="18" t="str">
        <f aca="false">IF(A148="","",N(AQ147)+N(AA148))</f>
        <v/>
      </c>
      <c r="AR148" s="18" t="str">
        <f aca="false">IF(AQ148="","",MAX(0,MAX($AQ$8:AQ148))-AQ148)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3"/>
      <c r="M149" s="13"/>
      <c r="N149" s="13"/>
      <c r="O149" s="14" t="str">
        <f aca="false">IF(OR(L149="",L149=0),"",(1-M149)/L149)</f>
        <v/>
      </c>
      <c r="P149" s="15"/>
      <c r="Q149" s="12"/>
      <c r="R149" s="12"/>
      <c r="S149" s="13"/>
      <c r="T149" s="16" t="str">
        <f aca="false">IF(OR(S149="",L149=""),"",L149/(1-M149)-S149)</f>
        <v/>
      </c>
      <c r="U149" s="16" t="str">
        <f aca="false">IF(OR(L149="",P149=""),"",L149*(P149-1)-N149)</f>
        <v/>
      </c>
      <c r="V149" s="13"/>
      <c r="W149" s="17"/>
      <c r="X149" s="12"/>
      <c r="Y149" s="12"/>
      <c r="Z149" s="12"/>
      <c r="AA149" s="18" t="str">
        <f aca="false">IF(K149&lt;&gt;"ВИРТУАЛЬНЫЙ ВЫБОР","",IF(Z149="✅ ЗАШЛО",W149*(P149-1),IF(Z149="❌ НЕ ЗАШЛО",-W149,IF(Z149="½ ЗАШЛО",W149*(P149-1)/2,IF(Z149="½ НЕ ЗАШЛО",-W149/2,IF(Z149="ВОЗВРАТ",0,""))))))</f>
        <v/>
      </c>
      <c r="AB149" s="18" t="str">
        <f aca="false">IF(AND(K149="ВИРТУАЛЬНЫЙ ВЫБОР",OR(Z149="✅ ЗАШЛО",Z149="❌ НЕ ЗАШЛО",Z149="½ ЗАШЛО",Z149="½ НЕ ЗАШЛО",Z149="ВОЗВРАТ")),W149,"")</f>
        <v/>
      </c>
      <c r="AC149" s="15"/>
      <c r="AD149" s="16" t="str">
        <f aca="false">IF(OR(AC149="",P149=""),"",P149/AC149-1)</f>
        <v/>
      </c>
      <c r="AE149" s="19" t="str">
        <f aca="false">IF(AND(M149=0,OR(Z149="✅ ЗАШЛО",Z149="❌ НЕ ЗАШЛО"),L149&lt;&gt;""),(L149-IF(Z149="✅ ЗАШЛО",1,0))^2,"")</f>
        <v/>
      </c>
      <c r="AF149" s="15"/>
      <c r="AG149" s="15"/>
      <c r="AH149" s="13"/>
      <c r="AI149" s="13"/>
      <c r="AJ149" s="13"/>
      <c r="AK149" s="20" t="str">
        <f aca="false">IF(AH149="","",IF(ABS(AH149+AI149+AJ149-1)&lt;0.000001,"OK","ОШИБКА"))</f>
        <v/>
      </c>
      <c r="AL149" s="13"/>
      <c r="AM149" s="12"/>
      <c r="AN149" s="12"/>
      <c r="AO149" s="12"/>
      <c r="AP149" s="12"/>
      <c r="AQ149" s="18" t="str">
        <f aca="false">IF(A149="","",N(AQ148)+N(AA149))</f>
        <v/>
      </c>
      <c r="AR149" s="18" t="str">
        <f aca="false">IF(AQ149="","",MAX(0,MAX($AQ$8:AQ149))-AQ149)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3"/>
      <c r="M150" s="13"/>
      <c r="N150" s="13"/>
      <c r="O150" s="14" t="str">
        <f aca="false">IF(OR(L150="",L150=0),"",(1-M150)/L150)</f>
        <v/>
      </c>
      <c r="P150" s="15"/>
      <c r="Q150" s="12"/>
      <c r="R150" s="12"/>
      <c r="S150" s="13"/>
      <c r="T150" s="16" t="str">
        <f aca="false">IF(OR(S150="",L150=""),"",L150/(1-M150)-S150)</f>
        <v/>
      </c>
      <c r="U150" s="16" t="str">
        <f aca="false">IF(OR(L150="",P150=""),"",L150*(P150-1)-N150)</f>
        <v/>
      </c>
      <c r="V150" s="13"/>
      <c r="W150" s="17"/>
      <c r="X150" s="12"/>
      <c r="Y150" s="12"/>
      <c r="Z150" s="12"/>
      <c r="AA150" s="18" t="str">
        <f aca="false">IF(K150&lt;&gt;"ВИРТУАЛЬНЫЙ ВЫБОР","",IF(Z150="✅ ЗАШЛО",W150*(P150-1),IF(Z150="❌ НЕ ЗАШЛО",-W150,IF(Z150="½ ЗАШЛО",W150*(P150-1)/2,IF(Z150="½ НЕ ЗАШЛО",-W150/2,IF(Z150="ВОЗВРАТ",0,""))))))</f>
        <v/>
      </c>
      <c r="AB150" s="18" t="str">
        <f aca="false">IF(AND(K150="ВИРТУАЛЬНЫЙ ВЫБОР",OR(Z150="✅ ЗАШЛО",Z150="❌ НЕ ЗАШЛО",Z150="½ ЗАШЛО",Z150="½ НЕ ЗАШЛО",Z150="ВОЗВРАТ")),W150,"")</f>
        <v/>
      </c>
      <c r="AC150" s="15"/>
      <c r="AD150" s="16" t="str">
        <f aca="false">IF(OR(AC150="",P150=""),"",P150/AC150-1)</f>
        <v/>
      </c>
      <c r="AE150" s="19" t="str">
        <f aca="false">IF(AND(M150=0,OR(Z150="✅ ЗАШЛО",Z150="❌ НЕ ЗАШЛО"),L150&lt;&gt;""),(L150-IF(Z150="✅ ЗАШЛО",1,0))^2,"")</f>
        <v/>
      </c>
      <c r="AF150" s="15"/>
      <c r="AG150" s="15"/>
      <c r="AH150" s="13"/>
      <c r="AI150" s="13"/>
      <c r="AJ150" s="13"/>
      <c r="AK150" s="20" t="str">
        <f aca="false">IF(AH150="","",IF(ABS(AH150+AI150+AJ150-1)&lt;0.000001,"OK","ОШИБКА"))</f>
        <v/>
      </c>
      <c r="AL150" s="13"/>
      <c r="AM150" s="12"/>
      <c r="AN150" s="12"/>
      <c r="AO150" s="12"/>
      <c r="AP150" s="12"/>
      <c r="AQ150" s="18" t="str">
        <f aca="false">IF(A150="","",N(AQ149)+N(AA150))</f>
        <v/>
      </c>
      <c r="AR150" s="18" t="str">
        <f aca="false">IF(AQ150="","",MAX(0,MAX($AQ$8:AQ150))-AQ150)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3"/>
      <c r="M151" s="13"/>
      <c r="N151" s="13"/>
      <c r="O151" s="14" t="str">
        <f aca="false">IF(OR(L151="",L151=0),"",(1-M151)/L151)</f>
        <v/>
      </c>
      <c r="P151" s="15"/>
      <c r="Q151" s="12"/>
      <c r="R151" s="12"/>
      <c r="S151" s="13"/>
      <c r="T151" s="16" t="str">
        <f aca="false">IF(OR(S151="",L151=""),"",L151/(1-M151)-S151)</f>
        <v/>
      </c>
      <c r="U151" s="16" t="str">
        <f aca="false">IF(OR(L151="",P151=""),"",L151*(P151-1)-N151)</f>
        <v/>
      </c>
      <c r="V151" s="13"/>
      <c r="W151" s="17"/>
      <c r="X151" s="12"/>
      <c r="Y151" s="12"/>
      <c r="Z151" s="12"/>
      <c r="AA151" s="18" t="str">
        <f aca="false">IF(K151&lt;&gt;"ВИРТУАЛЬНЫЙ ВЫБОР","",IF(Z151="✅ ЗАШЛО",W151*(P151-1),IF(Z151="❌ НЕ ЗАШЛО",-W151,IF(Z151="½ ЗАШЛО",W151*(P151-1)/2,IF(Z151="½ НЕ ЗАШЛО",-W151/2,IF(Z151="ВОЗВРАТ",0,""))))))</f>
        <v/>
      </c>
      <c r="AB151" s="18" t="str">
        <f aca="false">IF(AND(K151="ВИРТУАЛЬНЫЙ ВЫБОР",OR(Z151="✅ ЗАШЛО",Z151="❌ НЕ ЗАШЛО",Z151="½ ЗАШЛО",Z151="½ НЕ ЗАШЛО",Z151="ВОЗВРАТ")),W151,"")</f>
        <v/>
      </c>
      <c r="AC151" s="15"/>
      <c r="AD151" s="16" t="str">
        <f aca="false">IF(OR(AC151="",P151=""),"",P151/AC151-1)</f>
        <v/>
      </c>
      <c r="AE151" s="19" t="str">
        <f aca="false">IF(AND(M151=0,OR(Z151="✅ ЗАШЛО",Z151="❌ НЕ ЗАШЛО"),L151&lt;&gt;""),(L151-IF(Z151="✅ ЗАШЛО",1,0))^2,"")</f>
        <v/>
      </c>
      <c r="AF151" s="15"/>
      <c r="AG151" s="15"/>
      <c r="AH151" s="13"/>
      <c r="AI151" s="13"/>
      <c r="AJ151" s="13"/>
      <c r="AK151" s="20" t="str">
        <f aca="false">IF(AH151="","",IF(ABS(AH151+AI151+AJ151-1)&lt;0.000001,"OK","ОШИБКА"))</f>
        <v/>
      </c>
      <c r="AL151" s="13"/>
      <c r="AM151" s="12"/>
      <c r="AN151" s="12"/>
      <c r="AO151" s="12"/>
      <c r="AP151" s="12"/>
      <c r="AQ151" s="18" t="str">
        <f aca="false">IF(A151="","",N(AQ150)+N(AA151))</f>
        <v/>
      </c>
      <c r="AR151" s="18" t="str">
        <f aca="false">IF(AQ151="","",MAX(0,MAX($AQ$8:AQ151))-AQ151)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3"/>
      <c r="M152" s="13"/>
      <c r="N152" s="13"/>
      <c r="O152" s="14" t="str">
        <f aca="false">IF(OR(L152="",L152=0),"",(1-M152)/L152)</f>
        <v/>
      </c>
      <c r="P152" s="15"/>
      <c r="Q152" s="12"/>
      <c r="R152" s="12"/>
      <c r="S152" s="13"/>
      <c r="T152" s="16" t="str">
        <f aca="false">IF(OR(S152="",L152=""),"",L152/(1-M152)-S152)</f>
        <v/>
      </c>
      <c r="U152" s="16" t="str">
        <f aca="false">IF(OR(L152="",P152=""),"",L152*(P152-1)-N152)</f>
        <v/>
      </c>
      <c r="V152" s="13"/>
      <c r="W152" s="17"/>
      <c r="X152" s="12"/>
      <c r="Y152" s="12"/>
      <c r="Z152" s="12"/>
      <c r="AA152" s="18" t="str">
        <f aca="false">IF(K152&lt;&gt;"ВИРТУАЛЬНЫЙ ВЫБОР","",IF(Z152="✅ ЗАШЛО",W152*(P152-1),IF(Z152="❌ НЕ ЗАШЛО",-W152,IF(Z152="½ ЗАШЛО",W152*(P152-1)/2,IF(Z152="½ НЕ ЗАШЛО",-W152/2,IF(Z152="ВОЗВРАТ",0,""))))))</f>
        <v/>
      </c>
      <c r="AB152" s="18" t="str">
        <f aca="false">IF(AND(K152="ВИРТУАЛЬНЫЙ ВЫБОР",OR(Z152="✅ ЗАШЛО",Z152="❌ НЕ ЗАШЛО",Z152="½ ЗАШЛО",Z152="½ НЕ ЗАШЛО",Z152="ВОЗВРАТ")),W152,"")</f>
        <v/>
      </c>
      <c r="AC152" s="15"/>
      <c r="AD152" s="16" t="str">
        <f aca="false">IF(OR(AC152="",P152=""),"",P152/AC152-1)</f>
        <v/>
      </c>
      <c r="AE152" s="19" t="str">
        <f aca="false">IF(AND(M152=0,OR(Z152="✅ ЗАШЛО",Z152="❌ НЕ ЗАШЛО"),L152&lt;&gt;""),(L152-IF(Z152="✅ ЗАШЛО",1,0))^2,"")</f>
        <v/>
      </c>
      <c r="AF152" s="15"/>
      <c r="AG152" s="15"/>
      <c r="AH152" s="13"/>
      <c r="AI152" s="13"/>
      <c r="AJ152" s="13"/>
      <c r="AK152" s="20" t="str">
        <f aca="false">IF(AH152="","",IF(ABS(AH152+AI152+AJ152-1)&lt;0.000001,"OK","ОШИБКА"))</f>
        <v/>
      </c>
      <c r="AL152" s="13"/>
      <c r="AM152" s="12"/>
      <c r="AN152" s="12"/>
      <c r="AO152" s="12"/>
      <c r="AP152" s="12"/>
      <c r="AQ152" s="18" t="str">
        <f aca="false">IF(A152="","",N(AQ151)+N(AA152))</f>
        <v/>
      </c>
      <c r="AR152" s="18" t="str">
        <f aca="false">IF(AQ152="","",MAX(0,MAX($AQ$8:AQ152))-AQ152)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3"/>
      <c r="M153" s="13"/>
      <c r="N153" s="13"/>
      <c r="O153" s="14" t="str">
        <f aca="false">IF(OR(L153="",L153=0),"",(1-M153)/L153)</f>
        <v/>
      </c>
      <c r="P153" s="15"/>
      <c r="Q153" s="12"/>
      <c r="R153" s="12"/>
      <c r="S153" s="13"/>
      <c r="T153" s="16" t="str">
        <f aca="false">IF(OR(S153="",L153=""),"",L153/(1-M153)-S153)</f>
        <v/>
      </c>
      <c r="U153" s="16" t="str">
        <f aca="false">IF(OR(L153="",P153=""),"",L153*(P153-1)-N153)</f>
        <v/>
      </c>
      <c r="V153" s="13"/>
      <c r="W153" s="17"/>
      <c r="X153" s="12"/>
      <c r="Y153" s="12"/>
      <c r="Z153" s="12"/>
      <c r="AA153" s="18" t="str">
        <f aca="false">IF(K153&lt;&gt;"ВИРТУАЛЬНЫЙ ВЫБОР","",IF(Z153="✅ ЗАШЛО",W153*(P153-1),IF(Z153="❌ НЕ ЗАШЛО",-W153,IF(Z153="½ ЗАШЛО",W153*(P153-1)/2,IF(Z153="½ НЕ ЗАШЛО",-W153/2,IF(Z153="ВОЗВРАТ",0,""))))))</f>
        <v/>
      </c>
      <c r="AB153" s="18" t="str">
        <f aca="false">IF(AND(K153="ВИРТУАЛЬНЫЙ ВЫБОР",OR(Z153="✅ ЗАШЛО",Z153="❌ НЕ ЗАШЛО",Z153="½ ЗАШЛО",Z153="½ НЕ ЗАШЛО",Z153="ВОЗВРАТ")),W153,"")</f>
        <v/>
      </c>
      <c r="AC153" s="15"/>
      <c r="AD153" s="16" t="str">
        <f aca="false">IF(OR(AC153="",P153=""),"",P153/AC153-1)</f>
        <v/>
      </c>
      <c r="AE153" s="19" t="str">
        <f aca="false">IF(AND(M153=0,OR(Z153="✅ ЗАШЛО",Z153="❌ НЕ ЗАШЛО"),L153&lt;&gt;""),(L153-IF(Z153="✅ ЗАШЛО",1,0))^2,"")</f>
        <v/>
      </c>
      <c r="AF153" s="15"/>
      <c r="AG153" s="15"/>
      <c r="AH153" s="13"/>
      <c r="AI153" s="13"/>
      <c r="AJ153" s="13"/>
      <c r="AK153" s="20" t="str">
        <f aca="false">IF(AH153="","",IF(ABS(AH153+AI153+AJ153-1)&lt;0.000001,"OK","ОШИБКА"))</f>
        <v/>
      </c>
      <c r="AL153" s="13"/>
      <c r="AM153" s="12"/>
      <c r="AN153" s="12"/>
      <c r="AO153" s="12"/>
      <c r="AP153" s="12"/>
      <c r="AQ153" s="18" t="str">
        <f aca="false">IF(A153="","",N(AQ152)+N(AA153))</f>
        <v/>
      </c>
      <c r="AR153" s="18" t="str">
        <f aca="false">IF(AQ153="","",MAX(0,MAX($AQ$8:AQ153))-AQ153)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3"/>
      <c r="M154" s="13"/>
      <c r="N154" s="13"/>
      <c r="O154" s="14" t="str">
        <f aca="false">IF(OR(L154="",L154=0),"",(1-M154)/L154)</f>
        <v/>
      </c>
      <c r="P154" s="15"/>
      <c r="Q154" s="12"/>
      <c r="R154" s="12"/>
      <c r="S154" s="13"/>
      <c r="T154" s="16" t="str">
        <f aca="false">IF(OR(S154="",L154=""),"",L154/(1-M154)-S154)</f>
        <v/>
      </c>
      <c r="U154" s="16" t="str">
        <f aca="false">IF(OR(L154="",P154=""),"",L154*(P154-1)-N154)</f>
        <v/>
      </c>
      <c r="V154" s="13"/>
      <c r="W154" s="17"/>
      <c r="X154" s="12"/>
      <c r="Y154" s="12"/>
      <c r="Z154" s="12"/>
      <c r="AA154" s="18" t="str">
        <f aca="false">IF(K154&lt;&gt;"ВИРТУАЛЬНЫЙ ВЫБОР","",IF(Z154="✅ ЗАШЛО",W154*(P154-1),IF(Z154="❌ НЕ ЗАШЛО",-W154,IF(Z154="½ ЗАШЛО",W154*(P154-1)/2,IF(Z154="½ НЕ ЗАШЛО",-W154/2,IF(Z154="ВОЗВРАТ",0,""))))))</f>
        <v/>
      </c>
      <c r="AB154" s="18" t="str">
        <f aca="false">IF(AND(K154="ВИРТУАЛЬНЫЙ ВЫБОР",OR(Z154="✅ ЗАШЛО",Z154="❌ НЕ ЗАШЛО",Z154="½ ЗАШЛО",Z154="½ НЕ ЗАШЛО",Z154="ВОЗВРАТ")),W154,"")</f>
        <v/>
      </c>
      <c r="AC154" s="15"/>
      <c r="AD154" s="16" t="str">
        <f aca="false">IF(OR(AC154="",P154=""),"",P154/AC154-1)</f>
        <v/>
      </c>
      <c r="AE154" s="19" t="str">
        <f aca="false">IF(AND(M154=0,OR(Z154="✅ ЗАШЛО",Z154="❌ НЕ ЗАШЛО"),L154&lt;&gt;""),(L154-IF(Z154="✅ ЗАШЛО",1,0))^2,"")</f>
        <v/>
      </c>
      <c r="AF154" s="15"/>
      <c r="AG154" s="15"/>
      <c r="AH154" s="13"/>
      <c r="AI154" s="13"/>
      <c r="AJ154" s="13"/>
      <c r="AK154" s="20" t="str">
        <f aca="false">IF(AH154="","",IF(ABS(AH154+AI154+AJ154-1)&lt;0.000001,"OK","ОШИБКА"))</f>
        <v/>
      </c>
      <c r="AL154" s="13"/>
      <c r="AM154" s="12"/>
      <c r="AN154" s="12"/>
      <c r="AO154" s="12"/>
      <c r="AP154" s="12"/>
      <c r="AQ154" s="18" t="str">
        <f aca="false">IF(A154="","",N(AQ153)+N(AA154))</f>
        <v/>
      </c>
      <c r="AR154" s="18" t="str">
        <f aca="false">IF(AQ154="","",MAX(0,MAX($AQ$8:AQ154))-AQ154)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3"/>
      <c r="M155" s="13"/>
      <c r="N155" s="13"/>
      <c r="O155" s="14" t="str">
        <f aca="false">IF(OR(L155="",L155=0),"",(1-M155)/L155)</f>
        <v/>
      </c>
      <c r="P155" s="15"/>
      <c r="Q155" s="12"/>
      <c r="R155" s="12"/>
      <c r="S155" s="13"/>
      <c r="T155" s="16" t="str">
        <f aca="false">IF(OR(S155="",L155=""),"",L155/(1-M155)-S155)</f>
        <v/>
      </c>
      <c r="U155" s="16" t="str">
        <f aca="false">IF(OR(L155="",P155=""),"",L155*(P155-1)-N155)</f>
        <v/>
      </c>
      <c r="V155" s="13"/>
      <c r="W155" s="17"/>
      <c r="X155" s="12"/>
      <c r="Y155" s="12"/>
      <c r="Z155" s="12"/>
      <c r="AA155" s="18" t="str">
        <f aca="false">IF(K155&lt;&gt;"ВИРТУАЛЬНЫЙ ВЫБОР","",IF(Z155="✅ ЗАШЛО",W155*(P155-1),IF(Z155="❌ НЕ ЗАШЛО",-W155,IF(Z155="½ ЗАШЛО",W155*(P155-1)/2,IF(Z155="½ НЕ ЗАШЛО",-W155/2,IF(Z155="ВОЗВРАТ",0,""))))))</f>
        <v/>
      </c>
      <c r="AB155" s="18" t="str">
        <f aca="false">IF(AND(K155="ВИРТУАЛЬНЫЙ ВЫБОР",OR(Z155="✅ ЗАШЛО",Z155="❌ НЕ ЗАШЛО",Z155="½ ЗАШЛО",Z155="½ НЕ ЗАШЛО",Z155="ВОЗВРАТ")),W155,"")</f>
        <v/>
      </c>
      <c r="AC155" s="15"/>
      <c r="AD155" s="16" t="str">
        <f aca="false">IF(OR(AC155="",P155=""),"",P155/AC155-1)</f>
        <v/>
      </c>
      <c r="AE155" s="19" t="str">
        <f aca="false">IF(AND(M155=0,OR(Z155="✅ ЗАШЛО",Z155="❌ НЕ ЗАШЛО"),L155&lt;&gt;""),(L155-IF(Z155="✅ ЗАШЛО",1,0))^2,"")</f>
        <v/>
      </c>
      <c r="AF155" s="15"/>
      <c r="AG155" s="15"/>
      <c r="AH155" s="13"/>
      <c r="AI155" s="13"/>
      <c r="AJ155" s="13"/>
      <c r="AK155" s="20" t="str">
        <f aca="false">IF(AH155="","",IF(ABS(AH155+AI155+AJ155-1)&lt;0.000001,"OK","ОШИБКА"))</f>
        <v/>
      </c>
      <c r="AL155" s="13"/>
      <c r="AM155" s="12"/>
      <c r="AN155" s="12"/>
      <c r="AO155" s="12"/>
      <c r="AP155" s="12"/>
      <c r="AQ155" s="18" t="str">
        <f aca="false">IF(A155="","",N(AQ154)+N(AA155))</f>
        <v/>
      </c>
      <c r="AR155" s="18" t="str">
        <f aca="false">IF(AQ155="","",MAX(0,MAX($AQ$8:AQ155))-AQ155)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3"/>
      <c r="M156" s="13"/>
      <c r="N156" s="13"/>
      <c r="O156" s="14" t="str">
        <f aca="false">IF(OR(L156="",L156=0),"",(1-M156)/L156)</f>
        <v/>
      </c>
      <c r="P156" s="15"/>
      <c r="Q156" s="12"/>
      <c r="R156" s="12"/>
      <c r="S156" s="13"/>
      <c r="T156" s="16" t="str">
        <f aca="false">IF(OR(S156="",L156=""),"",L156/(1-M156)-S156)</f>
        <v/>
      </c>
      <c r="U156" s="16" t="str">
        <f aca="false">IF(OR(L156="",P156=""),"",L156*(P156-1)-N156)</f>
        <v/>
      </c>
      <c r="V156" s="13"/>
      <c r="W156" s="17"/>
      <c r="X156" s="12"/>
      <c r="Y156" s="12"/>
      <c r="Z156" s="12"/>
      <c r="AA156" s="18" t="str">
        <f aca="false">IF(K156&lt;&gt;"ВИРТУАЛЬНЫЙ ВЫБОР","",IF(Z156="✅ ЗАШЛО",W156*(P156-1),IF(Z156="❌ НЕ ЗАШЛО",-W156,IF(Z156="½ ЗАШЛО",W156*(P156-1)/2,IF(Z156="½ НЕ ЗАШЛО",-W156/2,IF(Z156="ВОЗВРАТ",0,""))))))</f>
        <v/>
      </c>
      <c r="AB156" s="18" t="str">
        <f aca="false">IF(AND(K156="ВИРТУАЛЬНЫЙ ВЫБОР",OR(Z156="✅ ЗАШЛО",Z156="❌ НЕ ЗАШЛО",Z156="½ ЗАШЛО",Z156="½ НЕ ЗАШЛО",Z156="ВОЗВРАТ")),W156,"")</f>
        <v/>
      </c>
      <c r="AC156" s="15"/>
      <c r="AD156" s="16" t="str">
        <f aca="false">IF(OR(AC156="",P156=""),"",P156/AC156-1)</f>
        <v/>
      </c>
      <c r="AE156" s="19" t="str">
        <f aca="false">IF(AND(M156=0,OR(Z156="✅ ЗАШЛО",Z156="❌ НЕ ЗАШЛО"),L156&lt;&gt;""),(L156-IF(Z156="✅ ЗАШЛО",1,0))^2,"")</f>
        <v/>
      </c>
      <c r="AF156" s="15"/>
      <c r="AG156" s="15"/>
      <c r="AH156" s="13"/>
      <c r="AI156" s="13"/>
      <c r="AJ156" s="13"/>
      <c r="AK156" s="20" t="str">
        <f aca="false">IF(AH156="","",IF(ABS(AH156+AI156+AJ156-1)&lt;0.000001,"OK","ОШИБКА"))</f>
        <v/>
      </c>
      <c r="AL156" s="13"/>
      <c r="AM156" s="12"/>
      <c r="AN156" s="12"/>
      <c r="AO156" s="12"/>
      <c r="AP156" s="12"/>
      <c r="AQ156" s="18" t="str">
        <f aca="false">IF(A156="","",N(AQ155)+N(AA156))</f>
        <v/>
      </c>
      <c r="AR156" s="18" t="str">
        <f aca="false">IF(AQ156="","",MAX(0,MAX($AQ$8:AQ156))-AQ156)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3"/>
      <c r="M157" s="13"/>
      <c r="N157" s="13"/>
      <c r="O157" s="14" t="str">
        <f aca="false">IF(OR(L157="",L157=0),"",(1-M157)/L157)</f>
        <v/>
      </c>
      <c r="P157" s="15"/>
      <c r="Q157" s="12"/>
      <c r="R157" s="12"/>
      <c r="S157" s="13"/>
      <c r="T157" s="16" t="str">
        <f aca="false">IF(OR(S157="",L157=""),"",L157/(1-M157)-S157)</f>
        <v/>
      </c>
      <c r="U157" s="16" t="str">
        <f aca="false">IF(OR(L157="",P157=""),"",L157*(P157-1)-N157)</f>
        <v/>
      </c>
      <c r="V157" s="13"/>
      <c r="W157" s="17"/>
      <c r="X157" s="12"/>
      <c r="Y157" s="12"/>
      <c r="Z157" s="12"/>
      <c r="AA157" s="18" t="str">
        <f aca="false">IF(K157&lt;&gt;"ВИРТУАЛЬНЫЙ ВЫБОР","",IF(Z157="✅ ЗАШЛО",W157*(P157-1),IF(Z157="❌ НЕ ЗАШЛО",-W157,IF(Z157="½ ЗАШЛО",W157*(P157-1)/2,IF(Z157="½ НЕ ЗАШЛО",-W157/2,IF(Z157="ВОЗВРАТ",0,""))))))</f>
        <v/>
      </c>
      <c r="AB157" s="18" t="str">
        <f aca="false">IF(AND(K157="ВИРТУАЛЬНЫЙ ВЫБОР",OR(Z157="✅ ЗАШЛО",Z157="❌ НЕ ЗАШЛО",Z157="½ ЗАШЛО",Z157="½ НЕ ЗАШЛО",Z157="ВОЗВРАТ")),W157,"")</f>
        <v/>
      </c>
      <c r="AC157" s="15"/>
      <c r="AD157" s="16" t="str">
        <f aca="false">IF(OR(AC157="",P157=""),"",P157/AC157-1)</f>
        <v/>
      </c>
      <c r="AE157" s="19" t="str">
        <f aca="false">IF(AND(M157=0,OR(Z157="✅ ЗАШЛО",Z157="❌ НЕ ЗАШЛО"),L157&lt;&gt;""),(L157-IF(Z157="✅ ЗАШЛО",1,0))^2,"")</f>
        <v/>
      </c>
      <c r="AF157" s="15"/>
      <c r="AG157" s="15"/>
      <c r="AH157" s="13"/>
      <c r="AI157" s="13"/>
      <c r="AJ157" s="13"/>
      <c r="AK157" s="20" t="str">
        <f aca="false">IF(AH157="","",IF(ABS(AH157+AI157+AJ157-1)&lt;0.000001,"OK","ОШИБКА"))</f>
        <v/>
      </c>
      <c r="AL157" s="13"/>
      <c r="AM157" s="12"/>
      <c r="AN157" s="12"/>
      <c r="AO157" s="12"/>
      <c r="AP157" s="12"/>
      <c r="AQ157" s="18" t="str">
        <f aca="false">IF(A157="","",N(AQ156)+N(AA157))</f>
        <v/>
      </c>
      <c r="AR157" s="18" t="str">
        <f aca="false">IF(AQ157="","",MAX(0,MAX($AQ$8:AQ157))-AQ157)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3"/>
      <c r="M158" s="13"/>
      <c r="N158" s="13"/>
      <c r="O158" s="14" t="str">
        <f aca="false">IF(OR(L158="",L158=0),"",(1-M158)/L158)</f>
        <v/>
      </c>
      <c r="P158" s="15"/>
      <c r="Q158" s="12"/>
      <c r="R158" s="12"/>
      <c r="S158" s="13"/>
      <c r="T158" s="16" t="str">
        <f aca="false">IF(OR(S158="",L158=""),"",L158/(1-M158)-S158)</f>
        <v/>
      </c>
      <c r="U158" s="16" t="str">
        <f aca="false">IF(OR(L158="",P158=""),"",L158*(P158-1)-N158)</f>
        <v/>
      </c>
      <c r="V158" s="13"/>
      <c r="W158" s="17"/>
      <c r="X158" s="12"/>
      <c r="Y158" s="12"/>
      <c r="Z158" s="12"/>
      <c r="AA158" s="18" t="str">
        <f aca="false">IF(K158&lt;&gt;"ВИРТУАЛЬНЫЙ ВЫБОР","",IF(Z158="✅ ЗАШЛО",W158*(P158-1),IF(Z158="❌ НЕ ЗАШЛО",-W158,IF(Z158="½ ЗАШЛО",W158*(P158-1)/2,IF(Z158="½ НЕ ЗАШЛО",-W158/2,IF(Z158="ВОЗВРАТ",0,""))))))</f>
        <v/>
      </c>
      <c r="AB158" s="18" t="str">
        <f aca="false">IF(AND(K158="ВИРТУАЛЬНЫЙ ВЫБОР",OR(Z158="✅ ЗАШЛО",Z158="❌ НЕ ЗАШЛО",Z158="½ ЗАШЛО",Z158="½ НЕ ЗАШЛО",Z158="ВОЗВРАТ")),W158,"")</f>
        <v/>
      </c>
      <c r="AC158" s="15"/>
      <c r="AD158" s="16" t="str">
        <f aca="false">IF(OR(AC158="",P158=""),"",P158/AC158-1)</f>
        <v/>
      </c>
      <c r="AE158" s="19" t="str">
        <f aca="false">IF(AND(M158=0,OR(Z158="✅ ЗАШЛО",Z158="❌ НЕ ЗАШЛО"),L158&lt;&gt;""),(L158-IF(Z158="✅ ЗАШЛО",1,0))^2,"")</f>
        <v/>
      </c>
      <c r="AF158" s="15"/>
      <c r="AG158" s="15"/>
      <c r="AH158" s="13"/>
      <c r="AI158" s="13"/>
      <c r="AJ158" s="13"/>
      <c r="AK158" s="20" t="str">
        <f aca="false">IF(AH158="","",IF(ABS(AH158+AI158+AJ158-1)&lt;0.000001,"OK","ОШИБКА"))</f>
        <v/>
      </c>
      <c r="AL158" s="13"/>
      <c r="AM158" s="12"/>
      <c r="AN158" s="12"/>
      <c r="AO158" s="12"/>
      <c r="AP158" s="12"/>
      <c r="AQ158" s="18" t="str">
        <f aca="false">IF(A158="","",N(AQ157)+N(AA158))</f>
        <v/>
      </c>
      <c r="AR158" s="18" t="str">
        <f aca="false">IF(AQ158="","",MAX(0,MAX($AQ$8:AQ158))-AQ158)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3"/>
      <c r="M159" s="13"/>
      <c r="N159" s="13"/>
      <c r="O159" s="14" t="str">
        <f aca="false">IF(OR(L159="",L159=0),"",(1-M159)/L159)</f>
        <v/>
      </c>
      <c r="P159" s="15"/>
      <c r="Q159" s="12"/>
      <c r="R159" s="12"/>
      <c r="S159" s="13"/>
      <c r="T159" s="16" t="str">
        <f aca="false">IF(OR(S159="",L159=""),"",L159/(1-M159)-S159)</f>
        <v/>
      </c>
      <c r="U159" s="16" t="str">
        <f aca="false">IF(OR(L159="",P159=""),"",L159*(P159-1)-N159)</f>
        <v/>
      </c>
      <c r="V159" s="13"/>
      <c r="W159" s="17"/>
      <c r="X159" s="12"/>
      <c r="Y159" s="12"/>
      <c r="Z159" s="12"/>
      <c r="AA159" s="18" t="str">
        <f aca="false">IF(K159&lt;&gt;"ВИРТУАЛЬНЫЙ ВЫБОР","",IF(Z159="✅ ЗАШЛО",W159*(P159-1),IF(Z159="❌ НЕ ЗАШЛО",-W159,IF(Z159="½ ЗАШЛО",W159*(P159-1)/2,IF(Z159="½ НЕ ЗАШЛО",-W159/2,IF(Z159="ВОЗВРАТ",0,""))))))</f>
        <v/>
      </c>
      <c r="AB159" s="18" t="str">
        <f aca="false">IF(AND(K159="ВИРТУАЛЬНЫЙ ВЫБОР",OR(Z159="✅ ЗАШЛО",Z159="❌ НЕ ЗАШЛО",Z159="½ ЗАШЛО",Z159="½ НЕ ЗАШЛО",Z159="ВОЗВРАТ")),W159,"")</f>
        <v/>
      </c>
      <c r="AC159" s="15"/>
      <c r="AD159" s="16" t="str">
        <f aca="false">IF(OR(AC159="",P159=""),"",P159/AC159-1)</f>
        <v/>
      </c>
      <c r="AE159" s="19" t="str">
        <f aca="false">IF(AND(M159=0,OR(Z159="✅ ЗАШЛО",Z159="❌ НЕ ЗАШЛО"),L159&lt;&gt;""),(L159-IF(Z159="✅ ЗАШЛО",1,0))^2,"")</f>
        <v/>
      </c>
      <c r="AF159" s="15"/>
      <c r="AG159" s="15"/>
      <c r="AH159" s="13"/>
      <c r="AI159" s="13"/>
      <c r="AJ159" s="13"/>
      <c r="AK159" s="20" t="str">
        <f aca="false">IF(AH159="","",IF(ABS(AH159+AI159+AJ159-1)&lt;0.000001,"OK","ОШИБКА"))</f>
        <v/>
      </c>
      <c r="AL159" s="13"/>
      <c r="AM159" s="12"/>
      <c r="AN159" s="12"/>
      <c r="AO159" s="12"/>
      <c r="AP159" s="12"/>
      <c r="AQ159" s="18" t="str">
        <f aca="false">IF(A159="","",N(AQ158)+N(AA159))</f>
        <v/>
      </c>
      <c r="AR159" s="18" t="str">
        <f aca="false">IF(AQ159="","",MAX(0,MAX($AQ$8:AQ159))-AQ159)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3"/>
      <c r="M160" s="13"/>
      <c r="N160" s="13"/>
      <c r="O160" s="14" t="str">
        <f aca="false">IF(OR(L160="",L160=0),"",(1-M160)/L160)</f>
        <v/>
      </c>
      <c r="P160" s="15"/>
      <c r="Q160" s="12"/>
      <c r="R160" s="12"/>
      <c r="S160" s="13"/>
      <c r="T160" s="16" t="str">
        <f aca="false">IF(OR(S160="",L160=""),"",L160/(1-M160)-S160)</f>
        <v/>
      </c>
      <c r="U160" s="16" t="str">
        <f aca="false">IF(OR(L160="",P160=""),"",L160*(P160-1)-N160)</f>
        <v/>
      </c>
      <c r="V160" s="13"/>
      <c r="W160" s="17"/>
      <c r="X160" s="12"/>
      <c r="Y160" s="12"/>
      <c r="Z160" s="12"/>
      <c r="AA160" s="18" t="str">
        <f aca="false">IF(K160&lt;&gt;"ВИРТУАЛЬНЫЙ ВЫБОР","",IF(Z160="✅ ЗАШЛО",W160*(P160-1),IF(Z160="❌ НЕ ЗАШЛО",-W160,IF(Z160="½ ЗАШЛО",W160*(P160-1)/2,IF(Z160="½ НЕ ЗАШЛО",-W160/2,IF(Z160="ВОЗВРАТ",0,""))))))</f>
        <v/>
      </c>
      <c r="AB160" s="18" t="str">
        <f aca="false">IF(AND(K160="ВИРТУАЛЬНЫЙ ВЫБОР",OR(Z160="✅ ЗАШЛО",Z160="❌ НЕ ЗАШЛО",Z160="½ ЗАШЛО",Z160="½ НЕ ЗАШЛО",Z160="ВОЗВРАТ")),W160,"")</f>
        <v/>
      </c>
      <c r="AC160" s="15"/>
      <c r="AD160" s="16" t="str">
        <f aca="false">IF(OR(AC160="",P160=""),"",P160/AC160-1)</f>
        <v/>
      </c>
      <c r="AE160" s="19" t="str">
        <f aca="false">IF(AND(M160=0,OR(Z160="✅ ЗАШЛО",Z160="❌ НЕ ЗАШЛО"),L160&lt;&gt;""),(L160-IF(Z160="✅ ЗАШЛО",1,0))^2,"")</f>
        <v/>
      </c>
      <c r="AF160" s="15"/>
      <c r="AG160" s="15"/>
      <c r="AH160" s="13"/>
      <c r="AI160" s="13"/>
      <c r="AJ160" s="13"/>
      <c r="AK160" s="20" t="str">
        <f aca="false">IF(AH160="","",IF(ABS(AH160+AI160+AJ160-1)&lt;0.000001,"OK","ОШИБКА"))</f>
        <v/>
      </c>
      <c r="AL160" s="13"/>
      <c r="AM160" s="12"/>
      <c r="AN160" s="12"/>
      <c r="AO160" s="12"/>
      <c r="AP160" s="12"/>
      <c r="AQ160" s="18" t="str">
        <f aca="false">IF(A160="","",N(AQ159)+N(AA160))</f>
        <v/>
      </c>
      <c r="AR160" s="18" t="str">
        <f aca="false">IF(AQ160="","",MAX(0,MAX($AQ$8:AQ160))-AQ160)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3"/>
      <c r="M161" s="13"/>
      <c r="N161" s="13"/>
      <c r="O161" s="14" t="str">
        <f aca="false">IF(OR(L161="",L161=0),"",(1-M161)/L161)</f>
        <v/>
      </c>
      <c r="P161" s="15"/>
      <c r="Q161" s="12"/>
      <c r="R161" s="12"/>
      <c r="S161" s="13"/>
      <c r="T161" s="16" t="str">
        <f aca="false">IF(OR(S161="",L161=""),"",L161/(1-M161)-S161)</f>
        <v/>
      </c>
      <c r="U161" s="16" t="str">
        <f aca="false">IF(OR(L161="",P161=""),"",L161*(P161-1)-N161)</f>
        <v/>
      </c>
      <c r="V161" s="13"/>
      <c r="W161" s="17"/>
      <c r="X161" s="12"/>
      <c r="Y161" s="12"/>
      <c r="Z161" s="12"/>
      <c r="AA161" s="18" t="str">
        <f aca="false">IF(K161&lt;&gt;"ВИРТУАЛЬНЫЙ ВЫБОР","",IF(Z161="✅ ЗАШЛО",W161*(P161-1),IF(Z161="❌ НЕ ЗАШЛО",-W161,IF(Z161="½ ЗАШЛО",W161*(P161-1)/2,IF(Z161="½ НЕ ЗАШЛО",-W161/2,IF(Z161="ВОЗВРАТ",0,""))))))</f>
        <v/>
      </c>
      <c r="AB161" s="18" t="str">
        <f aca="false">IF(AND(K161="ВИРТУАЛЬНЫЙ ВЫБОР",OR(Z161="✅ ЗАШЛО",Z161="❌ НЕ ЗАШЛО",Z161="½ ЗАШЛО",Z161="½ НЕ ЗАШЛО",Z161="ВОЗВРАТ")),W161,"")</f>
        <v/>
      </c>
      <c r="AC161" s="15"/>
      <c r="AD161" s="16" t="str">
        <f aca="false">IF(OR(AC161="",P161=""),"",P161/AC161-1)</f>
        <v/>
      </c>
      <c r="AE161" s="19" t="str">
        <f aca="false">IF(AND(M161=0,OR(Z161="✅ ЗАШЛО",Z161="❌ НЕ ЗАШЛО"),L161&lt;&gt;""),(L161-IF(Z161="✅ ЗАШЛО",1,0))^2,"")</f>
        <v/>
      </c>
      <c r="AF161" s="15"/>
      <c r="AG161" s="15"/>
      <c r="AH161" s="13"/>
      <c r="AI161" s="13"/>
      <c r="AJ161" s="13"/>
      <c r="AK161" s="20" t="str">
        <f aca="false">IF(AH161="","",IF(ABS(AH161+AI161+AJ161-1)&lt;0.000001,"OK","ОШИБКА"))</f>
        <v/>
      </c>
      <c r="AL161" s="13"/>
      <c r="AM161" s="12"/>
      <c r="AN161" s="12"/>
      <c r="AO161" s="12"/>
      <c r="AP161" s="12"/>
      <c r="AQ161" s="18" t="str">
        <f aca="false">IF(A161="","",N(AQ160)+N(AA161))</f>
        <v/>
      </c>
      <c r="AR161" s="18" t="str">
        <f aca="false">IF(AQ161="","",MAX(0,MAX($AQ$8:AQ161))-AQ161)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3"/>
      <c r="M162" s="13"/>
      <c r="N162" s="13"/>
      <c r="O162" s="14" t="str">
        <f aca="false">IF(OR(L162="",L162=0),"",(1-M162)/L162)</f>
        <v/>
      </c>
      <c r="P162" s="15"/>
      <c r="Q162" s="12"/>
      <c r="R162" s="12"/>
      <c r="S162" s="13"/>
      <c r="T162" s="16" t="str">
        <f aca="false">IF(OR(S162="",L162=""),"",L162/(1-M162)-S162)</f>
        <v/>
      </c>
      <c r="U162" s="16" t="str">
        <f aca="false">IF(OR(L162="",P162=""),"",L162*(P162-1)-N162)</f>
        <v/>
      </c>
      <c r="V162" s="13"/>
      <c r="W162" s="17"/>
      <c r="X162" s="12"/>
      <c r="Y162" s="12"/>
      <c r="Z162" s="12"/>
      <c r="AA162" s="18" t="str">
        <f aca="false">IF(K162&lt;&gt;"ВИРТУАЛЬНЫЙ ВЫБОР","",IF(Z162="✅ ЗАШЛО",W162*(P162-1),IF(Z162="❌ НЕ ЗАШЛО",-W162,IF(Z162="½ ЗАШЛО",W162*(P162-1)/2,IF(Z162="½ НЕ ЗАШЛО",-W162/2,IF(Z162="ВОЗВРАТ",0,""))))))</f>
        <v/>
      </c>
      <c r="AB162" s="18" t="str">
        <f aca="false">IF(AND(K162="ВИРТУАЛЬНЫЙ ВЫБОР",OR(Z162="✅ ЗАШЛО",Z162="❌ НЕ ЗАШЛО",Z162="½ ЗАШЛО",Z162="½ НЕ ЗАШЛО",Z162="ВОЗВРАТ")),W162,"")</f>
        <v/>
      </c>
      <c r="AC162" s="15"/>
      <c r="AD162" s="16" t="str">
        <f aca="false">IF(OR(AC162="",P162=""),"",P162/AC162-1)</f>
        <v/>
      </c>
      <c r="AE162" s="19" t="str">
        <f aca="false">IF(AND(M162=0,OR(Z162="✅ ЗАШЛО",Z162="❌ НЕ ЗАШЛО"),L162&lt;&gt;""),(L162-IF(Z162="✅ ЗАШЛО",1,0))^2,"")</f>
        <v/>
      </c>
      <c r="AF162" s="15"/>
      <c r="AG162" s="15"/>
      <c r="AH162" s="13"/>
      <c r="AI162" s="13"/>
      <c r="AJ162" s="13"/>
      <c r="AK162" s="20" t="str">
        <f aca="false">IF(AH162="","",IF(ABS(AH162+AI162+AJ162-1)&lt;0.000001,"OK","ОШИБКА"))</f>
        <v/>
      </c>
      <c r="AL162" s="13"/>
      <c r="AM162" s="12"/>
      <c r="AN162" s="12"/>
      <c r="AO162" s="12"/>
      <c r="AP162" s="12"/>
      <c r="AQ162" s="18" t="str">
        <f aca="false">IF(A162="","",N(AQ161)+N(AA162))</f>
        <v/>
      </c>
      <c r="AR162" s="18" t="str">
        <f aca="false">IF(AQ162="","",MAX(0,MAX($AQ$8:AQ162))-AQ162)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3"/>
      <c r="M163" s="13"/>
      <c r="N163" s="13"/>
      <c r="O163" s="14" t="str">
        <f aca="false">IF(OR(L163="",L163=0),"",(1-M163)/L163)</f>
        <v/>
      </c>
      <c r="P163" s="15"/>
      <c r="Q163" s="12"/>
      <c r="R163" s="12"/>
      <c r="S163" s="13"/>
      <c r="T163" s="16" t="str">
        <f aca="false">IF(OR(S163="",L163=""),"",L163/(1-M163)-S163)</f>
        <v/>
      </c>
      <c r="U163" s="16" t="str">
        <f aca="false">IF(OR(L163="",P163=""),"",L163*(P163-1)-N163)</f>
        <v/>
      </c>
      <c r="V163" s="13"/>
      <c r="W163" s="17"/>
      <c r="X163" s="12"/>
      <c r="Y163" s="12"/>
      <c r="Z163" s="12"/>
      <c r="AA163" s="18" t="str">
        <f aca="false">IF(K163&lt;&gt;"ВИРТУАЛЬНЫЙ ВЫБОР","",IF(Z163="✅ ЗАШЛО",W163*(P163-1),IF(Z163="❌ НЕ ЗАШЛО",-W163,IF(Z163="½ ЗАШЛО",W163*(P163-1)/2,IF(Z163="½ НЕ ЗАШЛО",-W163/2,IF(Z163="ВОЗВРАТ",0,""))))))</f>
        <v/>
      </c>
      <c r="AB163" s="18" t="str">
        <f aca="false">IF(AND(K163="ВИРТУАЛЬНЫЙ ВЫБОР",OR(Z163="✅ ЗАШЛО",Z163="❌ НЕ ЗАШЛО",Z163="½ ЗАШЛО",Z163="½ НЕ ЗАШЛО",Z163="ВОЗВРАТ")),W163,"")</f>
        <v/>
      </c>
      <c r="AC163" s="15"/>
      <c r="AD163" s="16" t="str">
        <f aca="false">IF(OR(AC163="",P163=""),"",P163/AC163-1)</f>
        <v/>
      </c>
      <c r="AE163" s="19" t="str">
        <f aca="false">IF(AND(M163=0,OR(Z163="✅ ЗАШЛО",Z163="❌ НЕ ЗАШЛО"),L163&lt;&gt;""),(L163-IF(Z163="✅ ЗАШЛО",1,0))^2,"")</f>
        <v/>
      </c>
      <c r="AF163" s="15"/>
      <c r="AG163" s="15"/>
      <c r="AH163" s="13"/>
      <c r="AI163" s="13"/>
      <c r="AJ163" s="13"/>
      <c r="AK163" s="20" t="str">
        <f aca="false">IF(AH163="","",IF(ABS(AH163+AI163+AJ163-1)&lt;0.000001,"OK","ОШИБКА"))</f>
        <v/>
      </c>
      <c r="AL163" s="13"/>
      <c r="AM163" s="12"/>
      <c r="AN163" s="12"/>
      <c r="AO163" s="12"/>
      <c r="AP163" s="12"/>
      <c r="AQ163" s="18" t="str">
        <f aca="false">IF(A163="","",N(AQ162)+N(AA163))</f>
        <v/>
      </c>
      <c r="AR163" s="18" t="str">
        <f aca="false">IF(AQ163="","",MAX(0,MAX($AQ$8:AQ163))-AQ163)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3"/>
      <c r="M164" s="13"/>
      <c r="N164" s="13"/>
      <c r="O164" s="14" t="str">
        <f aca="false">IF(OR(L164="",L164=0),"",(1-M164)/L164)</f>
        <v/>
      </c>
      <c r="P164" s="15"/>
      <c r="Q164" s="12"/>
      <c r="R164" s="12"/>
      <c r="S164" s="13"/>
      <c r="T164" s="16" t="str">
        <f aca="false">IF(OR(S164="",L164=""),"",L164/(1-M164)-S164)</f>
        <v/>
      </c>
      <c r="U164" s="16" t="str">
        <f aca="false">IF(OR(L164="",P164=""),"",L164*(P164-1)-N164)</f>
        <v/>
      </c>
      <c r="V164" s="13"/>
      <c r="W164" s="17"/>
      <c r="X164" s="12"/>
      <c r="Y164" s="12"/>
      <c r="Z164" s="12"/>
      <c r="AA164" s="18" t="str">
        <f aca="false">IF(K164&lt;&gt;"ВИРТУАЛЬНЫЙ ВЫБОР","",IF(Z164="✅ ЗАШЛО",W164*(P164-1),IF(Z164="❌ НЕ ЗАШЛО",-W164,IF(Z164="½ ЗАШЛО",W164*(P164-1)/2,IF(Z164="½ НЕ ЗАШЛО",-W164/2,IF(Z164="ВОЗВРАТ",0,""))))))</f>
        <v/>
      </c>
      <c r="AB164" s="18" t="str">
        <f aca="false">IF(AND(K164="ВИРТУАЛЬНЫЙ ВЫБОР",OR(Z164="✅ ЗАШЛО",Z164="❌ НЕ ЗАШЛО",Z164="½ ЗАШЛО",Z164="½ НЕ ЗАШЛО",Z164="ВОЗВРАТ")),W164,"")</f>
        <v/>
      </c>
      <c r="AC164" s="15"/>
      <c r="AD164" s="16" t="str">
        <f aca="false">IF(OR(AC164="",P164=""),"",P164/AC164-1)</f>
        <v/>
      </c>
      <c r="AE164" s="19" t="str">
        <f aca="false">IF(AND(M164=0,OR(Z164="✅ ЗАШЛО",Z164="❌ НЕ ЗАШЛО"),L164&lt;&gt;""),(L164-IF(Z164="✅ ЗАШЛО",1,0))^2,"")</f>
        <v/>
      </c>
      <c r="AF164" s="15"/>
      <c r="AG164" s="15"/>
      <c r="AH164" s="13"/>
      <c r="AI164" s="13"/>
      <c r="AJ164" s="13"/>
      <c r="AK164" s="20" t="str">
        <f aca="false">IF(AH164="","",IF(ABS(AH164+AI164+AJ164-1)&lt;0.000001,"OK","ОШИБКА"))</f>
        <v/>
      </c>
      <c r="AL164" s="13"/>
      <c r="AM164" s="12"/>
      <c r="AN164" s="12"/>
      <c r="AO164" s="12"/>
      <c r="AP164" s="12"/>
      <c r="AQ164" s="18" t="str">
        <f aca="false">IF(A164="","",N(AQ163)+N(AA164))</f>
        <v/>
      </c>
      <c r="AR164" s="18" t="str">
        <f aca="false">IF(AQ164="","",MAX(0,MAX($AQ$8:AQ164))-AQ164)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3"/>
      <c r="M165" s="13"/>
      <c r="N165" s="13"/>
      <c r="O165" s="14" t="str">
        <f aca="false">IF(OR(L165="",L165=0),"",(1-M165)/L165)</f>
        <v/>
      </c>
      <c r="P165" s="15"/>
      <c r="Q165" s="12"/>
      <c r="R165" s="12"/>
      <c r="S165" s="13"/>
      <c r="T165" s="16" t="str">
        <f aca="false">IF(OR(S165="",L165=""),"",L165/(1-M165)-S165)</f>
        <v/>
      </c>
      <c r="U165" s="16" t="str">
        <f aca="false">IF(OR(L165="",P165=""),"",L165*(P165-1)-N165)</f>
        <v/>
      </c>
      <c r="V165" s="13"/>
      <c r="W165" s="17"/>
      <c r="X165" s="12"/>
      <c r="Y165" s="12"/>
      <c r="Z165" s="12"/>
      <c r="AA165" s="18" t="str">
        <f aca="false">IF(K165&lt;&gt;"ВИРТУАЛЬНЫЙ ВЫБОР","",IF(Z165="✅ ЗАШЛО",W165*(P165-1),IF(Z165="❌ НЕ ЗАШЛО",-W165,IF(Z165="½ ЗАШЛО",W165*(P165-1)/2,IF(Z165="½ НЕ ЗАШЛО",-W165/2,IF(Z165="ВОЗВРАТ",0,""))))))</f>
        <v/>
      </c>
      <c r="AB165" s="18" t="str">
        <f aca="false">IF(AND(K165="ВИРТУАЛЬНЫЙ ВЫБОР",OR(Z165="✅ ЗАШЛО",Z165="❌ НЕ ЗАШЛО",Z165="½ ЗАШЛО",Z165="½ НЕ ЗАШЛО",Z165="ВОЗВРАТ")),W165,"")</f>
        <v/>
      </c>
      <c r="AC165" s="15"/>
      <c r="AD165" s="16" t="str">
        <f aca="false">IF(OR(AC165="",P165=""),"",P165/AC165-1)</f>
        <v/>
      </c>
      <c r="AE165" s="19" t="str">
        <f aca="false">IF(AND(M165=0,OR(Z165="✅ ЗАШЛО",Z165="❌ НЕ ЗАШЛО"),L165&lt;&gt;""),(L165-IF(Z165="✅ ЗАШЛО",1,0))^2,"")</f>
        <v/>
      </c>
      <c r="AF165" s="15"/>
      <c r="AG165" s="15"/>
      <c r="AH165" s="13"/>
      <c r="AI165" s="13"/>
      <c r="AJ165" s="13"/>
      <c r="AK165" s="20" t="str">
        <f aca="false">IF(AH165="","",IF(ABS(AH165+AI165+AJ165-1)&lt;0.000001,"OK","ОШИБКА"))</f>
        <v/>
      </c>
      <c r="AL165" s="13"/>
      <c r="AM165" s="12"/>
      <c r="AN165" s="12"/>
      <c r="AO165" s="12"/>
      <c r="AP165" s="12"/>
      <c r="AQ165" s="18" t="str">
        <f aca="false">IF(A165="","",N(AQ164)+N(AA165))</f>
        <v/>
      </c>
      <c r="AR165" s="18" t="str">
        <f aca="false">IF(AQ165="","",MAX(0,MAX($AQ$8:AQ165))-AQ165)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3"/>
      <c r="M166" s="13"/>
      <c r="N166" s="13"/>
      <c r="O166" s="14" t="str">
        <f aca="false">IF(OR(L166="",L166=0),"",(1-M166)/L166)</f>
        <v/>
      </c>
      <c r="P166" s="15"/>
      <c r="Q166" s="12"/>
      <c r="R166" s="12"/>
      <c r="S166" s="13"/>
      <c r="T166" s="16" t="str">
        <f aca="false">IF(OR(S166="",L166=""),"",L166/(1-M166)-S166)</f>
        <v/>
      </c>
      <c r="U166" s="16" t="str">
        <f aca="false">IF(OR(L166="",P166=""),"",L166*(P166-1)-N166)</f>
        <v/>
      </c>
      <c r="V166" s="13"/>
      <c r="W166" s="17"/>
      <c r="X166" s="12"/>
      <c r="Y166" s="12"/>
      <c r="Z166" s="12"/>
      <c r="AA166" s="18" t="str">
        <f aca="false">IF(K166&lt;&gt;"ВИРТУАЛЬНЫЙ ВЫБОР","",IF(Z166="✅ ЗАШЛО",W166*(P166-1),IF(Z166="❌ НЕ ЗАШЛО",-W166,IF(Z166="½ ЗАШЛО",W166*(P166-1)/2,IF(Z166="½ НЕ ЗАШЛО",-W166/2,IF(Z166="ВОЗВРАТ",0,""))))))</f>
        <v/>
      </c>
      <c r="AB166" s="18" t="str">
        <f aca="false">IF(AND(K166="ВИРТУАЛЬНЫЙ ВЫБОР",OR(Z166="✅ ЗАШЛО",Z166="❌ НЕ ЗАШЛО",Z166="½ ЗАШЛО",Z166="½ НЕ ЗАШЛО",Z166="ВОЗВРАТ")),W166,"")</f>
        <v/>
      </c>
      <c r="AC166" s="15"/>
      <c r="AD166" s="16" t="str">
        <f aca="false">IF(OR(AC166="",P166=""),"",P166/AC166-1)</f>
        <v/>
      </c>
      <c r="AE166" s="19" t="str">
        <f aca="false">IF(AND(M166=0,OR(Z166="✅ ЗАШЛО",Z166="❌ НЕ ЗАШЛО"),L166&lt;&gt;""),(L166-IF(Z166="✅ ЗАШЛО",1,0))^2,"")</f>
        <v/>
      </c>
      <c r="AF166" s="15"/>
      <c r="AG166" s="15"/>
      <c r="AH166" s="13"/>
      <c r="AI166" s="13"/>
      <c r="AJ166" s="13"/>
      <c r="AK166" s="20" t="str">
        <f aca="false">IF(AH166="","",IF(ABS(AH166+AI166+AJ166-1)&lt;0.000001,"OK","ОШИБКА"))</f>
        <v/>
      </c>
      <c r="AL166" s="13"/>
      <c r="AM166" s="12"/>
      <c r="AN166" s="12"/>
      <c r="AO166" s="12"/>
      <c r="AP166" s="12"/>
      <c r="AQ166" s="18" t="str">
        <f aca="false">IF(A166="","",N(AQ165)+N(AA166))</f>
        <v/>
      </c>
      <c r="AR166" s="18" t="str">
        <f aca="false">IF(AQ166="","",MAX(0,MAX($AQ$8:AQ166))-AQ166)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3"/>
      <c r="M167" s="13"/>
      <c r="N167" s="13"/>
      <c r="O167" s="14" t="str">
        <f aca="false">IF(OR(L167="",L167=0),"",(1-M167)/L167)</f>
        <v/>
      </c>
      <c r="P167" s="15"/>
      <c r="Q167" s="12"/>
      <c r="R167" s="12"/>
      <c r="S167" s="13"/>
      <c r="T167" s="16" t="str">
        <f aca="false">IF(OR(S167="",L167=""),"",L167/(1-M167)-S167)</f>
        <v/>
      </c>
      <c r="U167" s="16" t="str">
        <f aca="false">IF(OR(L167="",P167=""),"",L167*(P167-1)-N167)</f>
        <v/>
      </c>
      <c r="V167" s="13"/>
      <c r="W167" s="17"/>
      <c r="X167" s="12"/>
      <c r="Y167" s="12"/>
      <c r="Z167" s="12"/>
      <c r="AA167" s="18" t="str">
        <f aca="false">IF(K167&lt;&gt;"ВИРТУАЛЬНЫЙ ВЫБОР","",IF(Z167="✅ ЗАШЛО",W167*(P167-1),IF(Z167="❌ НЕ ЗАШЛО",-W167,IF(Z167="½ ЗАШЛО",W167*(P167-1)/2,IF(Z167="½ НЕ ЗАШЛО",-W167/2,IF(Z167="ВОЗВРАТ",0,""))))))</f>
        <v/>
      </c>
      <c r="AB167" s="18" t="str">
        <f aca="false">IF(AND(K167="ВИРТУАЛЬНЫЙ ВЫБОР",OR(Z167="✅ ЗАШЛО",Z167="❌ НЕ ЗАШЛО",Z167="½ ЗАШЛО",Z167="½ НЕ ЗАШЛО",Z167="ВОЗВРАТ")),W167,"")</f>
        <v/>
      </c>
      <c r="AC167" s="15"/>
      <c r="AD167" s="16" t="str">
        <f aca="false">IF(OR(AC167="",P167=""),"",P167/AC167-1)</f>
        <v/>
      </c>
      <c r="AE167" s="19" t="str">
        <f aca="false">IF(AND(M167=0,OR(Z167="✅ ЗАШЛО",Z167="❌ НЕ ЗАШЛО"),L167&lt;&gt;""),(L167-IF(Z167="✅ ЗАШЛО",1,0))^2,"")</f>
        <v/>
      </c>
      <c r="AF167" s="15"/>
      <c r="AG167" s="15"/>
      <c r="AH167" s="13"/>
      <c r="AI167" s="13"/>
      <c r="AJ167" s="13"/>
      <c r="AK167" s="20" t="str">
        <f aca="false">IF(AH167="","",IF(ABS(AH167+AI167+AJ167-1)&lt;0.000001,"OK","ОШИБКА"))</f>
        <v/>
      </c>
      <c r="AL167" s="13"/>
      <c r="AM167" s="12"/>
      <c r="AN167" s="12"/>
      <c r="AO167" s="12"/>
      <c r="AP167" s="12"/>
      <c r="AQ167" s="18" t="str">
        <f aca="false">IF(A167="","",N(AQ166)+N(AA167))</f>
        <v/>
      </c>
      <c r="AR167" s="18" t="str">
        <f aca="false">IF(AQ167="","",MAX(0,MAX($AQ$8:AQ167))-AQ167)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3"/>
      <c r="M168" s="13"/>
      <c r="N168" s="13"/>
      <c r="O168" s="14" t="str">
        <f aca="false">IF(OR(L168="",L168=0),"",(1-M168)/L168)</f>
        <v/>
      </c>
      <c r="P168" s="15"/>
      <c r="Q168" s="12"/>
      <c r="R168" s="12"/>
      <c r="S168" s="13"/>
      <c r="T168" s="16" t="str">
        <f aca="false">IF(OR(S168="",L168=""),"",L168/(1-M168)-S168)</f>
        <v/>
      </c>
      <c r="U168" s="16" t="str">
        <f aca="false">IF(OR(L168="",P168=""),"",L168*(P168-1)-N168)</f>
        <v/>
      </c>
      <c r="V168" s="13"/>
      <c r="W168" s="17"/>
      <c r="X168" s="12"/>
      <c r="Y168" s="12"/>
      <c r="Z168" s="12"/>
      <c r="AA168" s="18" t="str">
        <f aca="false">IF(K168&lt;&gt;"ВИРТУАЛЬНЫЙ ВЫБОР","",IF(Z168="✅ ЗАШЛО",W168*(P168-1),IF(Z168="❌ НЕ ЗАШЛО",-W168,IF(Z168="½ ЗАШЛО",W168*(P168-1)/2,IF(Z168="½ НЕ ЗАШЛО",-W168/2,IF(Z168="ВОЗВРАТ",0,""))))))</f>
        <v/>
      </c>
      <c r="AB168" s="18" t="str">
        <f aca="false">IF(AND(K168="ВИРТУАЛЬНЫЙ ВЫБОР",OR(Z168="✅ ЗАШЛО",Z168="❌ НЕ ЗАШЛО",Z168="½ ЗАШЛО",Z168="½ НЕ ЗАШЛО",Z168="ВОЗВРАТ")),W168,"")</f>
        <v/>
      </c>
      <c r="AC168" s="15"/>
      <c r="AD168" s="16" t="str">
        <f aca="false">IF(OR(AC168="",P168=""),"",P168/AC168-1)</f>
        <v/>
      </c>
      <c r="AE168" s="19" t="str">
        <f aca="false">IF(AND(M168=0,OR(Z168="✅ ЗАШЛО",Z168="❌ НЕ ЗАШЛО"),L168&lt;&gt;""),(L168-IF(Z168="✅ ЗАШЛО",1,0))^2,"")</f>
        <v/>
      </c>
      <c r="AF168" s="15"/>
      <c r="AG168" s="15"/>
      <c r="AH168" s="13"/>
      <c r="AI168" s="13"/>
      <c r="AJ168" s="13"/>
      <c r="AK168" s="20" t="str">
        <f aca="false">IF(AH168="","",IF(ABS(AH168+AI168+AJ168-1)&lt;0.000001,"OK","ОШИБКА"))</f>
        <v/>
      </c>
      <c r="AL168" s="13"/>
      <c r="AM168" s="12"/>
      <c r="AN168" s="12"/>
      <c r="AO168" s="12"/>
      <c r="AP168" s="12"/>
      <c r="AQ168" s="18" t="str">
        <f aca="false">IF(A168="","",N(AQ167)+N(AA168))</f>
        <v/>
      </c>
      <c r="AR168" s="18" t="str">
        <f aca="false">IF(AQ168="","",MAX(0,MAX($AQ$8:AQ168))-AQ168)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3"/>
      <c r="M169" s="13"/>
      <c r="N169" s="13"/>
      <c r="O169" s="14" t="str">
        <f aca="false">IF(OR(L169="",L169=0),"",(1-M169)/L169)</f>
        <v/>
      </c>
      <c r="P169" s="15"/>
      <c r="Q169" s="12"/>
      <c r="R169" s="12"/>
      <c r="S169" s="13"/>
      <c r="T169" s="16" t="str">
        <f aca="false">IF(OR(S169="",L169=""),"",L169/(1-M169)-S169)</f>
        <v/>
      </c>
      <c r="U169" s="16" t="str">
        <f aca="false">IF(OR(L169="",P169=""),"",L169*(P169-1)-N169)</f>
        <v/>
      </c>
      <c r="V169" s="13"/>
      <c r="W169" s="17"/>
      <c r="X169" s="12"/>
      <c r="Y169" s="12"/>
      <c r="Z169" s="12"/>
      <c r="AA169" s="18" t="str">
        <f aca="false">IF(K169&lt;&gt;"ВИРТУАЛЬНЫЙ ВЫБОР","",IF(Z169="✅ ЗАШЛО",W169*(P169-1),IF(Z169="❌ НЕ ЗАШЛО",-W169,IF(Z169="½ ЗАШЛО",W169*(P169-1)/2,IF(Z169="½ НЕ ЗАШЛО",-W169/2,IF(Z169="ВОЗВРАТ",0,""))))))</f>
        <v/>
      </c>
      <c r="AB169" s="18" t="str">
        <f aca="false">IF(AND(K169="ВИРТУАЛЬНЫЙ ВЫБОР",OR(Z169="✅ ЗАШЛО",Z169="❌ НЕ ЗАШЛО",Z169="½ ЗАШЛО",Z169="½ НЕ ЗАШЛО",Z169="ВОЗВРАТ")),W169,"")</f>
        <v/>
      </c>
      <c r="AC169" s="15"/>
      <c r="AD169" s="16" t="str">
        <f aca="false">IF(OR(AC169="",P169=""),"",P169/AC169-1)</f>
        <v/>
      </c>
      <c r="AE169" s="19" t="str">
        <f aca="false">IF(AND(M169=0,OR(Z169="✅ ЗАШЛО",Z169="❌ НЕ ЗАШЛО"),L169&lt;&gt;""),(L169-IF(Z169="✅ ЗАШЛО",1,0))^2,"")</f>
        <v/>
      </c>
      <c r="AF169" s="15"/>
      <c r="AG169" s="15"/>
      <c r="AH169" s="13"/>
      <c r="AI169" s="13"/>
      <c r="AJ169" s="13"/>
      <c r="AK169" s="20" t="str">
        <f aca="false">IF(AH169="","",IF(ABS(AH169+AI169+AJ169-1)&lt;0.000001,"OK","ОШИБКА"))</f>
        <v/>
      </c>
      <c r="AL169" s="13"/>
      <c r="AM169" s="12"/>
      <c r="AN169" s="12"/>
      <c r="AO169" s="12"/>
      <c r="AP169" s="12"/>
      <c r="AQ169" s="18" t="str">
        <f aca="false">IF(A169="","",N(AQ168)+N(AA169))</f>
        <v/>
      </c>
      <c r="AR169" s="18" t="str">
        <f aca="false">IF(AQ169="","",MAX(0,MAX($AQ$8:AQ169))-AQ169)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3"/>
      <c r="M170" s="13"/>
      <c r="N170" s="13"/>
      <c r="O170" s="14" t="str">
        <f aca="false">IF(OR(L170="",L170=0),"",(1-M170)/L170)</f>
        <v/>
      </c>
      <c r="P170" s="15"/>
      <c r="Q170" s="12"/>
      <c r="R170" s="12"/>
      <c r="S170" s="13"/>
      <c r="T170" s="16" t="str">
        <f aca="false">IF(OR(S170="",L170=""),"",L170/(1-M170)-S170)</f>
        <v/>
      </c>
      <c r="U170" s="16" t="str">
        <f aca="false">IF(OR(L170="",P170=""),"",L170*(P170-1)-N170)</f>
        <v/>
      </c>
      <c r="V170" s="13"/>
      <c r="W170" s="17"/>
      <c r="X170" s="12"/>
      <c r="Y170" s="12"/>
      <c r="Z170" s="12"/>
      <c r="AA170" s="18" t="str">
        <f aca="false">IF(K170&lt;&gt;"ВИРТУАЛЬНЫЙ ВЫБОР","",IF(Z170="✅ ЗАШЛО",W170*(P170-1),IF(Z170="❌ НЕ ЗАШЛО",-W170,IF(Z170="½ ЗАШЛО",W170*(P170-1)/2,IF(Z170="½ НЕ ЗАШЛО",-W170/2,IF(Z170="ВОЗВРАТ",0,""))))))</f>
        <v/>
      </c>
      <c r="AB170" s="18" t="str">
        <f aca="false">IF(AND(K170="ВИРТУАЛЬНЫЙ ВЫБОР",OR(Z170="✅ ЗАШЛО",Z170="❌ НЕ ЗАШЛО",Z170="½ ЗАШЛО",Z170="½ НЕ ЗАШЛО",Z170="ВОЗВРАТ")),W170,"")</f>
        <v/>
      </c>
      <c r="AC170" s="15"/>
      <c r="AD170" s="16" t="str">
        <f aca="false">IF(OR(AC170="",P170=""),"",P170/AC170-1)</f>
        <v/>
      </c>
      <c r="AE170" s="19" t="str">
        <f aca="false">IF(AND(M170=0,OR(Z170="✅ ЗАШЛО",Z170="❌ НЕ ЗАШЛО"),L170&lt;&gt;""),(L170-IF(Z170="✅ ЗАШЛО",1,0))^2,"")</f>
        <v/>
      </c>
      <c r="AF170" s="15"/>
      <c r="AG170" s="15"/>
      <c r="AH170" s="13"/>
      <c r="AI170" s="13"/>
      <c r="AJ170" s="13"/>
      <c r="AK170" s="20" t="str">
        <f aca="false">IF(AH170="","",IF(ABS(AH170+AI170+AJ170-1)&lt;0.000001,"OK","ОШИБКА"))</f>
        <v/>
      </c>
      <c r="AL170" s="13"/>
      <c r="AM170" s="12"/>
      <c r="AN170" s="12"/>
      <c r="AO170" s="12"/>
      <c r="AP170" s="12"/>
      <c r="AQ170" s="18" t="str">
        <f aca="false">IF(A170="","",N(AQ169)+N(AA170))</f>
        <v/>
      </c>
      <c r="AR170" s="18" t="str">
        <f aca="false">IF(AQ170="","",MAX(0,MAX($AQ$8:AQ170))-AQ170)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3"/>
      <c r="M171" s="13"/>
      <c r="N171" s="13"/>
      <c r="O171" s="14" t="str">
        <f aca="false">IF(OR(L171="",L171=0),"",(1-M171)/L171)</f>
        <v/>
      </c>
      <c r="P171" s="15"/>
      <c r="Q171" s="12"/>
      <c r="R171" s="12"/>
      <c r="S171" s="13"/>
      <c r="T171" s="16" t="str">
        <f aca="false">IF(OR(S171="",L171=""),"",L171/(1-M171)-S171)</f>
        <v/>
      </c>
      <c r="U171" s="16" t="str">
        <f aca="false">IF(OR(L171="",P171=""),"",L171*(P171-1)-N171)</f>
        <v/>
      </c>
      <c r="V171" s="13"/>
      <c r="W171" s="17"/>
      <c r="X171" s="12"/>
      <c r="Y171" s="12"/>
      <c r="Z171" s="12"/>
      <c r="AA171" s="18" t="str">
        <f aca="false">IF(K171&lt;&gt;"ВИРТУАЛЬНЫЙ ВЫБОР","",IF(Z171="✅ ЗАШЛО",W171*(P171-1),IF(Z171="❌ НЕ ЗАШЛО",-W171,IF(Z171="½ ЗАШЛО",W171*(P171-1)/2,IF(Z171="½ НЕ ЗАШЛО",-W171/2,IF(Z171="ВОЗВРАТ",0,""))))))</f>
        <v/>
      </c>
      <c r="AB171" s="18" t="str">
        <f aca="false">IF(AND(K171="ВИРТУАЛЬНЫЙ ВЫБОР",OR(Z171="✅ ЗАШЛО",Z171="❌ НЕ ЗАШЛО",Z171="½ ЗАШЛО",Z171="½ НЕ ЗАШЛО",Z171="ВОЗВРАТ")),W171,"")</f>
        <v/>
      </c>
      <c r="AC171" s="15"/>
      <c r="AD171" s="16" t="str">
        <f aca="false">IF(OR(AC171="",P171=""),"",P171/AC171-1)</f>
        <v/>
      </c>
      <c r="AE171" s="19" t="str">
        <f aca="false">IF(AND(M171=0,OR(Z171="✅ ЗАШЛО",Z171="❌ НЕ ЗАШЛО"),L171&lt;&gt;""),(L171-IF(Z171="✅ ЗАШЛО",1,0))^2,"")</f>
        <v/>
      </c>
      <c r="AF171" s="15"/>
      <c r="AG171" s="15"/>
      <c r="AH171" s="13"/>
      <c r="AI171" s="13"/>
      <c r="AJ171" s="13"/>
      <c r="AK171" s="20" t="str">
        <f aca="false">IF(AH171="","",IF(ABS(AH171+AI171+AJ171-1)&lt;0.000001,"OK","ОШИБКА"))</f>
        <v/>
      </c>
      <c r="AL171" s="13"/>
      <c r="AM171" s="12"/>
      <c r="AN171" s="12"/>
      <c r="AO171" s="12"/>
      <c r="AP171" s="12"/>
      <c r="AQ171" s="18" t="str">
        <f aca="false">IF(A171="","",N(AQ170)+N(AA171))</f>
        <v/>
      </c>
      <c r="AR171" s="18" t="str">
        <f aca="false">IF(AQ171="","",MAX(0,MAX($AQ$8:AQ171))-AQ171)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3"/>
      <c r="M172" s="13"/>
      <c r="N172" s="13"/>
      <c r="O172" s="14" t="str">
        <f aca="false">IF(OR(L172="",L172=0),"",(1-M172)/L172)</f>
        <v/>
      </c>
      <c r="P172" s="15"/>
      <c r="Q172" s="12"/>
      <c r="R172" s="12"/>
      <c r="S172" s="13"/>
      <c r="T172" s="16" t="str">
        <f aca="false">IF(OR(S172="",L172=""),"",L172/(1-M172)-S172)</f>
        <v/>
      </c>
      <c r="U172" s="16" t="str">
        <f aca="false">IF(OR(L172="",P172=""),"",L172*(P172-1)-N172)</f>
        <v/>
      </c>
      <c r="V172" s="13"/>
      <c r="W172" s="17"/>
      <c r="X172" s="12"/>
      <c r="Y172" s="12"/>
      <c r="Z172" s="12"/>
      <c r="AA172" s="18" t="str">
        <f aca="false">IF(K172&lt;&gt;"ВИРТУАЛЬНЫЙ ВЫБОР","",IF(Z172="✅ ЗАШЛО",W172*(P172-1),IF(Z172="❌ НЕ ЗАШЛО",-W172,IF(Z172="½ ЗАШЛО",W172*(P172-1)/2,IF(Z172="½ НЕ ЗАШЛО",-W172/2,IF(Z172="ВОЗВРАТ",0,""))))))</f>
        <v/>
      </c>
      <c r="AB172" s="18" t="str">
        <f aca="false">IF(AND(K172="ВИРТУАЛЬНЫЙ ВЫБОР",OR(Z172="✅ ЗАШЛО",Z172="❌ НЕ ЗАШЛО",Z172="½ ЗАШЛО",Z172="½ НЕ ЗАШЛО",Z172="ВОЗВРАТ")),W172,"")</f>
        <v/>
      </c>
      <c r="AC172" s="15"/>
      <c r="AD172" s="16" t="str">
        <f aca="false">IF(OR(AC172="",P172=""),"",P172/AC172-1)</f>
        <v/>
      </c>
      <c r="AE172" s="19" t="str">
        <f aca="false">IF(AND(M172=0,OR(Z172="✅ ЗАШЛО",Z172="❌ НЕ ЗАШЛО"),L172&lt;&gt;""),(L172-IF(Z172="✅ ЗАШЛО",1,0))^2,"")</f>
        <v/>
      </c>
      <c r="AF172" s="15"/>
      <c r="AG172" s="15"/>
      <c r="AH172" s="13"/>
      <c r="AI172" s="13"/>
      <c r="AJ172" s="13"/>
      <c r="AK172" s="20" t="str">
        <f aca="false">IF(AH172="","",IF(ABS(AH172+AI172+AJ172-1)&lt;0.000001,"OK","ОШИБКА"))</f>
        <v/>
      </c>
      <c r="AL172" s="13"/>
      <c r="AM172" s="12"/>
      <c r="AN172" s="12"/>
      <c r="AO172" s="12"/>
      <c r="AP172" s="12"/>
      <c r="AQ172" s="18" t="str">
        <f aca="false">IF(A172="","",N(AQ171)+N(AA172))</f>
        <v/>
      </c>
      <c r="AR172" s="18" t="str">
        <f aca="false">IF(AQ172="","",MAX(0,MAX($AQ$8:AQ172))-AQ172)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3"/>
      <c r="M173" s="13"/>
      <c r="N173" s="13"/>
      <c r="O173" s="14" t="str">
        <f aca="false">IF(OR(L173="",L173=0),"",(1-M173)/L173)</f>
        <v/>
      </c>
      <c r="P173" s="15"/>
      <c r="Q173" s="12"/>
      <c r="R173" s="12"/>
      <c r="S173" s="13"/>
      <c r="T173" s="16" t="str">
        <f aca="false">IF(OR(S173="",L173=""),"",L173/(1-M173)-S173)</f>
        <v/>
      </c>
      <c r="U173" s="16" t="str">
        <f aca="false">IF(OR(L173="",P173=""),"",L173*(P173-1)-N173)</f>
        <v/>
      </c>
      <c r="V173" s="13"/>
      <c r="W173" s="17"/>
      <c r="X173" s="12"/>
      <c r="Y173" s="12"/>
      <c r="Z173" s="12"/>
      <c r="AA173" s="18" t="str">
        <f aca="false">IF(K173&lt;&gt;"ВИРТУАЛЬНЫЙ ВЫБОР","",IF(Z173="✅ ЗАШЛО",W173*(P173-1),IF(Z173="❌ НЕ ЗАШЛО",-W173,IF(Z173="½ ЗАШЛО",W173*(P173-1)/2,IF(Z173="½ НЕ ЗАШЛО",-W173/2,IF(Z173="ВОЗВРАТ",0,""))))))</f>
        <v/>
      </c>
      <c r="AB173" s="18" t="str">
        <f aca="false">IF(AND(K173="ВИРТУАЛЬНЫЙ ВЫБОР",OR(Z173="✅ ЗАШЛО",Z173="❌ НЕ ЗАШЛО",Z173="½ ЗАШЛО",Z173="½ НЕ ЗАШЛО",Z173="ВОЗВРАТ")),W173,"")</f>
        <v/>
      </c>
      <c r="AC173" s="15"/>
      <c r="AD173" s="16" t="str">
        <f aca="false">IF(OR(AC173="",P173=""),"",P173/AC173-1)</f>
        <v/>
      </c>
      <c r="AE173" s="19" t="str">
        <f aca="false">IF(AND(M173=0,OR(Z173="✅ ЗАШЛО",Z173="❌ НЕ ЗАШЛО"),L173&lt;&gt;""),(L173-IF(Z173="✅ ЗАШЛО",1,0))^2,"")</f>
        <v/>
      </c>
      <c r="AF173" s="15"/>
      <c r="AG173" s="15"/>
      <c r="AH173" s="13"/>
      <c r="AI173" s="13"/>
      <c r="AJ173" s="13"/>
      <c r="AK173" s="20" t="str">
        <f aca="false">IF(AH173="","",IF(ABS(AH173+AI173+AJ173-1)&lt;0.000001,"OK","ОШИБКА"))</f>
        <v/>
      </c>
      <c r="AL173" s="13"/>
      <c r="AM173" s="12"/>
      <c r="AN173" s="12"/>
      <c r="AO173" s="12"/>
      <c r="AP173" s="12"/>
      <c r="AQ173" s="18" t="str">
        <f aca="false">IF(A173="","",N(AQ172)+N(AA173))</f>
        <v/>
      </c>
      <c r="AR173" s="18" t="str">
        <f aca="false">IF(AQ173="","",MAX(0,MAX($AQ$8:AQ173))-AQ173)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3"/>
      <c r="M174" s="13"/>
      <c r="N174" s="13"/>
      <c r="O174" s="14" t="str">
        <f aca="false">IF(OR(L174="",L174=0),"",(1-M174)/L174)</f>
        <v/>
      </c>
      <c r="P174" s="15"/>
      <c r="Q174" s="12"/>
      <c r="R174" s="12"/>
      <c r="S174" s="13"/>
      <c r="T174" s="16" t="str">
        <f aca="false">IF(OR(S174="",L174=""),"",L174/(1-M174)-S174)</f>
        <v/>
      </c>
      <c r="U174" s="16" t="str">
        <f aca="false">IF(OR(L174="",P174=""),"",L174*(P174-1)-N174)</f>
        <v/>
      </c>
      <c r="V174" s="13"/>
      <c r="W174" s="17"/>
      <c r="X174" s="12"/>
      <c r="Y174" s="12"/>
      <c r="Z174" s="12"/>
      <c r="AA174" s="18" t="str">
        <f aca="false">IF(K174&lt;&gt;"ВИРТУАЛЬНЫЙ ВЫБОР","",IF(Z174="✅ ЗАШЛО",W174*(P174-1),IF(Z174="❌ НЕ ЗАШЛО",-W174,IF(Z174="½ ЗАШЛО",W174*(P174-1)/2,IF(Z174="½ НЕ ЗАШЛО",-W174/2,IF(Z174="ВОЗВРАТ",0,""))))))</f>
        <v/>
      </c>
      <c r="AB174" s="18" t="str">
        <f aca="false">IF(AND(K174="ВИРТУАЛЬНЫЙ ВЫБОР",OR(Z174="✅ ЗАШЛО",Z174="❌ НЕ ЗАШЛО",Z174="½ ЗАШЛО",Z174="½ НЕ ЗАШЛО",Z174="ВОЗВРАТ")),W174,"")</f>
        <v/>
      </c>
      <c r="AC174" s="15"/>
      <c r="AD174" s="16" t="str">
        <f aca="false">IF(OR(AC174="",P174=""),"",P174/AC174-1)</f>
        <v/>
      </c>
      <c r="AE174" s="19" t="str">
        <f aca="false">IF(AND(M174=0,OR(Z174="✅ ЗАШЛО",Z174="❌ НЕ ЗАШЛО"),L174&lt;&gt;""),(L174-IF(Z174="✅ ЗАШЛО",1,0))^2,"")</f>
        <v/>
      </c>
      <c r="AF174" s="15"/>
      <c r="AG174" s="15"/>
      <c r="AH174" s="13"/>
      <c r="AI174" s="13"/>
      <c r="AJ174" s="13"/>
      <c r="AK174" s="20" t="str">
        <f aca="false">IF(AH174="","",IF(ABS(AH174+AI174+AJ174-1)&lt;0.000001,"OK","ОШИБКА"))</f>
        <v/>
      </c>
      <c r="AL174" s="13"/>
      <c r="AM174" s="12"/>
      <c r="AN174" s="12"/>
      <c r="AO174" s="12"/>
      <c r="AP174" s="12"/>
      <c r="AQ174" s="18" t="str">
        <f aca="false">IF(A174="","",N(AQ173)+N(AA174))</f>
        <v/>
      </c>
      <c r="AR174" s="18" t="str">
        <f aca="false">IF(AQ174="","",MAX(0,MAX($AQ$8:AQ174))-AQ174)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3"/>
      <c r="M175" s="13"/>
      <c r="N175" s="13"/>
      <c r="O175" s="14" t="str">
        <f aca="false">IF(OR(L175="",L175=0),"",(1-M175)/L175)</f>
        <v/>
      </c>
      <c r="P175" s="15"/>
      <c r="Q175" s="12"/>
      <c r="R175" s="12"/>
      <c r="S175" s="13"/>
      <c r="T175" s="16" t="str">
        <f aca="false">IF(OR(S175="",L175=""),"",L175/(1-M175)-S175)</f>
        <v/>
      </c>
      <c r="U175" s="16" t="str">
        <f aca="false">IF(OR(L175="",P175=""),"",L175*(P175-1)-N175)</f>
        <v/>
      </c>
      <c r="V175" s="13"/>
      <c r="W175" s="17"/>
      <c r="X175" s="12"/>
      <c r="Y175" s="12"/>
      <c r="Z175" s="12"/>
      <c r="AA175" s="18" t="str">
        <f aca="false">IF(K175&lt;&gt;"ВИРТУАЛЬНЫЙ ВЫБОР","",IF(Z175="✅ ЗАШЛО",W175*(P175-1),IF(Z175="❌ НЕ ЗАШЛО",-W175,IF(Z175="½ ЗАШЛО",W175*(P175-1)/2,IF(Z175="½ НЕ ЗАШЛО",-W175/2,IF(Z175="ВОЗВРАТ",0,""))))))</f>
        <v/>
      </c>
      <c r="AB175" s="18" t="str">
        <f aca="false">IF(AND(K175="ВИРТУАЛЬНЫЙ ВЫБОР",OR(Z175="✅ ЗАШЛО",Z175="❌ НЕ ЗАШЛО",Z175="½ ЗАШЛО",Z175="½ НЕ ЗАШЛО",Z175="ВОЗВРАТ")),W175,"")</f>
        <v/>
      </c>
      <c r="AC175" s="15"/>
      <c r="AD175" s="16" t="str">
        <f aca="false">IF(OR(AC175="",P175=""),"",P175/AC175-1)</f>
        <v/>
      </c>
      <c r="AE175" s="19" t="str">
        <f aca="false">IF(AND(M175=0,OR(Z175="✅ ЗАШЛО",Z175="❌ НЕ ЗАШЛО"),L175&lt;&gt;""),(L175-IF(Z175="✅ ЗАШЛО",1,0))^2,"")</f>
        <v/>
      </c>
      <c r="AF175" s="15"/>
      <c r="AG175" s="15"/>
      <c r="AH175" s="13"/>
      <c r="AI175" s="13"/>
      <c r="AJ175" s="13"/>
      <c r="AK175" s="20" t="str">
        <f aca="false">IF(AH175="","",IF(ABS(AH175+AI175+AJ175-1)&lt;0.000001,"OK","ОШИБКА"))</f>
        <v/>
      </c>
      <c r="AL175" s="13"/>
      <c r="AM175" s="12"/>
      <c r="AN175" s="12"/>
      <c r="AO175" s="12"/>
      <c r="AP175" s="12"/>
      <c r="AQ175" s="18" t="str">
        <f aca="false">IF(A175="","",N(AQ174)+N(AA175))</f>
        <v/>
      </c>
      <c r="AR175" s="18" t="str">
        <f aca="false">IF(AQ175="","",MAX(0,MAX($AQ$8:AQ175))-AQ175)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3"/>
      <c r="M176" s="13"/>
      <c r="N176" s="13"/>
      <c r="O176" s="14" t="str">
        <f aca="false">IF(OR(L176="",L176=0),"",(1-M176)/L176)</f>
        <v/>
      </c>
      <c r="P176" s="15"/>
      <c r="Q176" s="12"/>
      <c r="R176" s="12"/>
      <c r="S176" s="13"/>
      <c r="T176" s="16" t="str">
        <f aca="false">IF(OR(S176="",L176=""),"",L176/(1-M176)-S176)</f>
        <v/>
      </c>
      <c r="U176" s="16" t="str">
        <f aca="false">IF(OR(L176="",P176=""),"",L176*(P176-1)-N176)</f>
        <v/>
      </c>
      <c r="V176" s="13"/>
      <c r="W176" s="17"/>
      <c r="X176" s="12"/>
      <c r="Y176" s="12"/>
      <c r="Z176" s="12"/>
      <c r="AA176" s="18" t="str">
        <f aca="false">IF(K176&lt;&gt;"ВИРТУАЛЬНЫЙ ВЫБОР","",IF(Z176="✅ ЗАШЛО",W176*(P176-1),IF(Z176="❌ НЕ ЗАШЛО",-W176,IF(Z176="½ ЗАШЛО",W176*(P176-1)/2,IF(Z176="½ НЕ ЗАШЛО",-W176/2,IF(Z176="ВОЗВРАТ",0,""))))))</f>
        <v/>
      </c>
      <c r="AB176" s="18" t="str">
        <f aca="false">IF(AND(K176="ВИРТУАЛЬНЫЙ ВЫБОР",OR(Z176="✅ ЗАШЛО",Z176="❌ НЕ ЗАШЛО",Z176="½ ЗАШЛО",Z176="½ НЕ ЗАШЛО",Z176="ВОЗВРАТ")),W176,"")</f>
        <v/>
      </c>
      <c r="AC176" s="15"/>
      <c r="AD176" s="16" t="str">
        <f aca="false">IF(OR(AC176="",P176=""),"",P176/AC176-1)</f>
        <v/>
      </c>
      <c r="AE176" s="19" t="str">
        <f aca="false">IF(AND(M176=0,OR(Z176="✅ ЗАШЛО",Z176="❌ НЕ ЗАШЛО"),L176&lt;&gt;""),(L176-IF(Z176="✅ ЗАШЛО",1,0))^2,"")</f>
        <v/>
      </c>
      <c r="AF176" s="15"/>
      <c r="AG176" s="15"/>
      <c r="AH176" s="13"/>
      <c r="AI176" s="13"/>
      <c r="AJ176" s="13"/>
      <c r="AK176" s="20" t="str">
        <f aca="false">IF(AH176="","",IF(ABS(AH176+AI176+AJ176-1)&lt;0.000001,"OK","ОШИБКА"))</f>
        <v/>
      </c>
      <c r="AL176" s="13"/>
      <c r="AM176" s="12"/>
      <c r="AN176" s="12"/>
      <c r="AO176" s="12"/>
      <c r="AP176" s="12"/>
      <c r="AQ176" s="18" t="str">
        <f aca="false">IF(A176="","",N(AQ175)+N(AA176))</f>
        <v/>
      </c>
      <c r="AR176" s="18" t="str">
        <f aca="false">IF(AQ176="","",MAX(0,MAX($AQ$8:AQ176))-AQ176)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3"/>
      <c r="M177" s="13"/>
      <c r="N177" s="13"/>
      <c r="O177" s="14" t="str">
        <f aca="false">IF(OR(L177="",L177=0),"",(1-M177)/L177)</f>
        <v/>
      </c>
      <c r="P177" s="15"/>
      <c r="Q177" s="12"/>
      <c r="R177" s="12"/>
      <c r="S177" s="13"/>
      <c r="T177" s="16" t="str">
        <f aca="false">IF(OR(S177="",L177=""),"",L177/(1-M177)-S177)</f>
        <v/>
      </c>
      <c r="U177" s="16" t="str">
        <f aca="false">IF(OR(L177="",P177=""),"",L177*(P177-1)-N177)</f>
        <v/>
      </c>
      <c r="V177" s="13"/>
      <c r="W177" s="17"/>
      <c r="X177" s="12"/>
      <c r="Y177" s="12"/>
      <c r="Z177" s="12"/>
      <c r="AA177" s="18" t="str">
        <f aca="false">IF(K177&lt;&gt;"ВИРТУАЛЬНЫЙ ВЫБОР","",IF(Z177="✅ ЗАШЛО",W177*(P177-1),IF(Z177="❌ НЕ ЗАШЛО",-W177,IF(Z177="½ ЗАШЛО",W177*(P177-1)/2,IF(Z177="½ НЕ ЗАШЛО",-W177/2,IF(Z177="ВОЗВРАТ",0,""))))))</f>
        <v/>
      </c>
      <c r="AB177" s="18" t="str">
        <f aca="false">IF(AND(K177="ВИРТУАЛЬНЫЙ ВЫБОР",OR(Z177="✅ ЗАШЛО",Z177="❌ НЕ ЗАШЛО",Z177="½ ЗАШЛО",Z177="½ НЕ ЗАШЛО",Z177="ВОЗВРАТ")),W177,"")</f>
        <v/>
      </c>
      <c r="AC177" s="15"/>
      <c r="AD177" s="16" t="str">
        <f aca="false">IF(OR(AC177="",P177=""),"",P177/AC177-1)</f>
        <v/>
      </c>
      <c r="AE177" s="19" t="str">
        <f aca="false">IF(AND(M177=0,OR(Z177="✅ ЗАШЛО",Z177="❌ НЕ ЗАШЛО"),L177&lt;&gt;""),(L177-IF(Z177="✅ ЗАШЛО",1,0))^2,"")</f>
        <v/>
      </c>
      <c r="AF177" s="15"/>
      <c r="AG177" s="15"/>
      <c r="AH177" s="13"/>
      <c r="AI177" s="13"/>
      <c r="AJ177" s="13"/>
      <c r="AK177" s="20" t="str">
        <f aca="false">IF(AH177="","",IF(ABS(AH177+AI177+AJ177-1)&lt;0.000001,"OK","ОШИБКА"))</f>
        <v/>
      </c>
      <c r="AL177" s="13"/>
      <c r="AM177" s="12"/>
      <c r="AN177" s="12"/>
      <c r="AO177" s="12"/>
      <c r="AP177" s="12"/>
      <c r="AQ177" s="18" t="str">
        <f aca="false">IF(A177="","",N(AQ176)+N(AA177))</f>
        <v/>
      </c>
      <c r="AR177" s="18" t="str">
        <f aca="false">IF(AQ177="","",MAX(0,MAX($AQ$8:AQ177))-AQ177)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3"/>
      <c r="M178" s="13"/>
      <c r="N178" s="13"/>
      <c r="O178" s="14" t="str">
        <f aca="false">IF(OR(L178="",L178=0),"",(1-M178)/L178)</f>
        <v/>
      </c>
      <c r="P178" s="15"/>
      <c r="Q178" s="12"/>
      <c r="R178" s="12"/>
      <c r="S178" s="13"/>
      <c r="T178" s="16" t="str">
        <f aca="false">IF(OR(S178="",L178=""),"",L178/(1-M178)-S178)</f>
        <v/>
      </c>
      <c r="U178" s="16" t="str">
        <f aca="false">IF(OR(L178="",P178=""),"",L178*(P178-1)-N178)</f>
        <v/>
      </c>
      <c r="V178" s="13"/>
      <c r="W178" s="17"/>
      <c r="X178" s="12"/>
      <c r="Y178" s="12"/>
      <c r="Z178" s="12"/>
      <c r="AA178" s="18" t="str">
        <f aca="false">IF(K178&lt;&gt;"ВИРТУАЛЬНЫЙ ВЫБОР","",IF(Z178="✅ ЗАШЛО",W178*(P178-1),IF(Z178="❌ НЕ ЗАШЛО",-W178,IF(Z178="½ ЗАШЛО",W178*(P178-1)/2,IF(Z178="½ НЕ ЗАШЛО",-W178/2,IF(Z178="ВОЗВРАТ",0,""))))))</f>
        <v/>
      </c>
      <c r="AB178" s="18" t="str">
        <f aca="false">IF(AND(K178="ВИРТУАЛЬНЫЙ ВЫБОР",OR(Z178="✅ ЗАШЛО",Z178="❌ НЕ ЗАШЛО",Z178="½ ЗАШЛО",Z178="½ НЕ ЗАШЛО",Z178="ВОЗВРАТ")),W178,"")</f>
        <v/>
      </c>
      <c r="AC178" s="15"/>
      <c r="AD178" s="16" t="str">
        <f aca="false">IF(OR(AC178="",P178=""),"",P178/AC178-1)</f>
        <v/>
      </c>
      <c r="AE178" s="19" t="str">
        <f aca="false">IF(AND(M178=0,OR(Z178="✅ ЗАШЛО",Z178="❌ НЕ ЗАШЛО"),L178&lt;&gt;""),(L178-IF(Z178="✅ ЗАШЛО",1,0))^2,"")</f>
        <v/>
      </c>
      <c r="AF178" s="15"/>
      <c r="AG178" s="15"/>
      <c r="AH178" s="13"/>
      <c r="AI178" s="13"/>
      <c r="AJ178" s="13"/>
      <c r="AK178" s="20" t="str">
        <f aca="false">IF(AH178="","",IF(ABS(AH178+AI178+AJ178-1)&lt;0.000001,"OK","ОШИБКА"))</f>
        <v/>
      </c>
      <c r="AL178" s="13"/>
      <c r="AM178" s="12"/>
      <c r="AN178" s="12"/>
      <c r="AO178" s="12"/>
      <c r="AP178" s="12"/>
      <c r="AQ178" s="18" t="str">
        <f aca="false">IF(A178="","",N(AQ177)+N(AA178))</f>
        <v/>
      </c>
      <c r="AR178" s="18" t="str">
        <f aca="false">IF(AQ178="","",MAX(0,MAX($AQ$8:AQ178))-AQ178)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3"/>
      <c r="M179" s="13"/>
      <c r="N179" s="13"/>
      <c r="O179" s="14" t="str">
        <f aca="false">IF(OR(L179="",L179=0),"",(1-M179)/L179)</f>
        <v/>
      </c>
      <c r="P179" s="15"/>
      <c r="Q179" s="12"/>
      <c r="R179" s="12"/>
      <c r="S179" s="13"/>
      <c r="T179" s="16" t="str">
        <f aca="false">IF(OR(S179="",L179=""),"",L179/(1-M179)-S179)</f>
        <v/>
      </c>
      <c r="U179" s="16" t="str">
        <f aca="false">IF(OR(L179="",P179=""),"",L179*(P179-1)-N179)</f>
        <v/>
      </c>
      <c r="V179" s="13"/>
      <c r="W179" s="17"/>
      <c r="X179" s="12"/>
      <c r="Y179" s="12"/>
      <c r="Z179" s="12"/>
      <c r="AA179" s="18" t="str">
        <f aca="false">IF(K179&lt;&gt;"ВИРТУАЛЬНЫЙ ВЫБОР","",IF(Z179="✅ ЗАШЛО",W179*(P179-1),IF(Z179="❌ НЕ ЗАШЛО",-W179,IF(Z179="½ ЗАШЛО",W179*(P179-1)/2,IF(Z179="½ НЕ ЗАШЛО",-W179/2,IF(Z179="ВОЗВРАТ",0,""))))))</f>
        <v/>
      </c>
      <c r="AB179" s="18" t="str">
        <f aca="false">IF(AND(K179="ВИРТУАЛЬНЫЙ ВЫБОР",OR(Z179="✅ ЗАШЛО",Z179="❌ НЕ ЗАШЛО",Z179="½ ЗАШЛО",Z179="½ НЕ ЗАШЛО",Z179="ВОЗВРАТ")),W179,"")</f>
        <v/>
      </c>
      <c r="AC179" s="15"/>
      <c r="AD179" s="16" t="str">
        <f aca="false">IF(OR(AC179="",P179=""),"",P179/AC179-1)</f>
        <v/>
      </c>
      <c r="AE179" s="19" t="str">
        <f aca="false">IF(AND(M179=0,OR(Z179="✅ ЗАШЛО",Z179="❌ НЕ ЗАШЛО"),L179&lt;&gt;""),(L179-IF(Z179="✅ ЗАШЛО",1,0))^2,"")</f>
        <v/>
      </c>
      <c r="AF179" s="15"/>
      <c r="AG179" s="15"/>
      <c r="AH179" s="13"/>
      <c r="AI179" s="13"/>
      <c r="AJ179" s="13"/>
      <c r="AK179" s="20" t="str">
        <f aca="false">IF(AH179="","",IF(ABS(AH179+AI179+AJ179-1)&lt;0.000001,"OK","ОШИБКА"))</f>
        <v/>
      </c>
      <c r="AL179" s="13"/>
      <c r="AM179" s="12"/>
      <c r="AN179" s="12"/>
      <c r="AO179" s="12"/>
      <c r="AP179" s="12"/>
      <c r="AQ179" s="18" t="str">
        <f aca="false">IF(A179="","",N(AQ178)+N(AA179))</f>
        <v/>
      </c>
      <c r="AR179" s="18" t="str">
        <f aca="false">IF(AQ179="","",MAX(0,MAX($AQ$8:AQ179))-AQ179)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3"/>
      <c r="M180" s="13"/>
      <c r="N180" s="13"/>
      <c r="O180" s="14" t="str">
        <f aca="false">IF(OR(L180="",L180=0),"",(1-M180)/L180)</f>
        <v/>
      </c>
      <c r="P180" s="15"/>
      <c r="Q180" s="12"/>
      <c r="R180" s="12"/>
      <c r="S180" s="13"/>
      <c r="T180" s="16" t="str">
        <f aca="false">IF(OR(S180="",L180=""),"",L180/(1-M180)-S180)</f>
        <v/>
      </c>
      <c r="U180" s="16" t="str">
        <f aca="false">IF(OR(L180="",P180=""),"",L180*(P180-1)-N180)</f>
        <v/>
      </c>
      <c r="V180" s="13"/>
      <c r="W180" s="17"/>
      <c r="X180" s="12"/>
      <c r="Y180" s="12"/>
      <c r="Z180" s="12"/>
      <c r="AA180" s="18" t="str">
        <f aca="false">IF(K180&lt;&gt;"ВИРТУАЛЬНЫЙ ВЫБОР","",IF(Z180="✅ ЗАШЛО",W180*(P180-1),IF(Z180="❌ НЕ ЗАШЛО",-W180,IF(Z180="½ ЗАШЛО",W180*(P180-1)/2,IF(Z180="½ НЕ ЗАШЛО",-W180/2,IF(Z180="ВОЗВРАТ",0,""))))))</f>
        <v/>
      </c>
      <c r="AB180" s="18" t="str">
        <f aca="false">IF(AND(K180="ВИРТУАЛЬНЫЙ ВЫБОР",OR(Z180="✅ ЗАШЛО",Z180="❌ НЕ ЗАШЛО",Z180="½ ЗАШЛО",Z180="½ НЕ ЗАШЛО",Z180="ВОЗВРАТ")),W180,"")</f>
        <v/>
      </c>
      <c r="AC180" s="15"/>
      <c r="AD180" s="16" t="str">
        <f aca="false">IF(OR(AC180="",P180=""),"",P180/AC180-1)</f>
        <v/>
      </c>
      <c r="AE180" s="19" t="str">
        <f aca="false">IF(AND(M180=0,OR(Z180="✅ ЗАШЛО",Z180="❌ НЕ ЗАШЛО"),L180&lt;&gt;""),(L180-IF(Z180="✅ ЗАШЛО",1,0))^2,"")</f>
        <v/>
      </c>
      <c r="AF180" s="15"/>
      <c r="AG180" s="15"/>
      <c r="AH180" s="13"/>
      <c r="AI180" s="13"/>
      <c r="AJ180" s="13"/>
      <c r="AK180" s="20" t="str">
        <f aca="false">IF(AH180="","",IF(ABS(AH180+AI180+AJ180-1)&lt;0.000001,"OK","ОШИБКА"))</f>
        <v/>
      </c>
      <c r="AL180" s="13"/>
      <c r="AM180" s="12"/>
      <c r="AN180" s="12"/>
      <c r="AO180" s="12"/>
      <c r="AP180" s="12"/>
      <c r="AQ180" s="18" t="str">
        <f aca="false">IF(A180="","",N(AQ179)+N(AA180))</f>
        <v/>
      </c>
      <c r="AR180" s="18" t="str">
        <f aca="false">IF(AQ180="","",MAX(0,MAX($AQ$8:AQ180))-AQ180)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3"/>
      <c r="M181" s="13"/>
      <c r="N181" s="13"/>
      <c r="O181" s="14" t="str">
        <f aca="false">IF(OR(L181="",L181=0),"",(1-M181)/L181)</f>
        <v/>
      </c>
      <c r="P181" s="15"/>
      <c r="Q181" s="12"/>
      <c r="R181" s="12"/>
      <c r="S181" s="13"/>
      <c r="T181" s="16" t="str">
        <f aca="false">IF(OR(S181="",L181=""),"",L181/(1-M181)-S181)</f>
        <v/>
      </c>
      <c r="U181" s="16" t="str">
        <f aca="false">IF(OR(L181="",P181=""),"",L181*(P181-1)-N181)</f>
        <v/>
      </c>
      <c r="V181" s="13"/>
      <c r="W181" s="17"/>
      <c r="X181" s="12"/>
      <c r="Y181" s="12"/>
      <c r="Z181" s="12"/>
      <c r="AA181" s="18" t="str">
        <f aca="false">IF(K181&lt;&gt;"ВИРТУАЛЬНЫЙ ВЫБОР","",IF(Z181="✅ ЗАШЛО",W181*(P181-1),IF(Z181="❌ НЕ ЗАШЛО",-W181,IF(Z181="½ ЗАШЛО",W181*(P181-1)/2,IF(Z181="½ НЕ ЗАШЛО",-W181/2,IF(Z181="ВОЗВРАТ",0,""))))))</f>
        <v/>
      </c>
      <c r="AB181" s="18" t="str">
        <f aca="false">IF(AND(K181="ВИРТУАЛЬНЫЙ ВЫБОР",OR(Z181="✅ ЗАШЛО",Z181="❌ НЕ ЗАШЛО",Z181="½ ЗАШЛО",Z181="½ НЕ ЗАШЛО",Z181="ВОЗВРАТ")),W181,"")</f>
        <v/>
      </c>
      <c r="AC181" s="15"/>
      <c r="AD181" s="16" t="str">
        <f aca="false">IF(OR(AC181="",P181=""),"",P181/AC181-1)</f>
        <v/>
      </c>
      <c r="AE181" s="19" t="str">
        <f aca="false">IF(AND(M181=0,OR(Z181="✅ ЗАШЛО",Z181="❌ НЕ ЗАШЛО"),L181&lt;&gt;""),(L181-IF(Z181="✅ ЗАШЛО",1,0))^2,"")</f>
        <v/>
      </c>
      <c r="AF181" s="15"/>
      <c r="AG181" s="15"/>
      <c r="AH181" s="13"/>
      <c r="AI181" s="13"/>
      <c r="AJ181" s="13"/>
      <c r="AK181" s="20" t="str">
        <f aca="false">IF(AH181="","",IF(ABS(AH181+AI181+AJ181-1)&lt;0.000001,"OK","ОШИБКА"))</f>
        <v/>
      </c>
      <c r="AL181" s="13"/>
      <c r="AM181" s="12"/>
      <c r="AN181" s="12"/>
      <c r="AO181" s="12"/>
      <c r="AP181" s="12"/>
      <c r="AQ181" s="18" t="str">
        <f aca="false">IF(A181="","",N(AQ180)+N(AA181))</f>
        <v/>
      </c>
      <c r="AR181" s="18" t="str">
        <f aca="false">IF(AQ181="","",MAX(0,MAX($AQ$8:AQ181))-AQ181)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3"/>
      <c r="M182" s="13"/>
      <c r="N182" s="13"/>
      <c r="O182" s="14" t="str">
        <f aca="false">IF(OR(L182="",L182=0),"",(1-M182)/L182)</f>
        <v/>
      </c>
      <c r="P182" s="15"/>
      <c r="Q182" s="12"/>
      <c r="R182" s="12"/>
      <c r="S182" s="13"/>
      <c r="T182" s="16" t="str">
        <f aca="false">IF(OR(S182="",L182=""),"",L182/(1-M182)-S182)</f>
        <v/>
      </c>
      <c r="U182" s="16" t="str">
        <f aca="false">IF(OR(L182="",P182=""),"",L182*(P182-1)-N182)</f>
        <v/>
      </c>
      <c r="V182" s="13"/>
      <c r="W182" s="17"/>
      <c r="X182" s="12"/>
      <c r="Y182" s="12"/>
      <c r="Z182" s="12"/>
      <c r="AA182" s="18" t="str">
        <f aca="false">IF(K182&lt;&gt;"ВИРТУАЛЬНЫЙ ВЫБОР","",IF(Z182="✅ ЗАШЛО",W182*(P182-1),IF(Z182="❌ НЕ ЗАШЛО",-W182,IF(Z182="½ ЗАШЛО",W182*(P182-1)/2,IF(Z182="½ НЕ ЗАШЛО",-W182/2,IF(Z182="ВОЗВРАТ",0,""))))))</f>
        <v/>
      </c>
      <c r="AB182" s="18" t="str">
        <f aca="false">IF(AND(K182="ВИРТУАЛЬНЫЙ ВЫБОР",OR(Z182="✅ ЗАШЛО",Z182="❌ НЕ ЗАШЛО",Z182="½ ЗАШЛО",Z182="½ НЕ ЗАШЛО",Z182="ВОЗВРАТ")),W182,"")</f>
        <v/>
      </c>
      <c r="AC182" s="15"/>
      <c r="AD182" s="16" t="str">
        <f aca="false">IF(OR(AC182="",P182=""),"",P182/AC182-1)</f>
        <v/>
      </c>
      <c r="AE182" s="19" t="str">
        <f aca="false">IF(AND(M182=0,OR(Z182="✅ ЗАШЛО",Z182="❌ НЕ ЗАШЛО"),L182&lt;&gt;""),(L182-IF(Z182="✅ ЗАШЛО",1,0))^2,"")</f>
        <v/>
      </c>
      <c r="AF182" s="15"/>
      <c r="AG182" s="15"/>
      <c r="AH182" s="13"/>
      <c r="AI182" s="13"/>
      <c r="AJ182" s="13"/>
      <c r="AK182" s="20" t="str">
        <f aca="false">IF(AH182="","",IF(ABS(AH182+AI182+AJ182-1)&lt;0.000001,"OK","ОШИБКА"))</f>
        <v/>
      </c>
      <c r="AL182" s="13"/>
      <c r="AM182" s="12"/>
      <c r="AN182" s="12"/>
      <c r="AO182" s="12"/>
      <c r="AP182" s="12"/>
      <c r="AQ182" s="18" t="str">
        <f aca="false">IF(A182="","",N(AQ181)+N(AA182))</f>
        <v/>
      </c>
      <c r="AR182" s="18" t="str">
        <f aca="false">IF(AQ182="","",MAX(0,MAX($AQ$8:AQ182))-AQ182)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3"/>
      <c r="M183" s="13"/>
      <c r="N183" s="13"/>
      <c r="O183" s="14" t="str">
        <f aca="false">IF(OR(L183="",L183=0),"",(1-M183)/L183)</f>
        <v/>
      </c>
      <c r="P183" s="15"/>
      <c r="Q183" s="12"/>
      <c r="R183" s="12"/>
      <c r="S183" s="13"/>
      <c r="T183" s="16" t="str">
        <f aca="false">IF(OR(S183="",L183=""),"",L183/(1-M183)-S183)</f>
        <v/>
      </c>
      <c r="U183" s="16" t="str">
        <f aca="false">IF(OR(L183="",P183=""),"",L183*(P183-1)-N183)</f>
        <v/>
      </c>
      <c r="V183" s="13"/>
      <c r="W183" s="17"/>
      <c r="X183" s="12"/>
      <c r="Y183" s="12"/>
      <c r="Z183" s="12"/>
      <c r="AA183" s="18" t="str">
        <f aca="false">IF(K183&lt;&gt;"ВИРТУАЛЬНЫЙ ВЫБОР","",IF(Z183="✅ ЗАШЛО",W183*(P183-1),IF(Z183="❌ НЕ ЗАШЛО",-W183,IF(Z183="½ ЗАШЛО",W183*(P183-1)/2,IF(Z183="½ НЕ ЗАШЛО",-W183/2,IF(Z183="ВОЗВРАТ",0,""))))))</f>
        <v/>
      </c>
      <c r="AB183" s="18" t="str">
        <f aca="false">IF(AND(K183="ВИРТУАЛЬНЫЙ ВЫБОР",OR(Z183="✅ ЗАШЛО",Z183="❌ НЕ ЗАШЛО",Z183="½ ЗАШЛО",Z183="½ НЕ ЗАШЛО",Z183="ВОЗВРАТ")),W183,"")</f>
        <v/>
      </c>
      <c r="AC183" s="15"/>
      <c r="AD183" s="16" t="str">
        <f aca="false">IF(OR(AC183="",P183=""),"",P183/AC183-1)</f>
        <v/>
      </c>
      <c r="AE183" s="19" t="str">
        <f aca="false">IF(AND(M183=0,OR(Z183="✅ ЗАШЛО",Z183="❌ НЕ ЗАШЛО"),L183&lt;&gt;""),(L183-IF(Z183="✅ ЗАШЛО",1,0))^2,"")</f>
        <v/>
      </c>
      <c r="AF183" s="15"/>
      <c r="AG183" s="15"/>
      <c r="AH183" s="13"/>
      <c r="AI183" s="13"/>
      <c r="AJ183" s="13"/>
      <c r="AK183" s="20" t="str">
        <f aca="false">IF(AH183="","",IF(ABS(AH183+AI183+AJ183-1)&lt;0.000001,"OK","ОШИБКА"))</f>
        <v/>
      </c>
      <c r="AL183" s="13"/>
      <c r="AM183" s="12"/>
      <c r="AN183" s="12"/>
      <c r="AO183" s="12"/>
      <c r="AP183" s="12"/>
      <c r="AQ183" s="18" t="str">
        <f aca="false">IF(A183="","",N(AQ182)+N(AA183))</f>
        <v/>
      </c>
      <c r="AR183" s="18" t="str">
        <f aca="false">IF(AQ183="","",MAX(0,MAX($AQ$8:AQ183))-AQ183)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3"/>
      <c r="M184" s="13"/>
      <c r="N184" s="13"/>
      <c r="O184" s="14" t="str">
        <f aca="false">IF(OR(L184="",L184=0),"",(1-M184)/L184)</f>
        <v/>
      </c>
      <c r="P184" s="15"/>
      <c r="Q184" s="12"/>
      <c r="R184" s="12"/>
      <c r="S184" s="13"/>
      <c r="T184" s="16" t="str">
        <f aca="false">IF(OR(S184="",L184=""),"",L184/(1-M184)-S184)</f>
        <v/>
      </c>
      <c r="U184" s="16" t="str">
        <f aca="false">IF(OR(L184="",P184=""),"",L184*(P184-1)-N184)</f>
        <v/>
      </c>
      <c r="V184" s="13"/>
      <c r="W184" s="17"/>
      <c r="X184" s="12"/>
      <c r="Y184" s="12"/>
      <c r="Z184" s="12"/>
      <c r="AA184" s="18" t="str">
        <f aca="false">IF(K184&lt;&gt;"ВИРТУАЛЬНЫЙ ВЫБОР","",IF(Z184="✅ ЗАШЛО",W184*(P184-1),IF(Z184="❌ НЕ ЗАШЛО",-W184,IF(Z184="½ ЗАШЛО",W184*(P184-1)/2,IF(Z184="½ НЕ ЗАШЛО",-W184/2,IF(Z184="ВОЗВРАТ",0,""))))))</f>
        <v/>
      </c>
      <c r="AB184" s="18" t="str">
        <f aca="false">IF(AND(K184="ВИРТУАЛЬНЫЙ ВЫБОР",OR(Z184="✅ ЗАШЛО",Z184="❌ НЕ ЗАШЛО",Z184="½ ЗАШЛО",Z184="½ НЕ ЗАШЛО",Z184="ВОЗВРАТ")),W184,"")</f>
        <v/>
      </c>
      <c r="AC184" s="15"/>
      <c r="AD184" s="16" t="str">
        <f aca="false">IF(OR(AC184="",P184=""),"",P184/AC184-1)</f>
        <v/>
      </c>
      <c r="AE184" s="19" t="str">
        <f aca="false">IF(AND(M184=0,OR(Z184="✅ ЗАШЛО",Z184="❌ НЕ ЗАШЛО"),L184&lt;&gt;""),(L184-IF(Z184="✅ ЗАШЛО",1,0))^2,"")</f>
        <v/>
      </c>
      <c r="AF184" s="15"/>
      <c r="AG184" s="15"/>
      <c r="AH184" s="13"/>
      <c r="AI184" s="13"/>
      <c r="AJ184" s="13"/>
      <c r="AK184" s="20" t="str">
        <f aca="false">IF(AH184="","",IF(ABS(AH184+AI184+AJ184-1)&lt;0.000001,"OK","ОШИБКА"))</f>
        <v/>
      </c>
      <c r="AL184" s="13"/>
      <c r="AM184" s="12"/>
      <c r="AN184" s="12"/>
      <c r="AO184" s="12"/>
      <c r="AP184" s="12"/>
      <c r="AQ184" s="18" t="str">
        <f aca="false">IF(A184="","",N(AQ183)+N(AA184))</f>
        <v/>
      </c>
      <c r="AR184" s="18" t="str">
        <f aca="false">IF(AQ184="","",MAX(0,MAX($AQ$8:AQ184))-AQ184)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3"/>
      <c r="M185" s="13"/>
      <c r="N185" s="13"/>
      <c r="O185" s="14" t="str">
        <f aca="false">IF(OR(L185="",L185=0),"",(1-M185)/L185)</f>
        <v/>
      </c>
      <c r="P185" s="15"/>
      <c r="Q185" s="12"/>
      <c r="R185" s="12"/>
      <c r="S185" s="13"/>
      <c r="T185" s="16" t="str">
        <f aca="false">IF(OR(S185="",L185=""),"",L185/(1-M185)-S185)</f>
        <v/>
      </c>
      <c r="U185" s="16" t="str">
        <f aca="false">IF(OR(L185="",P185=""),"",L185*(P185-1)-N185)</f>
        <v/>
      </c>
      <c r="V185" s="13"/>
      <c r="W185" s="17"/>
      <c r="X185" s="12"/>
      <c r="Y185" s="12"/>
      <c r="Z185" s="12"/>
      <c r="AA185" s="18" t="str">
        <f aca="false">IF(K185&lt;&gt;"ВИРТУАЛЬНЫЙ ВЫБОР","",IF(Z185="✅ ЗАШЛО",W185*(P185-1),IF(Z185="❌ НЕ ЗАШЛО",-W185,IF(Z185="½ ЗАШЛО",W185*(P185-1)/2,IF(Z185="½ НЕ ЗАШЛО",-W185/2,IF(Z185="ВОЗВРАТ",0,""))))))</f>
        <v/>
      </c>
      <c r="AB185" s="18" t="str">
        <f aca="false">IF(AND(K185="ВИРТУАЛЬНЫЙ ВЫБОР",OR(Z185="✅ ЗАШЛО",Z185="❌ НЕ ЗАШЛО",Z185="½ ЗАШЛО",Z185="½ НЕ ЗАШЛО",Z185="ВОЗВРАТ")),W185,"")</f>
        <v/>
      </c>
      <c r="AC185" s="15"/>
      <c r="AD185" s="16" t="str">
        <f aca="false">IF(OR(AC185="",P185=""),"",P185/AC185-1)</f>
        <v/>
      </c>
      <c r="AE185" s="19" t="str">
        <f aca="false">IF(AND(M185=0,OR(Z185="✅ ЗАШЛО",Z185="❌ НЕ ЗАШЛО"),L185&lt;&gt;""),(L185-IF(Z185="✅ ЗАШЛО",1,0))^2,"")</f>
        <v/>
      </c>
      <c r="AF185" s="15"/>
      <c r="AG185" s="15"/>
      <c r="AH185" s="13"/>
      <c r="AI185" s="13"/>
      <c r="AJ185" s="13"/>
      <c r="AK185" s="20" t="str">
        <f aca="false">IF(AH185="","",IF(ABS(AH185+AI185+AJ185-1)&lt;0.000001,"OK","ОШИБКА"))</f>
        <v/>
      </c>
      <c r="AL185" s="13"/>
      <c r="AM185" s="12"/>
      <c r="AN185" s="12"/>
      <c r="AO185" s="12"/>
      <c r="AP185" s="12"/>
      <c r="AQ185" s="18" t="str">
        <f aca="false">IF(A185="","",N(AQ184)+N(AA185))</f>
        <v/>
      </c>
      <c r="AR185" s="18" t="str">
        <f aca="false">IF(AQ185="","",MAX(0,MAX($AQ$8:AQ185))-AQ185)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3"/>
      <c r="M186" s="13"/>
      <c r="N186" s="13"/>
      <c r="O186" s="14" t="str">
        <f aca="false">IF(OR(L186="",L186=0),"",(1-M186)/L186)</f>
        <v/>
      </c>
      <c r="P186" s="15"/>
      <c r="Q186" s="12"/>
      <c r="R186" s="12"/>
      <c r="S186" s="13"/>
      <c r="T186" s="16" t="str">
        <f aca="false">IF(OR(S186="",L186=""),"",L186/(1-M186)-S186)</f>
        <v/>
      </c>
      <c r="U186" s="16" t="str">
        <f aca="false">IF(OR(L186="",P186=""),"",L186*(P186-1)-N186)</f>
        <v/>
      </c>
      <c r="V186" s="13"/>
      <c r="W186" s="17"/>
      <c r="X186" s="12"/>
      <c r="Y186" s="12"/>
      <c r="Z186" s="12"/>
      <c r="AA186" s="18" t="str">
        <f aca="false">IF(K186&lt;&gt;"ВИРТУАЛЬНЫЙ ВЫБОР","",IF(Z186="✅ ЗАШЛО",W186*(P186-1),IF(Z186="❌ НЕ ЗАШЛО",-W186,IF(Z186="½ ЗАШЛО",W186*(P186-1)/2,IF(Z186="½ НЕ ЗАШЛО",-W186/2,IF(Z186="ВОЗВРАТ",0,""))))))</f>
        <v/>
      </c>
      <c r="AB186" s="18" t="str">
        <f aca="false">IF(AND(K186="ВИРТУАЛЬНЫЙ ВЫБОР",OR(Z186="✅ ЗАШЛО",Z186="❌ НЕ ЗАШЛО",Z186="½ ЗАШЛО",Z186="½ НЕ ЗАШЛО",Z186="ВОЗВРАТ")),W186,"")</f>
        <v/>
      </c>
      <c r="AC186" s="15"/>
      <c r="AD186" s="16" t="str">
        <f aca="false">IF(OR(AC186="",P186=""),"",P186/AC186-1)</f>
        <v/>
      </c>
      <c r="AE186" s="19" t="str">
        <f aca="false">IF(AND(M186=0,OR(Z186="✅ ЗАШЛО",Z186="❌ НЕ ЗАШЛО"),L186&lt;&gt;""),(L186-IF(Z186="✅ ЗАШЛО",1,0))^2,"")</f>
        <v/>
      </c>
      <c r="AF186" s="15"/>
      <c r="AG186" s="15"/>
      <c r="AH186" s="13"/>
      <c r="AI186" s="13"/>
      <c r="AJ186" s="13"/>
      <c r="AK186" s="20" t="str">
        <f aca="false">IF(AH186="","",IF(ABS(AH186+AI186+AJ186-1)&lt;0.000001,"OK","ОШИБКА"))</f>
        <v/>
      </c>
      <c r="AL186" s="13"/>
      <c r="AM186" s="12"/>
      <c r="AN186" s="12"/>
      <c r="AO186" s="12"/>
      <c r="AP186" s="12"/>
      <c r="AQ186" s="18" t="str">
        <f aca="false">IF(A186="","",N(AQ185)+N(AA186))</f>
        <v/>
      </c>
      <c r="AR186" s="18" t="str">
        <f aca="false">IF(AQ186="","",MAX(0,MAX($AQ$8:AQ186))-AQ186)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3"/>
      <c r="M187" s="13"/>
      <c r="N187" s="13"/>
      <c r="O187" s="14" t="str">
        <f aca="false">IF(OR(L187="",L187=0),"",(1-M187)/L187)</f>
        <v/>
      </c>
      <c r="P187" s="15"/>
      <c r="Q187" s="12"/>
      <c r="R187" s="12"/>
      <c r="S187" s="13"/>
      <c r="T187" s="16" t="str">
        <f aca="false">IF(OR(S187="",L187=""),"",L187/(1-M187)-S187)</f>
        <v/>
      </c>
      <c r="U187" s="16" t="str">
        <f aca="false">IF(OR(L187="",P187=""),"",L187*(P187-1)-N187)</f>
        <v/>
      </c>
      <c r="V187" s="13"/>
      <c r="W187" s="17"/>
      <c r="X187" s="12"/>
      <c r="Y187" s="12"/>
      <c r="Z187" s="12"/>
      <c r="AA187" s="18" t="str">
        <f aca="false">IF(K187&lt;&gt;"ВИРТУАЛЬНЫЙ ВЫБОР","",IF(Z187="✅ ЗАШЛО",W187*(P187-1),IF(Z187="❌ НЕ ЗАШЛО",-W187,IF(Z187="½ ЗАШЛО",W187*(P187-1)/2,IF(Z187="½ НЕ ЗАШЛО",-W187/2,IF(Z187="ВОЗВРАТ",0,""))))))</f>
        <v/>
      </c>
      <c r="AB187" s="18" t="str">
        <f aca="false">IF(AND(K187="ВИРТУАЛЬНЫЙ ВЫБОР",OR(Z187="✅ ЗАШЛО",Z187="❌ НЕ ЗАШЛО",Z187="½ ЗАШЛО",Z187="½ НЕ ЗАШЛО",Z187="ВОЗВРАТ")),W187,"")</f>
        <v/>
      </c>
      <c r="AC187" s="15"/>
      <c r="AD187" s="16" t="str">
        <f aca="false">IF(OR(AC187="",P187=""),"",P187/AC187-1)</f>
        <v/>
      </c>
      <c r="AE187" s="19" t="str">
        <f aca="false">IF(AND(M187=0,OR(Z187="✅ ЗАШЛО",Z187="❌ НЕ ЗАШЛО"),L187&lt;&gt;""),(L187-IF(Z187="✅ ЗАШЛО",1,0))^2,"")</f>
        <v/>
      </c>
      <c r="AF187" s="15"/>
      <c r="AG187" s="15"/>
      <c r="AH187" s="13"/>
      <c r="AI187" s="13"/>
      <c r="AJ187" s="13"/>
      <c r="AK187" s="20" t="str">
        <f aca="false">IF(AH187="","",IF(ABS(AH187+AI187+AJ187-1)&lt;0.000001,"OK","ОШИБКА"))</f>
        <v/>
      </c>
      <c r="AL187" s="13"/>
      <c r="AM187" s="12"/>
      <c r="AN187" s="12"/>
      <c r="AO187" s="12"/>
      <c r="AP187" s="12"/>
      <c r="AQ187" s="18" t="str">
        <f aca="false">IF(A187="","",N(AQ186)+N(AA187))</f>
        <v/>
      </c>
      <c r="AR187" s="18" t="str">
        <f aca="false">IF(AQ187="","",MAX(0,MAX($AQ$8:AQ187))-AQ187)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3"/>
      <c r="M188" s="13"/>
      <c r="N188" s="13"/>
      <c r="O188" s="14" t="str">
        <f aca="false">IF(OR(L188="",L188=0),"",(1-M188)/L188)</f>
        <v/>
      </c>
      <c r="P188" s="15"/>
      <c r="Q188" s="12"/>
      <c r="R188" s="12"/>
      <c r="S188" s="13"/>
      <c r="T188" s="16" t="str">
        <f aca="false">IF(OR(S188="",L188=""),"",L188/(1-M188)-S188)</f>
        <v/>
      </c>
      <c r="U188" s="16" t="str">
        <f aca="false">IF(OR(L188="",P188=""),"",L188*(P188-1)-N188)</f>
        <v/>
      </c>
      <c r="V188" s="13"/>
      <c r="W188" s="17"/>
      <c r="X188" s="12"/>
      <c r="Y188" s="12"/>
      <c r="Z188" s="12"/>
      <c r="AA188" s="18" t="str">
        <f aca="false">IF(K188&lt;&gt;"ВИРТУАЛЬНЫЙ ВЫБОР","",IF(Z188="✅ ЗАШЛО",W188*(P188-1),IF(Z188="❌ НЕ ЗАШЛО",-W188,IF(Z188="½ ЗАШЛО",W188*(P188-1)/2,IF(Z188="½ НЕ ЗАШЛО",-W188/2,IF(Z188="ВОЗВРАТ",0,""))))))</f>
        <v/>
      </c>
      <c r="AB188" s="18" t="str">
        <f aca="false">IF(AND(K188="ВИРТУАЛЬНЫЙ ВЫБОР",OR(Z188="✅ ЗАШЛО",Z188="❌ НЕ ЗАШЛО",Z188="½ ЗАШЛО",Z188="½ НЕ ЗАШЛО",Z188="ВОЗВРАТ")),W188,"")</f>
        <v/>
      </c>
      <c r="AC188" s="15"/>
      <c r="AD188" s="16" t="str">
        <f aca="false">IF(OR(AC188="",P188=""),"",P188/AC188-1)</f>
        <v/>
      </c>
      <c r="AE188" s="19" t="str">
        <f aca="false">IF(AND(M188=0,OR(Z188="✅ ЗАШЛО",Z188="❌ НЕ ЗАШЛО"),L188&lt;&gt;""),(L188-IF(Z188="✅ ЗАШЛО",1,0))^2,"")</f>
        <v/>
      </c>
      <c r="AF188" s="15"/>
      <c r="AG188" s="15"/>
      <c r="AH188" s="13"/>
      <c r="AI188" s="13"/>
      <c r="AJ188" s="13"/>
      <c r="AK188" s="20" t="str">
        <f aca="false">IF(AH188="","",IF(ABS(AH188+AI188+AJ188-1)&lt;0.000001,"OK","ОШИБКА"))</f>
        <v/>
      </c>
      <c r="AL188" s="13"/>
      <c r="AM188" s="12"/>
      <c r="AN188" s="12"/>
      <c r="AO188" s="12"/>
      <c r="AP188" s="12"/>
      <c r="AQ188" s="18" t="str">
        <f aca="false">IF(A188="","",N(AQ187)+N(AA188))</f>
        <v/>
      </c>
      <c r="AR188" s="18" t="str">
        <f aca="false">IF(AQ188="","",MAX(0,MAX($AQ$8:AQ188))-AQ188)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3"/>
      <c r="M189" s="13"/>
      <c r="N189" s="13"/>
      <c r="O189" s="14" t="str">
        <f aca="false">IF(OR(L189="",L189=0),"",(1-M189)/L189)</f>
        <v/>
      </c>
      <c r="P189" s="15"/>
      <c r="Q189" s="12"/>
      <c r="R189" s="12"/>
      <c r="S189" s="13"/>
      <c r="T189" s="16" t="str">
        <f aca="false">IF(OR(S189="",L189=""),"",L189/(1-M189)-S189)</f>
        <v/>
      </c>
      <c r="U189" s="16" t="str">
        <f aca="false">IF(OR(L189="",P189=""),"",L189*(P189-1)-N189)</f>
        <v/>
      </c>
      <c r="V189" s="13"/>
      <c r="W189" s="17"/>
      <c r="X189" s="12"/>
      <c r="Y189" s="12"/>
      <c r="Z189" s="12"/>
      <c r="AA189" s="18" t="str">
        <f aca="false">IF(K189&lt;&gt;"ВИРТУАЛЬНЫЙ ВЫБОР","",IF(Z189="✅ ЗАШЛО",W189*(P189-1),IF(Z189="❌ НЕ ЗАШЛО",-W189,IF(Z189="½ ЗАШЛО",W189*(P189-1)/2,IF(Z189="½ НЕ ЗАШЛО",-W189/2,IF(Z189="ВОЗВРАТ",0,""))))))</f>
        <v/>
      </c>
      <c r="AB189" s="18" t="str">
        <f aca="false">IF(AND(K189="ВИРТУАЛЬНЫЙ ВЫБОР",OR(Z189="✅ ЗАШЛО",Z189="❌ НЕ ЗАШЛО",Z189="½ ЗАШЛО",Z189="½ НЕ ЗАШЛО",Z189="ВОЗВРАТ")),W189,"")</f>
        <v/>
      </c>
      <c r="AC189" s="15"/>
      <c r="AD189" s="16" t="str">
        <f aca="false">IF(OR(AC189="",P189=""),"",P189/AC189-1)</f>
        <v/>
      </c>
      <c r="AE189" s="19" t="str">
        <f aca="false">IF(AND(M189=0,OR(Z189="✅ ЗАШЛО",Z189="❌ НЕ ЗАШЛО"),L189&lt;&gt;""),(L189-IF(Z189="✅ ЗАШЛО",1,0))^2,"")</f>
        <v/>
      </c>
      <c r="AF189" s="15"/>
      <c r="AG189" s="15"/>
      <c r="AH189" s="13"/>
      <c r="AI189" s="13"/>
      <c r="AJ189" s="13"/>
      <c r="AK189" s="20" t="str">
        <f aca="false">IF(AH189="","",IF(ABS(AH189+AI189+AJ189-1)&lt;0.000001,"OK","ОШИБКА"))</f>
        <v/>
      </c>
      <c r="AL189" s="13"/>
      <c r="AM189" s="12"/>
      <c r="AN189" s="12"/>
      <c r="AO189" s="12"/>
      <c r="AP189" s="12"/>
      <c r="AQ189" s="18" t="str">
        <f aca="false">IF(A189="","",N(AQ188)+N(AA189))</f>
        <v/>
      </c>
      <c r="AR189" s="18" t="str">
        <f aca="false">IF(AQ189="","",MAX(0,MAX($AQ$8:AQ189))-AQ189)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3"/>
      <c r="M190" s="13"/>
      <c r="N190" s="13"/>
      <c r="O190" s="14" t="str">
        <f aca="false">IF(OR(L190="",L190=0),"",(1-M190)/L190)</f>
        <v/>
      </c>
      <c r="P190" s="15"/>
      <c r="Q190" s="12"/>
      <c r="R190" s="12"/>
      <c r="S190" s="13"/>
      <c r="T190" s="16" t="str">
        <f aca="false">IF(OR(S190="",L190=""),"",L190/(1-M190)-S190)</f>
        <v/>
      </c>
      <c r="U190" s="16" t="str">
        <f aca="false">IF(OR(L190="",P190=""),"",L190*(P190-1)-N190)</f>
        <v/>
      </c>
      <c r="V190" s="13"/>
      <c r="W190" s="17"/>
      <c r="X190" s="12"/>
      <c r="Y190" s="12"/>
      <c r="Z190" s="12"/>
      <c r="AA190" s="18" t="str">
        <f aca="false">IF(K190&lt;&gt;"ВИРТУАЛЬНЫЙ ВЫБОР","",IF(Z190="✅ ЗАШЛО",W190*(P190-1),IF(Z190="❌ НЕ ЗАШЛО",-W190,IF(Z190="½ ЗАШЛО",W190*(P190-1)/2,IF(Z190="½ НЕ ЗАШЛО",-W190/2,IF(Z190="ВОЗВРАТ",0,""))))))</f>
        <v/>
      </c>
      <c r="AB190" s="18" t="str">
        <f aca="false">IF(AND(K190="ВИРТУАЛЬНЫЙ ВЫБОР",OR(Z190="✅ ЗАШЛО",Z190="❌ НЕ ЗАШЛО",Z190="½ ЗАШЛО",Z190="½ НЕ ЗАШЛО",Z190="ВОЗВРАТ")),W190,"")</f>
        <v/>
      </c>
      <c r="AC190" s="15"/>
      <c r="AD190" s="16" t="str">
        <f aca="false">IF(OR(AC190="",P190=""),"",P190/AC190-1)</f>
        <v/>
      </c>
      <c r="AE190" s="19" t="str">
        <f aca="false">IF(AND(M190=0,OR(Z190="✅ ЗАШЛО",Z190="❌ НЕ ЗАШЛО"),L190&lt;&gt;""),(L190-IF(Z190="✅ ЗАШЛО",1,0))^2,"")</f>
        <v/>
      </c>
      <c r="AF190" s="15"/>
      <c r="AG190" s="15"/>
      <c r="AH190" s="13"/>
      <c r="AI190" s="13"/>
      <c r="AJ190" s="13"/>
      <c r="AK190" s="20" t="str">
        <f aca="false">IF(AH190="","",IF(ABS(AH190+AI190+AJ190-1)&lt;0.000001,"OK","ОШИБКА"))</f>
        <v/>
      </c>
      <c r="AL190" s="13"/>
      <c r="AM190" s="12"/>
      <c r="AN190" s="12"/>
      <c r="AO190" s="12"/>
      <c r="AP190" s="12"/>
      <c r="AQ190" s="18" t="str">
        <f aca="false">IF(A190="","",N(AQ189)+N(AA190))</f>
        <v/>
      </c>
      <c r="AR190" s="18" t="str">
        <f aca="false">IF(AQ190="","",MAX(0,MAX($AQ$8:AQ190))-AQ190)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3"/>
      <c r="M191" s="13"/>
      <c r="N191" s="13"/>
      <c r="O191" s="14" t="str">
        <f aca="false">IF(OR(L191="",L191=0),"",(1-M191)/L191)</f>
        <v/>
      </c>
      <c r="P191" s="15"/>
      <c r="Q191" s="12"/>
      <c r="R191" s="12"/>
      <c r="S191" s="13"/>
      <c r="T191" s="16" t="str">
        <f aca="false">IF(OR(S191="",L191=""),"",L191/(1-M191)-S191)</f>
        <v/>
      </c>
      <c r="U191" s="16" t="str">
        <f aca="false">IF(OR(L191="",P191=""),"",L191*(P191-1)-N191)</f>
        <v/>
      </c>
      <c r="V191" s="13"/>
      <c r="W191" s="17"/>
      <c r="X191" s="12"/>
      <c r="Y191" s="12"/>
      <c r="Z191" s="12"/>
      <c r="AA191" s="18" t="str">
        <f aca="false">IF(K191&lt;&gt;"ВИРТУАЛЬНЫЙ ВЫБОР","",IF(Z191="✅ ЗАШЛО",W191*(P191-1),IF(Z191="❌ НЕ ЗАШЛО",-W191,IF(Z191="½ ЗАШЛО",W191*(P191-1)/2,IF(Z191="½ НЕ ЗАШЛО",-W191/2,IF(Z191="ВОЗВРАТ",0,""))))))</f>
        <v/>
      </c>
      <c r="AB191" s="18" t="str">
        <f aca="false">IF(AND(K191="ВИРТУАЛЬНЫЙ ВЫБОР",OR(Z191="✅ ЗАШЛО",Z191="❌ НЕ ЗАШЛО",Z191="½ ЗАШЛО",Z191="½ НЕ ЗАШЛО",Z191="ВОЗВРАТ")),W191,"")</f>
        <v/>
      </c>
      <c r="AC191" s="15"/>
      <c r="AD191" s="16" t="str">
        <f aca="false">IF(OR(AC191="",P191=""),"",P191/AC191-1)</f>
        <v/>
      </c>
      <c r="AE191" s="19" t="str">
        <f aca="false">IF(AND(M191=0,OR(Z191="✅ ЗАШЛО",Z191="❌ НЕ ЗАШЛО"),L191&lt;&gt;""),(L191-IF(Z191="✅ ЗАШЛО",1,0))^2,"")</f>
        <v/>
      </c>
      <c r="AF191" s="15"/>
      <c r="AG191" s="15"/>
      <c r="AH191" s="13"/>
      <c r="AI191" s="13"/>
      <c r="AJ191" s="13"/>
      <c r="AK191" s="20" t="str">
        <f aca="false">IF(AH191="","",IF(ABS(AH191+AI191+AJ191-1)&lt;0.000001,"OK","ОШИБКА"))</f>
        <v/>
      </c>
      <c r="AL191" s="13"/>
      <c r="AM191" s="12"/>
      <c r="AN191" s="12"/>
      <c r="AO191" s="12"/>
      <c r="AP191" s="12"/>
      <c r="AQ191" s="18" t="str">
        <f aca="false">IF(A191="","",N(AQ190)+N(AA191))</f>
        <v/>
      </c>
      <c r="AR191" s="18" t="str">
        <f aca="false">IF(AQ191="","",MAX(0,MAX($AQ$8:AQ191))-AQ191)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3"/>
      <c r="M192" s="13"/>
      <c r="N192" s="13"/>
      <c r="O192" s="14" t="str">
        <f aca="false">IF(OR(L192="",L192=0),"",(1-M192)/L192)</f>
        <v/>
      </c>
      <c r="P192" s="15"/>
      <c r="Q192" s="12"/>
      <c r="R192" s="12"/>
      <c r="S192" s="13"/>
      <c r="T192" s="16" t="str">
        <f aca="false">IF(OR(S192="",L192=""),"",L192/(1-M192)-S192)</f>
        <v/>
      </c>
      <c r="U192" s="16" t="str">
        <f aca="false">IF(OR(L192="",P192=""),"",L192*(P192-1)-N192)</f>
        <v/>
      </c>
      <c r="V192" s="13"/>
      <c r="W192" s="17"/>
      <c r="X192" s="12"/>
      <c r="Y192" s="12"/>
      <c r="Z192" s="12"/>
      <c r="AA192" s="18" t="str">
        <f aca="false">IF(K192&lt;&gt;"ВИРТУАЛЬНЫЙ ВЫБОР","",IF(Z192="✅ ЗАШЛО",W192*(P192-1),IF(Z192="❌ НЕ ЗАШЛО",-W192,IF(Z192="½ ЗАШЛО",W192*(P192-1)/2,IF(Z192="½ НЕ ЗАШЛО",-W192/2,IF(Z192="ВОЗВРАТ",0,""))))))</f>
        <v/>
      </c>
      <c r="AB192" s="18" t="str">
        <f aca="false">IF(AND(K192="ВИРТУАЛЬНЫЙ ВЫБОР",OR(Z192="✅ ЗАШЛО",Z192="❌ НЕ ЗАШЛО",Z192="½ ЗАШЛО",Z192="½ НЕ ЗАШЛО",Z192="ВОЗВРАТ")),W192,"")</f>
        <v/>
      </c>
      <c r="AC192" s="15"/>
      <c r="AD192" s="16" t="str">
        <f aca="false">IF(OR(AC192="",P192=""),"",P192/AC192-1)</f>
        <v/>
      </c>
      <c r="AE192" s="19" t="str">
        <f aca="false">IF(AND(M192=0,OR(Z192="✅ ЗАШЛО",Z192="❌ НЕ ЗАШЛО"),L192&lt;&gt;""),(L192-IF(Z192="✅ ЗАШЛО",1,0))^2,"")</f>
        <v/>
      </c>
      <c r="AF192" s="15"/>
      <c r="AG192" s="15"/>
      <c r="AH192" s="13"/>
      <c r="AI192" s="13"/>
      <c r="AJ192" s="13"/>
      <c r="AK192" s="20" t="str">
        <f aca="false">IF(AH192="","",IF(ABS(AH192+AI192+AJ192-1)&lt;0.000001,"OK","ОШИБКА"))</f>
        <v/>
      </c>
      <c r="AL192" s="13"/>
      <c r="AM192" s="12"/>
      <c r="AN192" s="12"/>
      <c r="AO192" s="12"/>
      <c r="AP192" s="12"/>
      <c r="AQ192" s="18" t="str">
        <f aca="false">IF(A192="","",N(AQ191)+N(AA192))</f>
        <v/>
      </c>
      <c r="AR192" s="18" t="str">
        <f aca="false">IF(AQ192="","",MAX(0,MAX($AQ$8:AQ192))-AQ192)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3"/>
      <c r="M193" s="13"/>
      <c r="N193" s="13"/>
      <c r="O193" s="14" t="str">
        <f aca="false">IF(OR(L193="",L193=0),"",(1-M193)/L193)</f>
        <v/>
      </c>
      <c r="P193" s="15"/>
      <c r="Q193" s="12"/>
      <c r="R193" s="12"/>
      <c r="S193" s="13"/>
      <c r="T193" s="16" t="str">
        <f aca="false">IF(OR(S193="",L193=""),"",L193/(1-M193)-S193)</f>
        <v/>
      </c>
      <c r="U193" s="16" t="str">
        <f aca="false">IF(OR(L193="",P193=""),"",L193*(P193-1)-N193)</f>
        <v/>
      </c>
      <c r="V193" s="13"/>
      <c r="W193" s="17"/>
      <c r="X193" s="12"/>
      <c r="Y193" s="12"/>
      <c r="Z193" s="12"/>
      <c r="AA193" s="18" t="str">
        <f aca="false">IF(K193&lt;&gt;"ВИРТУАЛЬНЫЙ ВЫБОР","",IF(Z193="✅ ЗАШЛО",W193*(P193-1),IF(Z193="❌ НЕ ЗАШЛО",-W193,IF(Z193="½ ЗАШЛО",W193*(P193-1)/2,IF(Z193="½ НЕ ЗАШЛО",-W193/2,IF(Z193="ВОЗВРАТ",0,""))))))</f>
        <v/>
      </c>
      <c r="AB193" s="18" t="str">
        <f aca="false">IF(AND(K193="ВИРТУАЛЬНЫЙ ВЫБОР",OR(Z193="✅ ЗАШЛО",Z193="❌ НЕ ЗАШЛО",Z193="½ ЗАШЛО",Z193="½ НЕ ЗАШЛО",Z193="ВОЗВРАТ")),W193,"")</f>
        <v/>
      </c>
      <c r="AC193" s="15"/>
      <c r="AD193" s="16" t="str">
        <f aca="false">IF(OR(AC193="",P193=""),"",P193/AC193-1)</f>
        <v/>
      </c>
      <c r="AE193" s="19" t="str">
        <f aca="false">IF(AND(M193=0,OR(Z193="✅ ЗАШЛО",Z193="❌ НЕ ЗАШЛО"),L193&lt;&gt;""),(L193-IF(Z193="✅ ЗАШЛО",1,0))^2,"")</f>
        <v/>
      </c>
      <c r="AF193" s="15"/>
      <c r="AG193" s="15"/>
      <c r="AH193" s="13"/>
      <c r="AI193" s="13"/>
      <c r="AJ193" s="13"/>
      <c r="AK193" s="20" t="str">
        <f aca="false">IF(AH193="","",IF(ABS(AH193+AI193+AJ193-1)&lt;0.000001,"OK","ОШИБКА"))</f>
        <v/>
      </c>
      <c r="AL193" s="13"/>
      <c r="AM193" s="12"/>
      <c r="AN193" s="12"/>
      <c r="AO193" s="12"/>
      <c r="AP193" s="12"/>
      <c r="AQ193" s="18" t="str">
        <f aca="false">IF(A193="","",N(AQ192)+N(AA193))</f>
        <v/>
      </c>
      <c r="AR193" s="18" t="str">
        <f aca="false">IF(AQ193="","",MAX(0,MAX($AQ$8:AQ193))-AQ193)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3"/>
      <c r="M194" s="13"/>
      <c r="N194" s="13"/>
      <c r="O194" s="14" t="str">
        <f aca="false">IF(OR(L194="",L194=0),"",(1-M194)/L194)</f>
        <v/>
      </c>
      <c r="P194" s="15"/>
      <c r="Q194" s="12"/>
      <c r="R194" s="12"/>
      <c r="S194" s="13"/>
      <c r="T194" s="16" t="str">
        <f aca="false">IF(OR(S194="",L194=""),"",L194/(1-M194)-S194)</f>
        <v/>
      </c>
      <c r="U194" s="16" t="str">
        <f aca="false">IF(OR(L194="",P194=""),"",L194*(P194-1)-N194)</f>
        <v/>
      </c>
      <c r="V194" s="13"/>
      <c r="W194" s="17"/>
      <c r="X194" s="12"/>
      <c r="Y194" s="12"/>
      <c r="Z194" s="12"/>
      <c r="AA194" s="18" t="str">
        <f aca="false">IF(K194&lt;&gt;"ВИРТУАЛЬНЫЙ ВЫБОР","",IF(Z194="✅ ЗАШЛО",W194*(P194-1),IF(Z194="❌ НЕ ЗАШЛО",-W194,IF(Z194="½ ЗАШЛО",W194*(P194-1)/2,IF(Z194="½ НЕ ЗАШЛО",-W194/2,IF(Z194="ВОЗВРАТ",0,""))))))</f>
        <v/>
      </c>
      <c r="AB194" s="18" t="str">
        <f aca="false">IF(AND(K194="ВИРТУАЛЬНЫЙ ВЫБОР",OR(Z194="✅ ЗАШЛО",Z194="❌ НЕ ЗАШЛО",Z194="½ ЗАШЛО",Z194="½ НЕ ЗАШЛО",Z194="ВОЗВРАТ")),W194,"")</f>
        <v/>
      </c>
      <c r="AC194" s="15"/>
      <c r="AD194" s="16" t="str">
        <f aca="false">IF(OR(AC194="",P194=""),"",P194/AC194-1)</f>
        <v/>
      </c>
      <c r="AE194" s="19" t="str">
        <f aca="false">IF(AND(M194=0,OR(Z194="✅ ЗАШЛО",Z194="❌ НЕ ЗАШЛО"),L194&lt;&gt;""),(L194-IF(Z194="✅ ЗАШЛО",1,0))^2,"")</f>
        <v/>
      </c>
      <c r="AF194" s="15"/>
      <c r="AG194" s="15"/>
      <c r="AH194" s="13"/>
      <c r="AI194" s="13"/>
      <c r="AJ194" s="13"/>
      <c r="AK194" s="20" t="str">
        <f aca="false">IF(AH194="","",IF(ABS(AH194+AI194+AJ194-1)&lt;0.000001,"OK","ОШИБКА"))</f>
        <v/>
      </c>
      <c r="AL194" s="13"/>
      <c r="AM194" s="12"/>
      <c r="AN194" s="12"/>
      <c r="AO194" s="12"/>
      <c r="AP194" s="12"/>
      <c r="AQ194" s="18" t="str">
        <f aca="false">IF(A194="","",N(AQ193)+N(AA194))</f>
        <v/>
      </c>
      <c r="AR194" s="18" t="str">
        <f aca="false">IF(AQ194="","",MAX(0,MAX($AQ$8:AQ194))-AQ194)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3"/>
      <c r="M195" s="13"/>
      <c r="N195" s="13"/>
      <c r="O195" s="14" t="str">
        <f aca="false">IF(OR(L195="",L195=0),"",(1-M195)/L195)</f>
        <v/>
      </c>
      <c r="P195" s="15"/>
      <c r="Q195" s="12"/>
      <c r="R195" s="12"/>
      <c r="S195" s="13"/>
      <c r="T195" s="16" t="str">
        <f aca="false">IF(OR(S195="",L195=""),"",L195/(1-M195)-S195)</f>
        <v/>
      </c>
      <c r="U195" s="16" t="str">
        <f aca="false">IF(OR(L195="",P195=""),"",L195*(P195-1)-N195)</f>
        <v/>
      </c>
      <c r="V195" s="13"/>
      <c r="W195" s="17"/>
      <c r="X195" s="12"/>
      <c r="Y195" s="12"/>
      <c r="Z195" s="12"/>
      <c r="AA195" s="18" t="str">
        <f aca="false">IF(K195&lt;&gt;"ВИРТУАЛЬНЫЙ ВЫБОР","",IF(Z195="✅ ЗАШЛО",W195*(P195-1),IF(Z195="❌ НЕ ЗАШЛО",-W195,IF(Z195="½ ЗАШЛО",W195*(P195-1)/2,IF(Z195="½ НЕ ЗАШЛО",-W195/2,IF(Z195="ВОЗВРАТ",0,""))))))</f>
        <v/>
      </c>
      <c r="AB195" s="18" t="str">
        <f aca="false">IF(AND(K195="ВИРТУАЛЬНЫЙ ВЫБОР",OR(Z195="✅ ЗАШЛО",Z195="❌ НЕ ЗАШЛО",Z195="½ ЗАШЛО",Z195="½ НЕ ЗАШЛО",Z195="ВОЗВРАТ")),W195,"")</f>
        <v/>
      </c>
      <c r="AC195" s="15"/>
      <c r="AD195" s="16" t="str">
        <f aca="false">IF(OR(AC195="",P195=""),"",P195/AC195-1)</f>
        <v/>
      </c>
      <c r="AE195" s="19" t="str">
        <f aca="false">IF(AND(M195=0,OR(Z195="✅ ЗАШЛО",Z195="❌ НЕ ЗАШЛО"),L195&lt;&gt;""),(L195-IF(Z195="✅ ЗАШЛО",1,0))^2,"")</f>
        <v/>
      </c>
      <c r="AF195" s="15"/>
      <c r="AG195" s="15"/>
      <c r="AH195" s="13"/>
      <c r="AI195" s="13"/>
      <c r="AJ195" s="13"/>
      <c r="AK195" s="20" t="str">
        <f aca="false">IF(AH195="","",IF(ABS(AH195+AI195+AJ195-1)&lt;0.000001,"OK","ОШИБКА"))</f>
        <v/>
      </c>
      <c r="AL195" s="13"/>
      <c r="AM195" s="12"/>
      <c r="AN195" s="12"/>
      <c r="AO195" s="12"/>
      <c r="AP195" s="12"/>
      <c r="AQ195" s="18" t="str">
        <f aca="false">IF(A195="","",N(AQ194)+N(AA195))</f>
        <v/>
      </c>
      <c r="AR195" s="18" t="str">
        <f aca="false">IF(AQ195="","",MAX(0,MAX($AQ$8:AQ195))-AQ195)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3"/>
      <c r="M196" s="13"/>
      <c r="N196" s="13"/>
      <c r="O196" s="14" t="str">
        <f aca="false">IF(OR(L196="",L196=0),"",(1-M196)/L196)</f>
        <v/>
      </c>
      <c r="P196" s="15"/>
      <c r="Q196" s="12"/>
      <c r="R196" s="12"/>
      <c r="S196" s="13"/>
      <c r="T196" s="16" t="str">
        <f aca="false">IF(OR(S196="",L196=""),"",L196/(1-M196)-S196)</f>
        <v/>
      </c>
      <c r="U196" s="16" t="str">
        <f aca="false">IF(OR(L196="",P196=""),"",L196*(P196-1)-N196)</f>
        <v/>
      </c>
      <c r="V196" s="13"/>
      <c r="W196" s="17"/>
      <c r="X196" s="12"/>
      <c r="Y196" s="12"/>
      <c r="Z196" s="12"/>
      <c r="AA196" s="18" t="str">
        <f aca="false">IF(K196&lt;&gt;"ВИРТУАЛЬНЫЙ ВЫБОР","",IF(Z196="✅ ЗАШЛО",W196*(P196-1),IF(Z196="❌ НЕ ЗАШЛО",-W196,IF(Z196="½ ЗАШЛО",W196*(P196-1)/2,IF(Z196="½ НЕ ЗАШЛО",-W196/2,IF(Z196="ВОЗВРАТ",0,""))))))</f>
        <v/>
      </c>
      <c r="AB196" s="18" t="str">
        <f aca="false">IF(AND(K196="ВИРТУАЛЬНЫЙ ВЫБОР",OR(Z196="✅ ЗАШЛО",Z196="❌ НЕ ЗАШЛО",Z196="½ ЗАШЛО",Z196="½ НЕ ЗАШЛО",Z196="ВОЗВРАТ")),W196,"")</f>
        <v/>
      </c>
      <c r="AC196" s="15"/>
      <c r="AD196" s="16" t="str">
        <f aca="false">IF(OR(AC196="",P196=""),"",P196/AC196-1)</f>
        <v/>
      </c>
      <c r="AE196" s="19" t="str">
        <f aca="false">IF(AND(M196=0,OR(Z196="✅ ЗАШЛО",Z196="❌ НЕ ЗАШЛО"),L196&lt;&gt;""),(L196-IF(Z196="✅ ЗАШЛО",1,0))^2,"")</f>
        <v/>
      </c>
      <c r="AF196" s="15"/>
      <c r="AG196" s="15"/>
      <c r="AH196" s="13"/>
      <c r="AI196" s="13"/>
      <c r="AJ196" s="13"/>
      <c r="AK196" s="20" t="str">
        <f aca="false">IF(AH196="","",IF(ABS(AH196+AI196+AJ196-1)&lt;0.000001,"OK","ОШИБКА"))</f>
        <v/>
      </c>
      <c r="AL196" s="13"/>
      <c r="AM196" s="12"/>
      <c r="AN196" s="12"/>
      <c r="AO196" s="12"/>
      <c r="AP196" s="12"/>
      <c r="AQ196" s="18" t="str">
        <f aca="false">IF(A196="","",N(AQ195)+N(AA196))</f>
        <v/>
      </c>
      <c r="AR196" s="18" t="str">
        <f aca="false">IF(AQ196="","",MAX(0,MAX($AQ$8:AQ196))-AQ196)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3"/>
      <c r="M197" s="13"/>
      <c r="N197" s="13"/>
      <c r="O197" s="14" t="str">
        <f aca="false">IF(OR(L197="",L197=0),"",(1-M197)/L197)</f>
        <v/>
      </c>
      <c r="P197" s="15"/>
      <c r="Q197" s="12"/>
      <c r="R197" s="12"/>
      <c r="S197" s="13"/>
      <c r="T197" s="16" t="str">
        <f aca="false">IF(OR(S197="",L197=""),"",L197/(1-M197)-S197)</f>
        <v/>
      </c>
      <c r="U197" s="16" t="str">
        <f aca="false">IF(OR(L197="",P197=""),"",L197*(P197-1)-N197)</f>
        <v/>
      </c>
      <c r="V197" s="13"/>
      <c r="W197" s="17"/>
      <c r="X197" s="12"/>
      <c r="Y197" s="12"/>
      <c r="Z197" s="12"/>
      <c r="AA197" s="18" t="str">
        <f aca="false">IF(K197&lt;&gt;"ВИРТУАЛЬНЫЙ ВЫБОР","",IF(Z197="✅ ЗАШЛО",W197*(P197-1),IF(Z197="❌ НЕ ЗАШЛО",-W197,IF(Z197="½ ЗАШЛО",W197*(P197-1)/2,IF(Z197="½ НЕ ЗАШЛО",-W197/2,IF(Z197="ВОЗВРАТ",0,""))))))</f>
        <v/>
      </c>
      <c r="AB197" s="18" t="str">
        <f aca="false">IF(AND(K197="ВИРТУАЛЬНЫЙ ВЫБОР",OR(Z197="✅ ЗАШЛО",Z197="❌ НЕ ЗАШЛО",Z197="½ ЗАШЛО",Z197="½ НЕ ЗАШЛО",Z197="ВОЗВРАТ")),W197,"")</f>
        <v/>
      </c>
      <c r="AC197" s="15"/>
      <c r="AD197" s="16" t="str">
        <f aca="false">IF(OR(AC197="",P197=""),"",P197/AC197-1)</f>
        <v/>
      </c>
      <c r="AE197" s="19" t="str">
        <f aca="false">IF(AND(M197=0,OR(Z197="✅ ЗАШЛО",Z197="❌ НЕ ЗАШЛО"),L197&lt;&gt;""),(L197-IF(Z197="✅ ЗАШЛО",1,0))^2,"")</f>
        <v/>
      </c>
      <c r="AF197" s="15"/>
      <c r="AG197" s="15"/>
      <c r="AH197" s="13"/>
      <c r="AI197" s="13"/>
      <c r="AJ197" s="13"/>
      <c r="AK197" s="20" t="str">
        <f aca="false">IF(AH197="","",IF(ABS(AH197+AI197+AJ197-1)&lt;0.000001,"OK","ОШИБКА"))</f>
        <v/>
      </c>
      <c r="AL197" s="13"/>
      <c r="AM197" s="12"/>
      <c r="AN197" s="12"/>
      <c r="AO197" s="12"/>
      <c r="AP197" s="12"/>
      <c r="AQ197" s="18" t="str">
        <f aca="false">IF(A197="","",N(AQ196)+N(AA197))</f>
        <v/>
      </c>
      <c r="AR197" s="18" t="str">
        <f aca="false">IF(AQ197="","",MAX(0,MAX($AQ$8:AQ197))-AQ197)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3"/>
      <c r="M198" s="13"/>
      <c r="N198" s="13"/>
      <c r="O198" s="14" t="str">
        <f aca="false">IF(OR(L198="",L198=0),"",(1-M198)/L198)</f>
        <v/>
      </c>
      <c r="P198" s="15"/>
      <c r="Q198" s="12"/>
      <c r="R198" s="12"/>
      <c r="S198" s="13"/>
      <c r="T198" s="16" t="str">
        <f aca="false">IF(OR(S198="",L198=""),"",L198/(1-M198)-S198)</f>
        <v/>
      </c>
      <c r="U198" s="16" t="str">
        <f aca="false">IF(OR(L198="",P198=""),"",L198*(P198-1)-N198)</f>
        <v/>
      </c>
      <c r="V198" s="13"/>
      <c r="W198" s="17"/>
      <c r="X198" s="12"/>
      <c r="Y198" s="12"/>
      <c r="Z198" s="12"/>
      <c r="AA198" s="18" t="str">
        <f aca="false">IF(K198&lt;&gt;"ВИРТУАЛЬНЫЙ ВЫБОР","",IF(Z198="✅ ЗАШЛО",W198*(P198-1),IF(Z198="❌ НЕ ЗАШЛО",-W198,IF(Z198="½ ЗАШЛО",W198*(P198-1)/2,IF(Z198="½ НЕ ЗАШЛО",-W198/2,IF(Z198="ВОЗВРАТ",0,""))))))</f>
        <v/>
      </c>
      <c r="AB198" s="18" t="str">
        <f aca="false">IF(AND(K198="ВИРТУАЛЬНЫЙ ВЫБОР",OR(Z198="✅ ЗАШЛО",Z198="❌ НЕ ЗАШЛО",Z198="½ ЗАШЛО",Z198="½ НЕ ЗАШЛО",Z198="ВОЗВРАТ")),W198,"")</f>
        <v/>
      </c>
      <c r="AC198" s="15"/>
      <c r="AD198" s="16" t="str">
        <f aca="false">IF(OR(AC198="",P198=""),"",P198/AC198-1)</f>
        <v/>
      </c>
      <c r="AE198" s="19" t="str">
        <f aca="false">IF(AND(M198=0,OR(Z198="✅ ЗАШЛО",Z198="❌ НЕ ЗАШЛО"),L198&lt;&gt;""),(L198-IF(Z198="✅ ЗАШЛО",1,0))^2,"")</f>
        <v/>
      </c>
      <c r="AF198" s="15"/>
      <c r="AG198" s="15"/>
      <c r="AH198" s="13"/>
      <c r="AI198" s="13"/>
      <c r="AJ198" s="13"/>
      <c r="AK198" s="20" t="str">
        <f aca="false">IF(AH198="","",IF(ABS(AH198+AI198+AJ198-1)&lt;0.000001,"OK","ОШИБКА"))</f>
        <v/>
      </c>
      <c r="AL198" s="13"/>
      <c r="AM198" s="12"/>
      <c r="AN198" s="12"/>
      <c r="AO198" s="12"/>
      <c r="AP198" s="12"/>
      <c r="AQ198" s="18" t="str">
        <f aca="false">IF(A198="","",N(AQ197)+N(AA198))</f>
        <v/>
      </c>
      <c r="AR198" s="18" t="str">
        <f aca="false">IF(AQ198="","",MAX(0,MAX($AQ$8:AQ198))-AQ198)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3"/>
      <c r="M199" s="13"/>
      <c r="N199" s="13"/>
      <c r="O199" s="14" t="str">
        <f aca="false">IF(OR(L199="",L199=0),"",(1-M199)/L199)</f>
        <v/>
      </c>
      <c r="P199" s="15"/>
      <c r="Q199" s="12"/>
      <c r="R199" s="12"/>
      <c r="S199" s="13"/>
      <c r="T199" s="16" t="str">
        <f aca="false">IF(OR(S199="",L199=""),"",L199/(1-M199)-S199)</f>
        <v/>
      </c>
      <c r="U199" s="16" t="str">
        <f aca="false">IF(OR(L199="",P199=""),"",L199*(P199-1)-N199)</f>
        <v/>
      </c>
      <c r="V199" s="13"/>
      <c r="W199" s="17"/>
      <c r="X199" s="12"/>
      <c r="Y199" s="12"/>
      <c r="Z199" s="12"/>
      <c r="AA199" s="18" t="str">
        <f aca="false">IF(K199&lt;&gt;"ВИРТУАЛЬНЫЙ ВЫБОР","",IF(Z199="✅ ЗАШЛО",W199*(P199-1),IF(Z199="❌ НЕ ЗАШЛО",-W199,IF(Z199="½ ЗАШЛО",W199*(P199-1)/2,IF(Z199="½ НЕ ЗАШЛО",-W199/2,IF(Z199="ВОЗВРАТ",0,""))))))</f>
        <v/>
      </c>
      <c r="AB199" s="18" t="str">
        <f aca="false">IF(AND(K199="ВИРТУАЛЬНЫЙ ВЫБОР",OR(Z199="✅ ЗАШЛО",Z199="❌ НЕ ЗАШЛО",Z199="½ ЗАШЛО",Z199="½ НЕ ЗАШЛО",Z199="ВОЗВРАТ")),W199,"")</f>
        <v/>
      </c>
      <c r="AC199" s="15"/>
      <c r="AD199" s="16" t="str">
        <f aca="false">IF(OR(AC199="",P199=""),"",P199/AC199-1)</f>
        <v/>
      </c>
      <c r="AE199" s="19" t="str">
        <f aca="false">IF(AND(M199=0,OR(Z199="✅ ЗАШЛО",Z199="❌ НЕ ЗАШЛО"),L199&lt;&gt;""),(L199-IF(Z199="✅ ЗАШЛО",1,0))^2,"")</f>
        <v/>
      </c>
      <c r="AF199" s="15"/>
      <c r="AG199" s="15"/>
      <c r="AH199" s="13"/>
      <c r="AI199" s="13"/>
      <c r="AJ199" s="13"/>
      <c r="AK199" s="20" t="str">
        <f aca="false">IF(AH199="","",IF(ABS(AH199+AI199+AJ199-1)&lt;0.000001,"OK","ОШИБКА"))</f>
        <v/>
      </c>
      <c r="AL199" s="13"/>
      <c r="AM199" s="12"/>
      <c r="AN199" s="12"/>
      <c r="AO199" s="12"/>
      <c r="AP199" s="12"/>
      <c r="AQ199" s="18" t="str">
        <f aca="false">IF(A199="","",N(AQ198)+N(AA199))</f>
        <v/>
      </c>
      <c r="AR199" s="18" t="str">
        <f aca="false">IF(AQ199="","",MAX(0,MAX($AQ$8:AQ199))-AQ199)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3"/>
      <c r="M200" s="13"/>
      <c r="N200" s="13"/>
      <c r="O200" s="14" t="str">
        <f aca="false">IF(OR(L200="",L200=0),"",(1-M200)/L200)</f>
        <v/>
      </c>
      <c r="P200" s="15"/>
      <c r="Q200" s="12"/>
      <c r="R200" s="12"/>
      <c r="S200" s="13"/>
      <c r="T200" s="16" t="str">
        <f aca="false">IF(OR(S200="",L200=""),"",L200/(1-M200)-S200)</f>
        <v/>
      </c>
      <c r="U200" s="16" t="str">
        <f aca="false">IF(OR(L200="",P200=""),"",L200*(P200-1)-N200)</f>
        <v/>
      </c>
      <c r="V200" s="13"/>
      <c r="W200" s="17"/>
      <c r="X200" s="12"/>
      <c r="Y200" s="12"/>
      <c r="Z200" s="12"/>
      <c r="AA200" s="18" t="str">
        <f aca="false">IF(K200&lt;&gt;"ВИРТУАЛЬНЫЙ ВЫБОР","",IF(Z200="✅ ЗАШЛО",W200*(P200-1),IF(Z200="❌ НЕ ЗАШЛО",-W200,IF(Z200="½ ЗАШЛО",W200*(P200-1)/2,IF(Z200="½ НЕ ЗАШЛО",-W200/2,IF(Z200="ВОЗВРАТ",0,""))))))</f>
        <v/>
      </c>
      <c r="AB200" s="18" t="str">
        <f aca="false">IF(AND(K200="ВИРТУАЛЬНЫЙ ВЫБОР",OR(Z200="✅ ЗАШЛО",Z200="❌ НЕ ЗАШЛО",Z200="½ ЗАШЛО",Z200="½ НЕ ЗАШЛО",Z200="ВОЗВРАТ")),W200,"")</f>
        <v/>
      </c>
      <c r="AC200" s="15"/>
      <c r="AD200" s="16" t="str">
        <f aca="false">IF(OR(AC200="",P200=""),"",P200/AC200-1)</f>
        <v/>
      </c>
      <c r="AE200" s="19" t="str">
        <f aca="false">IF(AND(M200=0,OR(Z200="✅ ЗАШЛО",Z200="❌ НЕ ЗАШЛО"),L200&lt;&gt;""),(L200-IF(Z200="✅ ЗАШЛО",1,0))^2,"")</f>
        <v/>
      </c>
      <c r="AF200" s="15"/>
      <c r="AG200" s="15"/>
      <c r="AH200" s="13"/>
      <c r="AI200" s="13"/>
      <c r="AJ200" s="13"/>
      <c r="AK200" s="20" t="str">
        <f aca="false">IF(AH200="","",IF(ABS(AH200+AI200+AJ200-1)&lt;0.000001,"OK","ОШИБКА"))</f>
        <v/>
      </c>
      <c r="AL200" s="13"/>
      <c r="AM200" s="12"/>
      <c r="AN200" s="12"/>
      <c r="AO200" s="12"/>
      <c r="AP200" s="12"/>
      <c r="AQ200" s="18" t="str">
        <f aca="false">IF(A200="","",N(AQ199)+N(AA200))</f>
        <v/>
      </c>
      <c r="AR200" s="18" t="str">
        <f aca="false">IF(AQ200="","",MAX(0,MAX($AQ$8:AQ200))-AQ200)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3"/>
      <c r="M201" s="13"/>
      <c r="N201" s="13"/>
      <c r="O201" s="14" t="str">
        <f aca="false">IF(OR(L201="",L201=0),"",(1-M201)/L201)</f>
        <v/>
      </c>
      <c r="P201" s="15"/>
      <c r="Q201" s="12"/>
      <c r="R201" s="12"/>
      <c r="S201" s="13"/>
      <c r="T201" s="16" t="str">
        <f aca="false">IF(OR(S201="",L201=""),"",L201/(1-M201)-S201)</f>
        <v/>
      </c>
      <c r="U201" s="16" t="str">
        <f aca="false">IF(OR(L201="",P201=""),"",L201*(P201-1)-N201)</f>
        <v/>
      </c>
      <c r="V201" s="13"/>
      <c r="W201" s="17"/>
      <c r="X201" s="12"/>
      <c r="Y201" s="12"/>
      <c r="Z201" s="12"/>
      <c r="AA201" s="18" t="str">
        <f aca="false">IF(K201&lt;&gt;"ВИРТУАЛЬНЫЙ ВЫБОР","",IF(Z201="✅ ЗАШЛО",W201*(P201-1),IF(Z201="❌ НЕ ЗАШЛО",-W201,IF(Z201="½ ЗАШЛО",W201*(P201-1)/2,IF(Z201="½ НЕ ЗАШЛО",-W201/2,IF(Z201="ВОЗВРАТ",0,""))))))</f>
        <v/>
      </c>
      <c r="AB201" s="18" t="str">
        <f aca="false">IF(AND(K201="ВИРТУАЛЬНЫЙ ВЫБОР",OR(Z201="✅ ЗАШЛО",Z201="❌ НЕ ЗАШЛО",Z201="½ ЗАШЛО",Z201="½ НЕ ЗАШЛО",Z201="ВОЗВРАТ")),W201,"")</f>
        <v/>
      </c>
      <c r="AC201" s="15"/>
      <c r="AD201" s="16" t="str">
        <f aca="false">IF(OR(AC201="",P201=""),"",P201/AC201-1)</f>
        <v/>
      </c>
      <c r="AE201" s="19" t="str">
        <f aca="false">IF(AND(M201=0,OR(Z201="✅ ЗАШЛО",Z201="❌ НЕ ЗАШЛО"),L201&lt;&gt;""),(L201-IF(Z201="✅ ЗАШЛО",1,0))^2,"")</f>
        <v/>
      </c>
      <c r="AF201" s="15"/>
      <c r="AG201" s="15"/>
      <c r="AH201" s="13"/>
      <c r="AI201" s="13"/>
      <c r="AJ201" s="13"/>
      <c r="AK201" s="20" t="str">
        <f aca="false">IF(AH201="","",IF(ABS(AH201+AI201+AJ201-1)&lt;0.000001,"OK","ОШИБКА"))</f>
        <v/>
      </c>
      <c r="AL201" s="13"/>
      <c r="AM201" s="12"/>
      <c r="AN201" s="12"/>
      <c r="AO201" s="12"/>
      <c r="AP201" s="12"/>
      <c r="AQ201" s="18" t="str">
        <f aca="false">IF(A201="","",N(AQ200)+N(AA201))</f>
        <v/>
      </c>
      <c r="AR201" s="18" t="str">
        <f aca="false">IF(AQ201="","",MAX(0,MAX($AQ$8:AQ201))-AQ201)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3"/>
      <c r="M202" s="13"/>
      <c r="N202" s="13"/>
      <c r="O202" s="14" t="str">
        <f aca="false">IF(OR(L202="",L202=0),"",(1-M202)/L202)</f>
        <v/>
      </c>
      <c r="P202" s="15"/>
      <c r="Q202" s="12"/>
      <c r="R202" s="12"/>
      <c r="S202" s="13"/>
      <c r="T202" s="16" t="str">
        <f aca="false">IF(OR(S202="",L202=""),"",L202/(1-M202)-S202)</f>
        <v/>
      </c>
      <c r="U202" s="16" t="str">
        <f aca="false">IF(OR(L202="",P202=""),"",L202*(P202-1)-N202)</f>
        <v/>
      </c>
      <c r="V202" s="13"/>
      <c r="W202" s="17"/>
      <c r="X202" s="12"/>
      <c r="Y202" s="12"/>
      <c r="Z202" s="12"/>
      <c r="AA202" s="18" t="str">
        <f aca="false">IF(K202&lt;&gt;"ВИРТУАЛЬНЫЙ ВЫБОР","",IF(Z202="✅ ЗАШЛО",W202*(P202-1),IF(Z202="❌ НЕ ЗАШЛО",-W202,IF(Z202="½ ЗАШЛО",W202*(P202-1)/2,IF(Z202="½ НЕ ЗАШЛО",-W202/2,IF(Z202="ВОЗВРАТ",0,""))))))</f>
        <v/>
      </c>
      <c r="AB202" s="18" t="str">
        <f aca="false">IF(AND(K202="ВИРТУАЛЬНЫЙ ВЫБОР",OR(Z202="✅ ЗАШЛО",Z202="❌ НЕ ЗАШЛО",Z202="½ ЗАШЛО",Z202="½ НЕ ЗАШЛО",Z202="ВОЗВРАТ")),W202,"")</f>
        <v/>
      </c>
      <c r="AC202" s="15"/>
      <c r="AD202" s="16" t="str">
        <f aca="false">IF(OR(AC202="",P202=""),"",P202/AC202-1)</f>
        <v/>
      </c>
      <c r="AE202" s="19" t="str">
        <f aca="false">IF(AND(M202=0,OR(Z202="✅ ЗАШЛО",Z202="❌ НЕ ЗАШЛО"),L202&lt;&gt;""),(L202-IF(Z202="✅ ЗАШЛО",1,0))^2,"")</f>
        <v/>
      </c>
      <c r="AF202" s="15"/>
      <c r="AG202" s="15"/>
      <c r="AH202" s="13"/>
      <c r="AI202" s="13"/>
      <c r="AJ202" s="13"/>
      <c r="AK202" s="20" t="str">
        <f aca="false">IF(AH202="","",IF(ABS(AH202+AI202+AJ202-1)&lt;0.000001,"OK","ОШИБКА"))</f>
        <v/>
      </c>
      <c r="AL202" s="13"/>
      <c r="AM202" s="12"/>
      <c r="AN202" s="12"/>
      <c r="AO202" s="12"/>
      <c r="AP202" s="12"/>
      <c r="AQ202" s="18" t="str">
        <f aca="false">IF(A202="","",N(AQ201)+N(AA202))</f>
        <v/>
      </c>
      <c r="AR202" s="18" t="str">
        <f aca="false">IF(AQ202="","",MAX(0,MAX($AQ$8:AQ202))-AQ202)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3"/>
      <c r="M203" s="13"/>
      <c r="N203" s="13"/>
      <c r="O203" s="14" t="str">
        <f aca="false">IF(OR(L203="",L203=0),"",(1-M203)/L203)</f>
        <v/>
      </c>
      <c r="P203" s="15"/>
      <c r="Q203" s="12"/>
      <c r="R203" s="12"/>
      <c r="S203" s="13"/>
      <c r="T203" s="16" t="str">
        <f aca="false">IF(OR(S203="",L203=""),"",L203/(1-M203)-S203)</f>
        <v/>
      </c>
      <c r="U203" s="16" t="str">
        <f aca="false">IF(OR(L203="",P203=""),"",L203*(P203-1)-N203)</f>
        <v/>
      </c>
      <c r="V203" s="13"/>
      <c r="W203" s="17"/>
      <c r="X203" s="12"/>
      <c r="Y203" s="12"/>
      <c r="Z203" s="12"/>
      <c r="AA203" s="18" t="str">
        <f aca="false">IF(K203&lt;&gt;"ВИРТУАЛЬНЫЙ ВЫБОР","",IF(Z203="✅ ЗАШЛО",W203*(P203-1),IF(Z203="❌ НЕ ЗАШЛО",-W203,IF(Z203="½ ЗАШЛО",W203*(P203-1)/2,IF(Z203="½ НЕ ЗАШЛО",-W203/2,IF(Z203="ВОЗВРАТ",0,""))))))</f>
        <v/>
      </c>
      <c r="AB203" s="18" t="str">
        <f aca="false">IF(AND(K203="ВИРТУАЛЬНЫЙ ВЫБОР",OR(Z203="✅ ЗАШЛО",Z203="❌ НЕ ЗАШЛО",Z203="½ ЗАШЛО",Z203="½ НЕ ЗАШЛО",Z203="ВОЗВРАТ")),W203,"")</f>
        <v/>
      </c>
      <c r="AC203" s="15"/>
      <c r="AD203" s="16" t="str">
        <f aca="false">IF(OR(AC203="",P203=""),"",P203/AC203-1)</f>
        <v/>
      </c>
      <c r="AE203" s="19" t="str">
        <f aca="false">IF(AND(M203=0,OR(Z203="✅ ЗАШЛО",Z203="❌ НЕ ЗАШЛО"),L203&lt;&gt;""),(L203-IF(Z203="✅ ЗАШЛО",1,0))^2,"")</f>
        <v/>
      </c>
      <c r="AF203" s="15"/>
      <c r="AG203" s="15"/>
      <c r="AH203" s="13"/>
      <c r="AI203" s="13"/>
      <c r="AJ203" s="13"/>
      <c r="AK203" s="20" t="str">
        <f aca="false">IF(AH203="","",IF(ABS(AH203+AI203+AJ203-1)&lt;0.000001,"OK","ОШИБКА"))</f>
        <v/>
      </c>
      <c r="AL203" s="13"/>
      <c r="AM203" s="12"/>
      <c r="AN203" s="12"/>
      <c r="AO203" s="12"/>
      <c r="AP203" s="12"/>
      <c r="AQ203" s="18" t="str">
        <f aca="false">IF(A203="","",N(AQ202)+N(AA203))</f>
        <v/>
      </c>
      <c r="AR203" s="18" t="str">
        <f aca="false">IF(AQ203="","",MAX(0,MAX($AQ$8:AQ203))-AQ203)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3"/>
      <c r="M204" s="13"/>
      <c r="N204" s="13"/>
      <c r="O204" s="14" t="str">
        <f aca="false">IF(OR(L204="",L204=0),"",(1-M204)/L204)</f>
        <v/>
      </c>
      <c r="P204" s="15"/>
      <c r="Q204" s="12"/>
      <c r="R204" s="12"/>
      <c r="S204" s="13"/>
      <c r="T204" s="16" t="str">
        <f aca="false">IF(OR(S204="",L204=""),"",L204/(1-M204)-S204)</f>
        <v/>
      </c>
      <c r="U204" s="16" t="str">
        <f aca="false">IF(OR(L204="",P204=""),"",L204*(P204-1)-N204)</f>
        <v/>
      </c>
      <c r="V204" s="13"/>
      <c r="W204" s="17"/>
      <c r="X204" s="12"/>
      <c r="Y204" s="12"/>
      <c r="Z204" s="12"/>
      <c r="AA204" s="18" t="str">
        <f aca="false">IF(K204&lt;&gt;"ВИРТУАЛЬНЫЙ ВЫБОР","",IF(Z204="✅ ЗАШЛО",W204*(P204-1),IF(Z204="❌ НЕ ЗАШЛО",-W204,IF(Z204="½ ЗАШЛО",W204*(P204-1)/2,IF(Z204="½ НЕ ЗАШЛО",-W204/2,IF(Z204="ВОЗВРАТ",0,""))))))</f>
        <v/>
      </c>
      <c r="AB204" s="18" t="str">
        <f aca="false">IF(AND(K204="ВИРТУАЛЬНЫЙ ВЫБОР",OR(Z204="✅ ЗАШЛО",Z204="❌ НЕ ЗАШЛО",Z204="½ ЗАШЛО",Z204="½ НЕ ЗАШЛО",Z204="ВОЗВРАТ")),W204,"")</f>
        <v/>
      </c>
      <c r="AC204" s="15"/>
      <c r="AD204" s="16" t="str">
        <f aca="false">IF(OR(AC204="",P204=""),"",P204/AC204-1)</f>
        <v/>
      </c>
      <c r="AE204" s="19" t="str">
        <f aca="false">IF(AND(M204=0,OR(Z204="✅ ЗАШЛО",Z204="❌ НЕ ЗАШЛО"),L204&lt;&gt;""),(L204-IF(Z204="✅ ЗАШЛО",1,0))^2,"")</f>
        <v/>
      </c>
      <c r="AF204" s="15"/>
      <c r="AG204" s="15"/>
      <c r="AH204" s="13"/>
      <c r="AI204" s="13"/>
      <c r="AJ204" s="13"/>
      <c r="AK204" s="20" t="str">
        <f aca="false">IF(AH204="","",IF(ABS(AH204+AI204+AJ204-1)&lt;0.000001,"OK","ОШИБКА"))</f>
        <v/>
      </c>
      <c r="AL204" s="13"/>
      <c r="AM204" s="12"/>
      <c r="AN204" s="12"/>
      <c r="AO204" s="12"/>
      <c r="AP204" s="12"/>
      <c r="AQ204" s="18" t="str">
        <f aca="false">IF(A204="","",N(AQ203)+N(AA204))</f>
        <v/>
      </c>
      <c r="AR204" s="18" t="str">
        <f aca="false">IF(AQ204="","",MAX(0,MAX($AQ$8:AQ204))-AQ204)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3"/>
      <c r="M205" s="13"/>
      <c r="N205" s="13"/>
      <c r="O205" s="14" t="str">
        <f aca="false">IF(OR(L205="",L205=0),"",(1-M205)/L205)</f>
        <v/>
      </c>
      <c r="P205" s="15"/>
      <c r="Q205" s="12"/>
      <c r="R205" s="12"/>
      <c r="S205" s="13"/>
      <c r="T205" s="16" t="str">
        <f aca="false">IF(OR(S205="",L205=""),"",L205/(1-M205)-S205)</f>
        <v/>
      </c>
      <c r="U205" s="16" t="str">
        <f aca="false">IF(OR(L205="",P205=""),"",L205*(P205-1)-N205)</f>
        <v/>
      </c>
      <c r="V205" s="13"/>
      <c r="W205" s="17"/>
      <c r="X205" s="12"/>
      <c r="Y205" s="12"/>
      <c r="Z205" s="12"/>
      <c r="AA205" s="18" t="str">
        <f aca="false">IF(K205&lt;&gt;"ВИРТУАЛЬНЫЙ ВЫБОР","",IF(Z205="✅ ЗАШЛО",W205*(P205-1),IF(Z205="❌ НЕ ЗАШЛО",-W205,IF(Z205="½ ЗАШЛО",W205*(P205-1)/2,IF(Z205="½ НЕ ЗАШЛО",-W205/2,IF(Z205="ВОЗВРАТ",0,""))))))</f>
        <v/>
      </c>
      <c r="AB205" s="18" t="str">
        <f aca="false">IF(AND(K205="ВИРТУАЛЬНЫЙ ВЫБОР",OR(Z205="✅ ЗАШЛО",Z205="❌ НЕ ЗАШЛО",Z205="½ ЗАШЛО",Z205="½ НЕ ЗАШЛО",Z205="ВОЗВРАТ")),W205,"")</f>
        <v/>
      </c>
      <c r="AC205" s="15"/>
      <c r="AD205" s="16" t="str">
        <f aca="false">IF(OR(AC205="",P205=""),"",P205/AC205-1)</f>
        <v/>
      </c>
      <c r="AE205" s="19" t="str">
        <f aca="false">IF(AND(M205=0,OR(Z205="✅ ЗАШЛО",Z205="❌ НЕ ЗАШЛО"),L205&lt;&gt;""),(L205-IF(Z205="✅ ЗАШЛО",1,0))^2,"")</f>
        <v/>
      </c>
      <c r="AF205" s="15"/>
      <c r="AG205" s="15"/>
      <c r="AH205" s="13"/>
      <c r="AI205" s="13"/>
      <c r="AJ205" s="13"/>
      <c r="AK205" s="20" t="str">
        <f aca="false">IF(AH205="","",IF(ABS(AH205+AI205+AJ205-1)&lt;0.000001,"OK","ОШИБКА"))</f>
        <v/>
      </c>
      <c r="AL205" s="13"/>
      <c r="AM205" s="12"/>
      <c r="AN205" s="12"/>
      <c r="AO205" s="12"/>
      <c r="AP205" s="12"/>
      <c r="AQ205" s="18" t="str">
        <f aca="false">IF(A205="","",N(AQ204)+N(AA205))</f>
        <v/>
      </c>
      <c r="AR205" s="18" t="str">
        <f aca="false">IF(AQ205="","",MAX(0,MAX($AQ$8:AQ205))-AQ205)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3"/>
      <c r="M206" s="13"/>
      <c r="N206" s="13"/>
      <c r="O206" s="14" t="str">
        <f aca="false">IF(OR(L206="",L206=0),"",(1-M206)/L206)</f>
        <v/>
      </c>
      <c r="P206" s="15"/>
      <c r="Q206" s="12"/>
      <c r="R206" s="12"/>
      <c r="S206" s="13"/>
      <c r="T206" s="16" t="str">
        <f aca="false">IF(OR(S206="",L206=""),"",L206/(1-M206)-S206)</f>
        <v/>
      </c>
      <c r="U206" s="16" t="str">
        <f aca="false">IF(OR(L206="",P206=""),"",L206*(P206-1)-N206)</f>
        <v/>
      </c>
      <c r="V206" s="13"/>
      <c r="W206" s="17"/>
      <c r="X206" s="12"/>
      <c r="Y206" s="12"/>
      <c r="Z206" s="12"/>
      <c r="AA206" s="18" t="str">
        <f aca="false">IF(K206&lt;&gt;"ВИРТУАЛЬНЫЙ ВЫБОР","",IF(Z206="✅ ЗАШЛО",W206*(P206-1),IF(Z206="❌ НЕ ЗАШЛО",-W206,IF(Z206="½ ЗАШЛО",W206*(P206-1)/2,IF(Z206="½ НЕ ЗАШЛО",-W206/2,IF(Z206="ВОЗВРАТ",0,""))))))</f>
        <v/>
      </c>
      <c r="AB206" s="18" t="str">
        <f aca="false">IF(AND(K206="ВИРТУАЛЬНЫЙ ВЫБОР",OR(Z206="✅ ЗАШЛО",Z206="❌ НЕ ЗАШЛО",Z206="½ ЗАШЛО",Z206="½ НЕ ЗАШЛО",Z206="ВОЗВРАТ")),W206,"")</f>
        <v/>
      </c>
      <c r="AC206" s="15"/>
      <c r="AD206" s="16" t="str">
        <f aca="false">IF(OR(AC206="",P206=""),"",P206/AC206-1)</f>
        <v/>
      </c>
      <c r="AE206" s="19" t="str">
        <f aca="false">IF(AND(M206=0,OR(Z206="✅ ЗАШЛО",Z206="❌ НЕ ЗАШЛО"),L206&lt;&gt;""),(L206-IF(Z206="✅ ЗАШЛО",1,0))^2,"")</f>
        <v/>
      </c>
      <c r="AF206" s="15"/>
      <c r="AG206" s="15"/>
      <c r="AH206" s="13"/>
      <c r="AI206" s="13"/>
      <c r="AJ206" s="13"/>
      <c r="AK206" s="20" t="str">
        <f aca="false">IF(AH206="","",IF(ABS(AH206+AI206+AJ206-1)&lt;0.000001,"OK","ОШИБКА"))</f>
        <v/>
      </c>
      <c r="AL206" s="13"/>
      <c r="AM206" s="12"/>
      <c r="AN206" s="12"/>
      <c r="AO206" s="12"/>
      <c r="AP206" s="12"/>
      <c r="AQ206" s="18" t="str">
        <f aca="false">IF(A206="","",N(AQ205)+N(AA206))</f>
        <v/>
      </c>
      <c r="AR206" s="18" t="str">
        <f aca="false">IF(AQ206="","",MAX(0,MAX($AQ$8:AQ206))-AQ206)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3"/>
      <c r="M207" s="13"/>
      <c r="N207" s="13"/>
      <c r="O207" s="14" t="str">
        <f aca="false">IF(OR(L207="",L207=0),"",(1-M207)/L207)</f>
        <v/>
      </c>
      <c r="P207" s="15"/>
      <c r="Q207" s="12"/>
      <c r="R207" s="12"/>
      <c r="S207" s="13"/>
      <c r="T207" s="16" t="str">
        <f aca="false">IF(OR(S207="",L207=""),"",L207/(1-M207)-S207)</f>
        <v/>
      </c>
      <c r="U207" s="16" t="str">
        <f aca="false">IF(OR(L207="",P207=""),"",L207*(P207-1)-N207)</f>
        <v/>
      </c>
      <c r="V207" s="13"/>
      <c r="W207" s="17"/>
      <c r="X207" s="12"/>
      <c r="Y207" s="12"/>
      <c r="Z207" s="12"/>
      <c r="AA207" s="18" t="str">
        <f aca="false">IF(K207&lt;&gt;"ВИРТУАЛЬНЫЙ ВЫБОР","",IF(Z207="✅ ЗАШЛО",W207*(P207-1),IF(Z207="❌ НЕ ЗАШЛО",-W207,IF(Z207="½ ЗАШЛО",W207*(P207-1)/2,IF(Z207="½ НЕ ЗАШЛО",-W207/2,IF(Z207="ВОЗВРАТ",0,""))))))</f>
        <v/>
      </c>
      <c r="AB207" s="18" t="str">
        <f aca="false">IF(AND(K207="ВИРТУАЛЬНЫЙ ВЫБОР",OR(Z207="✅ ЗАШЛО",Z207="❌ НЕ ЗАШЛО",Z207="½ ЗАШЛО",Z207="½ НЕ ЗАШЛО",Z207="ВОЗВРАТ")),W207,"")</f>
        <v/>
      </c>
      <c r="AC207" s="15"/>
      <c r="AD207" s="16" t="str">
        <f aca="false">IF(OR(AC207="",P207=""),"",P207/AC207-1)</f>
        <v/>
      </c>
      <c r="AE207" s="19" t="str">
        <f aca="false">IF(AND(M207=0,OR(Z207="✅ ЗАШЛО",Z207="❌ НЕ ЗАШЛО"),L207&lt;&gt;""),(L207-IF(Z207="✅ ЗАШЛО",1,0))^2,"")</f>
        <v/>
      </c>
      <c r="AF207" s="15"/>
      <c r="AG207" s="15"/>
      <c r="AH207" s="13"/>
      <c r="AI207" s="13"/>
      <c r="AJ207" s="13"/>
      <c r="AK207" s="20" t="str">
        <f aca="false">IF(AH207="","",IF(ABS(AH207+AI207+AJ207-1)&lt;0.000001,"OK","ОШИБКА"))</f>
        <v/>
      </c>
      <c r="AL207" s="13"/>
      <c r="AM207" s="12"/>
      <c r="AN207" s="12"/>
      <c r="AO207" s="12"/>
      <c r="AP207" s="12"/>
      <c r="AQ207" s="18" t="str">
        <f aca="false">IF(A207="","",N(AQ206)+N(AA207))</f>
        <v/>
      </c>
      <c r="AR207" s="18" t="str">
        <f aca="false">IF(AQ207="","",MAX(0,MAX($AQ$8:AQ207))-AQ207)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3"/>
      <c r="M208" s="13"/>
      <c r="N208" s="13"/>
      <c r="O208" s="14" t="str">
        <f aca="false">IF(OR(L208="",L208=0),"",(1-M208)/L208)</f>
        <v/>
      </c>
      <c r="P208" s="15"/>
      <c r="Q208" s="12"/>
      <c r="R208" s="12"/>
      <c r="S208" s="13"/>
      <c r="T208" s="16" t="str">
        <f aca="false">IF(OR(S208="",L208=""),"",L208/(1-M208)-S208)</f>
        <v/>
      </c>
      <c r="U208" s="16" t="str">
        <f aca="false">IF(OR(L208="",P208=""),"",L208*(P208-1)-N208)</f>
        <v/>
      </c>
      <c r="V208" s="13"/>
      <c r="W208" s="17"/>
      <c r="X208" s="12"/>
      <c r="Y208" s="12"/>
      <c r="Z208" s="12"/>
      <c r="AA208" s="18" t="str">
        <f aca="false">IF(K208&lt;&gt;"ВИРТУАЛЬНЫЙ ВЫБОР","",IF(Z208="✅ ЗАШЛО",W208*(P208-1),IF(Z208="❌ НЕ ЗАШЛО",-W208,IF(Z208="½ ЗАШЛО",W208*(P208-1)/2,IF(Z208="½ НЕ ЗАШЛО",-W208/2,IF(Z208="ВОЗВРАТ",0,""))))))</f>
        <v/>
      </c>
      <c r="AB208" s="18" t="str">
        <f aca="false">IF(AND(K208="ВИРТУАЛЬНЫЙ ВЫБОР",OR(Z208="✅ ЗАШЛО",Z208="❌ НЕ ЗАШЛО",Z208="½ ЗАШЛО",Z208="½ НЕ ЗАШЛО",Z208="ВОЗВРАТ")),W208,"")</f>
        <v/>
      </c>
      <c r="AC208" s="15"/>
      <c r="AD208" s="16" t="str">
        <f aca="false">IF(OR(AC208="",P208=""),"",P208/AC208-1)</f>
        <v/>
      </c>
      <c r="AE208" s="19" t="str">
        <f aca="false">IF(AND(M208=0,OR(Z208="✅ ЗАШЛО",Z208="❌ НЕ ЗАШЛО"),L208&lt;&gt;""),(L208-IF(Z208="✅ ЗАШЛО",1,0))^2,"")</f>
        <v/>
      </c>
      <c r="AF208" s="15"/>
      <c r="AG208" s="15"/>
      <c r="AH208" s="13"/>
      <c r="AI208" s="13"/>
      <c r="AJ208" s="13"/>
      <c r="AK208" s="20" t="str">
        <f aca="false">IF(AH208="","",IF(ABS(AH208+AI208+AJ208-1)&lt;0.000001,"OK","ОШИБКА"))</f>
        <v/>
      </c>
      <c r="AL208" s="13"/>
      <c r="AM208" s="12"/>
      <c r="AN208" s="12"/>
      <c r="AO208" s="12"/>
      <c r="AP208" s="12"/>
      <c r="AQ208" s="18" t="str">
        <f aca="false">IF(A208="","",N(AQ207)+N(AA208))</f>
        <v/>
      </c>
      <c r="AR208" s="18" t="str">
        <f aca="false">IF(AQ208="","",MAX(0,MAX($AQ$8:AQ208))-AQ208)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3"/>
      <c r="M209" s="13"/>
      <c r="N209" s="13"/>
      <c r="O209" s="14" t="str">
        <f aca="false">IF(OR(L209="",L209=0),"",(1-M209)/L209)</f>
        <v/>
      </c>
      <c r="P209" s="15"/>
      <c r="Q209" s="12"/>
      <c r="R209" s="12"/>
      <c r="S209" s="13"/>
      <c r="T209" s="16" t="str">
        <f aca="false">IF(OR(S209="",L209=""),"",L209/(1-M209)-S209)</f>
        <v/>
      </c>
      <c r="U209" s="16" t="str">
        <f aca="false">IF(OR(L209="",P209=""),"",L209*(P209-1)-N209)</f>
        <v/>
      </c>
      <c r="V209" s="13"/>
      <c r="W209" s="17"/>
      <c r="X209" s="12"/>
      <c r="Y209" s="12"/>
      <c r="Z209" s="12"/>
      <c r="AA209" s="18" t="str">
        <f aca="false">IF(K209&lt;&gt;"ВИРТУАЛЬНЫЙ ВЫБОР","",IF(Z209="✅ ЗАШЛО",W209*(P209-1),IF(Z209="❌ НЕ ЗАШЛО",-W209,IF(Z209="½ ЗАШЛО",W209*(P209-1)/2,IF(Z209="½ НЕ ЗАШЛО",-W209/2,IF(Z209="ВОЗВРАТ",0,""))))))</f>
        <v/>
      </c>
      <c r="AB209" s="18" t="str">
        <f aca="false">IF(AND(K209="ВИРТУАЛЬНЫЙ ВЫБОР",OR(Z209="✅ ЗАШЛО",Z209="❌ НЕ ЗАШЛО",Z209="½ ЗАШЛО",Z209="½ НЕ ЗАШЛО",Z209="ВОЗВРАТ")),W209,"")</f>
        <v/>
      </c>
      <c r="AC209" s="15"/>
      <c r="AD209" s="16" t="str">
        <f aca="false">IF(OR(AC209="",P209=""),"",P209/AC209-1)</f>
        <v/>
      </c>
      <c r="AE209" s="19" t="str">
        <f aca="false">IF(AND(M209=0,OR(Z209="✅ ЗАШЛО",Z209="❌ НЕ ЗАШЛО"),L209&lt;&gt;""),(L209-IF(Z209="✅ ЗАШЛО",1,0))^2,"")</f>
        <v/>
      </c>
      <c r="AF209" s="15"/>
      <c r="AG209" s="15"/>
      <c r="AH209" s="13"/>
      <c r="AI209" s="13"/>
      <c r="AJ209" s="13"/>
      <c r="AK209" s="20" t="str">
        <f aca="false">IF(AH209="","",IF(ABS(AH209+AI209+AJ209-1)&lt;0.000001,"OK","ОШИБКА"))</f>
        <v/>
      </c>
      <c r="AL209" s="13"/>
      <c r="AM209" s="12"/>
      <c r="AN209" s="12"/>
      <c r="AO209" s="12"/>
      <c r="AP209" s="12"/>
      <c r="AQ209" s="18" t="str">
        <f aca="false">IF(A209="","",N(AQ208)+N(AA209))</f>
        <v/>
      </c>
      <c r="AR209" s="18" t="str">
        <f aca="false">IF(AQ209="","",MAX(0,MAX($AQ$8:AQ209))-AQ209)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3"/>
      <c r="M210" s="13"/>
      <c r="N210" s="13"/>
      <c r="O210" s="14" t="str">
        <f aca="false">IF(OR(L210="",L210=0),"",(1-M210)/L210)</f>
        <v/>
      </c>
      <c r="P210" s="15"/>
      <c r="Q210" s="12"/>
      <c r="R210" s="12"/>
      <c r="S210" s="13"/>
      <c r="T210" s="16" t="str">
        <f aca="false">IF(OR(S210="",L210=""),"",L210/(1-M210)-S210)</f>
        <v/>
      </c>
      <c r="U210" s="16" t="str">
        <f aca="false">IF(OR(L210="",P210=""),"",L210*(P210-1)-N210)</f>
        <v/>
      </c>
      <c r="V210" s="13"/>
      <c r="W210" s="17"/>
      <c r="X210" s="12"/>
      <c r="Y210" s="12"/>
      <c r="Z210" s="12"/>
      <c r="AA210" s="18" t="str">
        <f aca="false">IF(K210&lt;&gt;"ВИРТУАЛЬНЫЙ ВЫБОР","",IF(Z210="✅ ЗАШЛО",W210*(P210-1),IF(Z210="❌ НЕ ЗАШЛО",-W210,IF(Z210="½ ЗАШЛО",W210*(P210-1)/2,IF(Z210="½ НЕ ЗАШЛО",-W210/2,IF(Z210="ВОЗВРАТ",0,""))))))</f>
        <v/>
      </c>
      <c r="AB210" s="18" t="str">
        <f aca="false">IF(AND(K210="ВИРТУАЛЬНЫЙ ВЫБОР",OR(Z210="✅ ЗАШЛО",Z210="❌ НЕ ЗАШЛО",Z210="½ ЗАШЛО",Z210="½ НЕ ЗАШЛО",Z210="ВОЗВРАТ")),W210,"")</f>
        <v/>
      </c>
      <c r="AC210" s="15"/>
      <c r="AD210" s="16" t="str">
        <f aca="false">IF(OR(AC210="",P210=""),"",P210/AC210-1)</f>
        <v/>
      </c>
      <c r="AE210" s="19" t="str">
        <f aca="false">IF(AND(M210=0,OR(Z210="✅ ЗАШЛО",Z210="❌ НЕ ЗАШЛО"),L210&lt;&gt;""),(L210-IF(Z210="✅ ЗАШЛО",1,0))^2,"")</f>
        <v/>
      </c>
      <c r="AF210" s="15"/>
      <c r="AG210" s="15"/>
      <c r="AH210" s="13"/>
      <c r="AI210" s="13"/>
      <c r="AJ210" s="13"/>
      <c r="AK210" s="20" t="str">
        <f aca="false">IF(AH210="","",IF(ABS(AH210+AI210+AJ210-1)&lt;0.000001,"OK","ОШИБКА"))</f>
        <v/>
      </c>
      <c r="AL210" s="13"/>
      <c r="AM210" s="12"/>
      <c r="AN210" s="12"/>
      <c r="AO210" s="12"/>
      <c r="AP210" s="12"/>
      <c r="AQ210" s="18" t="str">
        <f aca="false">IF(A210="","",N(AQ209)+N(AA210))</f>
        <v/>
      </c>
      <c r="AR210" s="18" t="str">
        <f aca="false">IF(AQ210="","",MAX(0,MAX($AQ$8:AQ210))-AQ210)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3"/>
      <c r="M211" s="13"/>
      <c r="N211" s="13"/>
      <c r="O211" s="14" t="str">
        <f aca="false">IF(OR(L211="",L211=0),"",(1-M211)/L211)</f>
        <v/>
      </c>
      <c r="P211" s="15"/>
      <c r="Q211" s="12"/>
      <c r="R211" s="12"/>
      <c r="S211" s="13"/>
      <c r="T211" s="16" t="str">
        <f aca="false">IF(OR(S211="",L211=""),"",L211/(1-M211)-S211)</f>
        <v/>
      </c>
      <c r="U211" s="16" t="str">
        <f aca="false">IF(OR(L211="",P211=""),"",L211*(P211-1)-N211)</f>
        <v/>
      </c>
      <c r="V211" s="13"/>
      <c r="W211" s="17"/>
      <c r="X211" s="12"/>
      <c r="Y211" s="12"/>
      <c r="Z211" s="12"/>
      <c r="AA211" s="18" t="str">
        <f aca="false">IF(K211&lt;&gt;"ВИРТУАЛЬНЫЙ ВЫБОР","",IF(Z211="✅ ЗАШЛО",W211*(P211-1),IF(Z211="❌ НЕ ЗАШЛО",-W211,IF(Z211="½ ЗАШЛО",W211*(P211-1)/2,IF(Z211="½ НЕ ЗАШЛО",-W211/2,IF(Z211="ВОЗВРАТ",0,""))))))</f>
        <v/>
      </c>
      <c r="AB211" s="18" t="str">
        <f aca="false">IF(AND(K211="ВИРТУАЛЬНЫЙ ВЫБОР",OR(Z211="✅ ЗАШЛО",Z211="❌ НЕ ЗАШЛО",Z211="½ ЗАШЛО",Z211="½ НЕ ЗАШЛО",Z211="ВОЗВРАТ")),W211,"")</f>
        <v/>
      </c>
      <c r="AC211" s="15"/>
      <c r="AD211" s="16" t="str">
        <f aca="false">IF(OR(AC211="",P211=""),"",P211/AC211-1)</f>
        <v/>
      </c>
      <c r="AE211" s="19" t="str">
        <f aca="false">IF(AND(M211=0,OR(Z211="✅ ЗАШЛО",Z211="❌ НЕ ЗАШЛО"),L211&lt;&gt;""),(L211-IF(Z211="✅ ЗАШЛО",1,0))^2,"")</f>
        <v/>
      </c>
      <c r="AF211" s="15"/>
      <c r="AG211" s="15"/>
      <c r="AH211" s="13"/>
      <c r="AI211" s="13"/>
      <c r="AJ211" s="13"/>
      <c r="AK211" s="20" t="str">
        <f aca="false">IF(AH211="","",IF(ABS(AH211+AI211+AJ211-1)&lt;0.000001,"OK","ОШИБКА"))</f>
        <v/>
      </c>
      <c r="AL211" s="13"/>
      <c r="AM211" s="12"/>
      <c r="AN211" s="12"/>
      <c r="AO211" s="12"/>
      <c r="AP211" s="12"/>
      <c r="AQ211" s="18" t="str">
        <f aca="false">IF(A211="","",N(AQ210)+N(AA211))</f>
        <v/>
      </c>
      <c r="AR211" s="18" t="str">
        <f aca="false">IF(AQ211="","",MAX(0,MAX($AQ$8:AQ211))-AQ211)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3"/>
      <c r="M212" s="13"/>
      <c r="N212" s="13"/>
      <c r="O212" s="14" t="str">
        <f aca="false">IF(OR(L212="",L212=0),"",(1-M212)/L212)</f>
        <v/>
      </c>
      <c r="P212" s="15"/>
      <c r="Q212" s="12"/>
      <c r="R212" s="12"/>
      <c r="S212" s="13"/>
      <c r="T212" s="16" t="str">
        <f aca="false">IF(OR(S212="",L212=""),"",L212/(1-M212)-S212)</f>
        <v/>
      </c>
      <c r="U212" s="16" t="str">
        <f aca="false">IF(OR(L212="",P212=""),"",L212*(P212-1)-N212)</f>
        <v/>
      </c>
      <c r="V212" s="13"/>
      <c r="W212" s="17"/>
      <c r="X212" s="12"/>
      <c r="Y212" s="12"/>
      <c r="Z212" s="12"/>
      <c r="AA212" s="18" t="str">
        <f aca="false">IF(K212&lt;&gt;"ВИРТУАЛЬНЫЙ ВЫБОР","",IF(Z212="✅ ЗАШЛО",W212*(P212-1),IF(Z212="❌ НЕ ЗАШЛО",-W212,IF(Z212="½ ЗАШЛО",W212*(P212-1)/2,IF(Z212="½ НЕ ЗАШЛО",-W212/2,IF(Z212="ВОЗВРАТ",0,""))))))</f>
        <v/>
      </c>
      <c r="AB212" s="18" t="str">
        <f aca="false">IF(AND(K212="ВИРТУАЛЬНЫЙ ВЫБОР",OR(Z212="✅ ЗАШЛО",Z212="❌ НЕ ЗАШЛО",Z212="½ ЗАШЛО",Z212="½ НЕ ЗАШЛО",Z212="ВОЗВРАТ")),W212,"")</f>
        <v/>
      </c>
      <c r="AC212" s="15"/>
      <c r="AD212" s="16" t="str">
        <f aca="false">IF(OR(AC212="",P212=""),"",P212/AC212-1)</f>
        <v/>
      </c>
      <c r="AE212" s="19" t="str">
        <f aca="false">IF(AND(M212=0,OR(Z212="✅ ЗАШЛО",Z212="❌ НЕ ЗАШЛО"),L212&lt;&gt;""),(L212-IF(Z212="✅ ЗАШЛО",1,0))^2,"")</f>
        <v/>
      </c>
      <c r="AF212" s="15"/>
      <c r="AG212" s="15"/>
      <c r="AH212" s="13"/>
      <c r="AI212" s="13"/>
      <c r="AJ212" s="13"/>
      <c r="AK212" s="20" t="str">
        <f aca="false">IF(AH212="","",IF(ABS(AH212+AI212+AJ212-1)&lt;0.000001,"OK","ОШИБКА"))</f>
        <v/>
      </c>
      <c r="AL212" s="13"/>
      <c r="AM212" s="12"/>
      <c r="AN212" s="12"/>
      <c r="AO212" s="12"/>
      <c r="AP212" s="12"/>
      <c r="AQ212" s="18" t="str">
        <f aca="false">IF(A212="","",N(AQ211)+N(AA212))</f>
        <v/>
      </c>
      <c r="AR212" s="18" t="str">
        <f aca="false">IF(AQ212="","",MAX(0,MAX($AQ$8:AQ212))-AQ212)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3"/>
      <c r="M213" s="13"/>
      <c r="N213" s="13"/>
      <c r="O213" s="14" t="str">
        <f aca="false">IF(OR(L213="",L213=0),"",(1-M213)/L213)</f>
        <v/>
      </c>
      <c r="P213" s="15"/>
      <c r="Q213" s="12"/>
      <c r="R213" s="12"/>
      <c r="S213" s="13"/>
      <c r="T213" s="16" t="str">
        <f aca="false">IF(OR(S213="",L213=""),"",L213/(1-M213)-S213)</f>
        <v/>
      </c>
      <c r="U213" s="16" t="str">
        <f aca="false">IF(OR(L213="",P213=""),"",L213*(P213-1)-N213)</f>
        <v/>
      </c>
      <c r="V213" s="13"/>
      <c r="W213" s="17"/>
      <c r="X213" s="12"/>
      <c r="Y213" s="12"/>
      <c r="Z213" s="12"/>
      <c r="AA213" s="18" t="str">
        <f aca="false">IF(K213&lt;&gt;"ВИРТУАЛЬНЫЙ ВЫБОР","",IF(Z213="✅ ЗАШЛО",W213*(P213-1),IF(Z213="❌ НЕ ЗАШЛО",-W213,IF(Z213="½ ЗАШЛО",W213*(P213-1)/2,IF(Z213="½ НЕ ЗАШЛО",-W213/2,IF(Z213="ВОЗВРАТ",0,""))))))</f>
        <v/>
      </c>
      <c r="AB213" s="18" t="str">
        <f aca="false">IF(AND(K213="ВИРТУАЛЬНЫЙ ВЫБОР",OR(Z213="✅ ЗАШЛО",Z213="❌ НЕ ЗАШЛО",Z213="½ ЗАШЛО",Z213="½ НЕ ЗАШЛО",Z213="ВОЗВРАТ")),W213,"")</f>
        <v/>
      </c>
      <c r="AC213" s="15"/>
      <c r="AD213" s="16" t="str">
        <f aca="false">IF(OR(AC213="",P213=""),"",P213/AC213-1)</f>
        <v/>
      </c>
      <c r="AE213" s="19" t="str">
        <f aca="false">IF(AND(M213=0,OR(Z213="✅ ЗАШЛО",Z213="❌ НЕ ЗАШЛО"),L213&lt;&gt;""),(L213-IF(Z213="✅ ЗАШЛО",1,0))^2,"")</f>
        <v/>
      </c>
      <c r="AF213" s="15"/>
      <c r="AG213" s="15"/>
      <c r="AH213" s="13"/>
      <c r="AI213" s="13"/>
      <c r="AJ213" s="13"/>
      <c r="AK213" s="20" t="str">
        <f aca="false">IF(AH213="","",IF(ABS(AH213+AI213+AJ213-1)&lt;0.000001,"OK","ОШИБКА"))</f>
        <v/>
      </c>
      <c r="AL213" s="13"/>
      <c r="AM213" s="12"/>
      <c r="AN213" s="12"/>
      <c r="AO213" s="12"/>
      <c r="AP213" s="12"/>
      <c r="AQ213" s="18" t="str">
        <f aca="false">IF(A213="","",N(AQ212)+N(AA213))</f>
        <v/>
      </c>
      <c r="AR213" s="18" t="str">
        <f aca="false">IF(AQ213="","",MAX(0,MAX($AQ$8:AQ213))-AQ213)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3"/>
      <c r="M214" s="13"/>
      <c r="N214" s="13"/>
      <c r="O214" s="14" t="str">
        <f aca="false">IF(OR(L214="",L214=0),"",(1-M214)/L214)</f>
        <v/>
      </c>
      <c r="P214" s="15"/>
      <c r="Q214" s="12"/>
      <c r="R214" s="12"/>
      <c r="S214" s="13"/>
      <c r="T214" s="16" t="str">
        <f aca="false">IF(OR(S214="",L214=""),"",L214/(1-M214)-S214)</f>
        <v/>
      </c>
      <c r="U214" s="16" t="str">
        <f aca="false">IF(OR(L214="",P214=""),"",L214*(P214-1)-N214)</f>
        <v/>
      </c>
      <c r="V214" s="13"/>
      <c r="W214" s="17"/>
      <c r="X214" s="12"/>
      <c r="Y214" s="12"/>
      <c r="Z214" s="12"/>
      <c r="AA214" s="18" t="str">
        <f aca="false">IF(K214&lt;&gt;"ВИРТУАЛЬНЫЙ ВЫБОР","",IF(Z214="✅ ЗАШЛО",W214*(P214-1),IF(Z214="❌ НЕ ЗАШЛО",-W214,IF(Z214="½ ЗАШЛО",W214*(P214-1)/2,IF(Z214="½ НЕ ЗАШЛО",-W214/2,IF(Z214="ВОЗВРАТ",0,""))))))</f>
        <v/>
      </c>
      <c r="AB214" s="18" t="str">
        <f aca="false">IF(AND(K214="ВИРТУАЛЬНЫЙ ВЫБОР",OR(Z214="✅ ЗАШЛО",Z214="❌ НЕ ЗАШЛО",Z214="½ ЗАШЛО",Z214="½ НЕ ЗАШЛО",Z214="ВОЗВРАТ")),W214,"")</f>
        <v/>
      </c>
      <c r="AC214" s="15"/>
      <c r="AD214" s="16" t="str">
        <f aca="false">IF(OR(AC214="",P214=""),"",P214/AC214-1)</f>
        <v/>
      </c>
      <c r="AE214" s="19" t="str">
        <f aca="false">IF(AND(M214=0,OR(Z214="✅ ЗАШЛО",Z214="❌ НЕ ЗАШЛО"),L214&lt;&gt;""),(L214-IF(Z214="✅ ЗАШЛО",1,0))^2,"")</f>
        <v/>
      </c>
      <c r="AF214" s="15"/>
      <c r="AG214" s="15"/>
      <c r="AH214" s="13"/>
      <c r="AI214" s="13"/>
      <c r="AJ214" s="13"/>
      <c r="AK214" s="20" t="str">
        <f aca="false">IF(AH214="","",IF(ABS(AH214+AI214+AJ214-1)&lt;0.000001,"OK","ОШИБКА"))</f>
        <v/>
      </c>
      <c r="AL214" s="13"/>
      <c r="AM214" s="12"/>
      <c r="AN214" s="12"/>
      <c r="AO214" s="12"/>
      <c r="AP214" s="12"/>
      <c r="AQ214" s="18" t="str">
        <f aca="false">IF(A214="","",N(AQ213)+N(AA214))</f>
        <v/>
      </c>
      <c r="AR214" s="18" t="str">
        <f aca="false">IF(AQ214="","",MAX(0,MAX($AQ$8:AQ214))-AQ214)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3"/>
      <c r="M215" s="13"/>
      <c r="N215" s="13"/>
      <c r="O215" s="14" t="str">
        <f aca="false">IF(OR(L215="",L215=0),"",(1-M215)/L215)</f>
        <v/>
      </c>
      <c r="P215" s="15"/>
      <c r="Q215" s="12"/>
      <c r="R215" s="12"/>
      <c r="S215" s="13"/>
      <c r="T215" s="16" t="str">
        <f aca="false">IF(OR(S215="",L215=""),"",L215/(1-M215)-S215)</f>
        <v/>
      </c>
      <c r="U215" s="16" t="str">
        <f aca="false">IF(OR(L215="",P215=""),"",L215*(P215-1)-N215)</f>
        <v/>
      </c>
      <c r="V215" s="13"/>
      <c r="W215" s="17"/>
      <c r="X215" s="12"/>
      <c r="Y215" s="12"/>
      <c r="Z215" s="12"/>
      <c r="AA215" s="18" t="str">
        <f aca="false">IF(K215&lt;&gt;"ВИРТУАЛЬНЫЙ ВЫБОР","",IF(Z215="✅ ЗАШЛО",W215*(P215-1),IF(Z215="❌ НЕ ЗАШЛО",-W215,IF(Z215="½ ЗАШЛО",W215*(P215-1)/2,IF(Z215="½ НЕ ЗАШЛО",-W215/2,IF(Z215="ВОЗВРАТ",0,""))))))</f>
        <v/>
      </c>
      <c r="AB215" s="18" t="str">
        <f aca="false">IF(AND(K215="ВИРТУАЛЬНЫЙ ВЫБОР",OR(Z215="✅ ЗАШЛО",Z215="❌ НЕ ЗАШЛО",Z215="½ ЗАШЛО",Z215="½ НЕ ЗАШЛО",Z215="ВОЗВРАТ")),W215,"")</f>
        <v/>
      </c>
      <c r="AC215" s="15"/>
      <c r="AD215" s="16" t="str">
        <f aca="false">IF(OR(AC215="",P215=""),"",P215/AC215-1)</f>
        <v/>
      </c>
      <c r="AE215" s="19" t="str">
        <f aca="false">IF(AND(M215=0,OR(Z215="✅ ЗАШЛО",Z215="❌ НЕ ЗАШЛО"),L215&lt;&gt;""),(L215-IF(Z215="✅ ЗАШЛО",1,0))^2,"")</f>
        <v/>
      </c>
      <c r="AF215" s="15"/>
      <c r="AG215" s="15"/>
      <c r="AH215" s="13"/>
      <c r="AI215" s="13"/>
      <c r="AJ215" s="13"/>
      <c r="AK215" s="20" t="str">
        <f aca="false">IF(AH215="","",IF(ABS(AH215+AI215+AJ215-1)&lt;0.000001,"OK","ОШИБКА"))</f>
        <v/>
      </c>
      <c r="AL215" s="13"/>
      <c r="AM215" s="12"/>
      <c r="AN215" s="12"/>
      <c r="AO215" s="12"/>
      <c r="AP215" s="12"/>
      <c r="AQ215" s="18" t="str">
        <f aca="false">IF(A215="","",N(AQ214)+N(AA215))</f>
        <v/>
      </c>
      <c r="AR215" s="18" t="str">
        <f aca="false">IF(AQ215="","",MAX(0,MAX($AQ$8:AQ215))-AQ215)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3"/>
      <c r="M216" s="13"/>
      <c r="N216" s="13"/>
      <c r="O216" s="14" t="str">
        <f aca="false">IF(OR(L216="",L216=0),"",(1-M216)/L216)</f>
        <v/>
      </c>
      <c r="P216" s="15"/>
      <c r="Q216" s="12"/>
      <c r="R216" s="12"/>
      <c r="S216" s="13"/>
      <c r="T216" s="16" t="str">
        <f aca="false">IF(OR(S216="",L216=""),"",L216/(1-M216)-S216)</f>
        <v/>
      </c>
      <c r="U216" s="16" t="str">
        <f aca="false">IF(OR(L216="",P216=""),"",L216*(P216-1)-N216)</f>
        <v/>
      </c>
      <c r="V216" s="13"/>
      <c r="W216" s="17"/>
      <c r="X216" s="12"/>
      <c r="Y216" s="12"/>
      <c r="Z216" s="12"/>
      <c r="AA216" s="18" t="str">
        <f aca="false">IF(K216&lt;&gt;"ВИРТУАЛЬНЫЙ ВЫБОР","",IF(Z216="✅ ЗАШЛО",W216*(P216-1),IF(Z216="❌ НЕ ЗАШЛО",-W216,IF(Z216="½ ЗАШЛО",W216*(P216-1)/2,IF(Z216="½ НЕ ЗАШЛО",-W216/2,IF(Z216="ВОЗВРАТ",0,""))))))</f>
        <v/>
      </c>
      <c r="AB216" s="18" t="str">
        <f aca="false">IF(AND(K216="ВИРТУАЛЬНЫЙ ВЫБОР",OR(Z216="✅ ЗАШЛО",Z216="❌ НЕ ЗАШЛО",Z216="½ ЗАШЛО",Z216="½ НЕ ЗАШЛО",Z216="ВОЗВРАТ")),W216,"")</f>
        <v/>
      </c>
      <c r="AC216" s="15"/>
      <c r="AD216" s="16" t="str">
        <f aca="false">IF(OR(AC216="",P216=""),"",P216/AC216-1)</f>
        <v/>
      </c>
      <c r="AE216" s="19" t="str">
        <f aca="false">IF(AND(M216=0,OR(Z216="✅ ЗАШЛО",Z216="❌ НЕ ЗАШЛО"),L216&lt;&gt;""),(L216-IF(Z216="✅ ЗАШЛО",1,0))^2,"")</f>
        <v/>
      </c>
      <c r="AF216" s="15"/>
      <c r="AG216" s="15"/>
      <c r="AH216" s="13"/>
      <c r="AI216" s="13"/>
      <c r="AJ216" s="13"/>
      <c r="AK216" s="20" t="str">
        <f aca="false">IF(AH216="","",IF(ABS(AH216+AI216+AJ216-1)&lt;0.000001,"OK","ОШИБКА"))</f>
        <v/>
      </c>
      <c r="AL216" s="13"/>
      <c r="AM216" s="12"/>
      <c r="AN216" s="12"/>
      <c r="AO216" s="12"/>
      <c r="AP216" s="12"/>
      <c r="AQ216" s="18" t="str">
        <f aca="false">IF(A216="","",N(AQ215)+N(AA216))</f>
        <v/>
      </c>
      <c r="AR216" s="18" t="str">
        <f aca="false">IF(AQ216="","",MAX(0,MAX($AQ$8:AQ216))-AQ216)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3"/>
      <c r="M217" s="13"/>
      <c r="N217" s="13"/>
      <c r="O217" s="14" t="str">
        <f aca="false">IF(OR(L217="",L217=0),"",(1-M217)/L217)</f>
        <v/>
      </c>
      <c r="P217" s="15"/>
      <c r="Q217" s="12"/>
      <c r="R217" s="12"/>
      <c r="S217" s="13"/>
      <c r="T217" s="16" t="str">
        <f aca="false">IF(OR(S217="",L217=""),"",L217/(1-M217)-S217)</f>
        <v/>
      </c>
      <c r="U217" s="16" t="str">
        <f aca="false">IF(OR(L217="",P217=""),"",L217*(P217-1)-N217)</f>
        <v/>
      </c>
      <c r="V217" s="13"/>
      <c r="W217" s="17"/>
      <c r="X217" s="12"/>
      <c r="Y217" s="12"/>
      <c r="Z217" s="12"/>
      <c r="AA217" s="18" t="str">
        <f aca="false">IF(K217&lt;&gt;"ВИРТУАЛЬНЫЙ ВЫБОР","",IF(Z217="✅ ЗАШЛО",W217*(P217-1),IF(Z217="❌ НЕ ЗАШЛО",-W217,IF(Z217="½ ЗАШЛО",W217*(P217-1)/2,IF(Z217="½ НЕ ЗАШЛО",-W217/2,IF(Z217="ВОЗВРАТ",0,""))))))</f>
        <v/>
      </c>
      <c r="AB217" s="18" t="str">
        <f aca="false">IF(AND(K217="ВИРТУАЛЬНЫЙ ВЫБОР",OR(Z217="✅ ЗАШЛО",Z217="❌ НЕ ЗАШЛО",Z217="½ ЗАШЛО",Z217="½ НЕ ЗАШЛО",Z217="ВОЗВРАТ")),W217,"")</f>
        <v/>
      </c>
      <c r="AC217" s="15"/>
      <c r="AD217" s="16" t="str">
        <f aca="false">IF(OR(AC217="",P217=""),"",P217/AC217-1)</f>
        <v/>
      </c>
      <c r="AE217" s="19" t="str">
        <f aca="false">IF(AND(M217=0,OR(Z217="✅ ЗАШЛО",Z217="❌ НЕ ЗАШЛО"),L217&lt;&gt;""),(L217-IF(Z217="✅ ЗАШЛО",1,0))^2,"")</f>
        <v/>
      </c>
      <c r="AF217" s="15"/>
      <c r="AG217" s="15"/>
      <c r="AH217" s="13"/>
      <c r="AI217" s="13"/>
      <c r="AJ217" s="13"/>
      <c r="AK217" s="20" t="str">
        <f aca="false">IF(AH217="","",IF(ABS(AH217+AI217+AJ217-1)&lt;0.000001,"OK","ОШИБКА"))</f>
        <v/>
      </c>
      <c r="AL217" s="13"/>
      <c r="AM217" s="12"/>
      <c r="AN217" s="12"/>
      <c r="AO217" s="12"/>
      <c r="AP217" s="12"/>
      <c r="AQ217" s="18" t="str">
        <f aca="false">IF(A217="","",N(AQ216)+N(AA217))</f>
        <v/>
      </c>
      <c r="AR217" s="18" t="str">
        <f aca="false">IF(AQ217="","",MAX(0,MAX($AQ$8:AQ217))-AQ217)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3"/>
      <c r="M218" s="13"/>
      <c r="N218" s="13"/>
      <c r="O218" s="14" t="str">
        <f aca="false">IF(OR(L218="",L218=0),"",(1-M218)/L218)</f>
        <v/>
      </c>
      <c r="P218" s="15"/>
      <c r="Q218" s="12"/>
      <c r="R218" s="12"/>
      <c r="S218" s="13"/>
      <c r="T218" s="16" t="str">
        <f aca="false">IF(OR(S218="",L218=""),"",L218/(1-M218)-S218)</f>
        <v/>
      </c>
      <c r="U218" s="16" t="str">
        <f aca="false">IF(OR(L218="",P218=""),"",L218*(P218-1)-N218)</f>
        <v/>
      </c>
      <c r="V218" s="13"/>
      <c r="W218" s="17"/>
      <c r="X218" s="12"/>
      <c r="Y218" s="12"/>
      <c r="Z218" s="12"/>
      <c r="AA218" s="18" t="str">
        <f aca="false">IF(K218&lt;&gt;"ВИРТУАЛЬНЫЙ ВЫБОР","",IF(Z218="✅ ЗАШЛО",W218*(P218-1),IF(Z218="❌ НЕ ЗАШЛО",-W218,IF(Z218="½ ЗАШЛО",W218*(P218-1)/2,IF(Z218="½ НЕ ЗАШЛО",-W218/2,IF(Z218="ВОЗВРАТ",0,""))))))</f>
        <v/>
      </c>
      <c r="AB218" s="18" t="str">
        <f aca="false">IF(AND(K218="ВИРТУАЛЬНЫЙ ВЫБОР",OR(Z218="✅ ЗАШЛО",Z218="❌ НЕ ЗАШЛО",Z218="½ ЗАШЛО",Z218="½ НЕ ЗАШЛО",Z218="ВОЗВРАТ")),W218,"")</f>
        <v/>
      </c>
      <c r="AC218" s="15"/>
      <c r="AD218" s="16" t="str">
        <f aca="false">IF(OR(AC218="",P218=""),"",P218/AC218-1)</f>
        <v/>
      </c>
      <c r="AE218" s="19" t="str">
        <f aca="false">IF(AND(M218=0,OR(Z218="✅ ЗАШЛО",Z218="❌ НЕ ЗАШЛО"),L218&lt;&gt;""),(L218-IF(Z218="✅ ЗАШЛО",1,0))^2,"")</f>
        <v/>
      </c>
      <c r="AF218" s="15"/>
      <c r="AG218" s="15"/>
      <c r="AH218" s="13"/>
      <c r="AI218" s="13"/>
      <c r="AJ218" s="13"/>
      <c r="AK218" s="20" t="str">
        <f aca="false">IF(AH218="","",IF(ABS(AH218+AI218+AJ218-1)&lt;0.000001,"OK","ОШИБКА"))</f>
        <v/>
      </c>
      <c r="AL218" s="13"/>
      <c r="AM218" s="12"/>
      <c r="AN218" s="12"/>
      <c r="AO218" s="12"/>
      <c r="AP218" s="12"/>
      <c r="AQ218" s="18" t="str">
        <f aca="false">IF(A218="","",N(AQ217)+N(AA218))</f>
        <v/>
      </c>
      <c r="AR218" s="18" t="str">
        <f aca="false">IF(AQ218="","",MAX(0,MAX($AQ$8:AQ218))-AQ218)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3"/>
      <c r="M219" s="13"/>
      <c r="N219" s="13"/>
      <c r="O219" s="14" t="str">
        <f aca="false">IF(OR(L219="",L219=0),"",(1-M219)/L219)</f>
        <v/>
      </c>
      <c r="P219" s="15"/>
      <c r="Q219" s="12"/>
      <c r="R219" s="12"/>
      <c r="S219" s="13"/>
      <c r="T219" s="16" t="str">
        <f aca="false">IF(OR(S219="",L219=""),"",L219/(1-M219)-S219)</f>
        <v/>
      </c>
      <c r="U219" s="16" t="str">
        <f aca="false">IF(OR(L219="",P219=""),"",L219*(P219-1)-N219)</f>
        <v/>
      </c>
      <c r="V219" s="13"/>
      <c r="W219" s="17"/>
      <c r="X219" s="12"/>
      <c r="Y219" s="12"/>
      <c r="Z219" s="12"/>
      <c r="AA219" s="18" t="str">
        <f aca="false">IF(K219&lt;&gt;"ВИРТУАЛЬНЫЙ ВЫБОР","",IF(Z219="✅ ЗАШЛО",W219*(P219-1),IF(Z219="❌ НЕ ЗАШЛО",-W219,IF(Z219="½ ЗАШЛО",W219*(P219-1)/2,IF(Z219="½ НЕ ЗАШЛО",-W219/2,IF(Z219="ВОЗВРАТ",0,""))))))</f>
        <v/>
      </c>
      <c r="AB219" s="18" t="str">
        <f aca="false">IF(AND(K219="ВИРТУАЛЬНЫЙ ВЫБОР",OR(Z219="✅ ЗАШЛО",Z219="❌ НЕ ЗАШЛО",Z219="½ ЗАШЛО",Z219="½ НЕ ЗАШЛО",Z219="ВОЗВРАТ")),W219,"")</f>
        <v/>
      </c>
      <c r="AC219" s="15"/>
      <c r="AD219" s="16" t="str">
        <f aca="false">IF(OR(AC219="",P219=""),"",P219/AC219-1)</f>
        <v/>
      </c>
      <c r="AE219" s="19" t="str">
        <f aca="false">IF(AND(M219=0,OR(Z219="✅ ЗАШЛО",Z219="❌ НЕ ЗАШЛО"),L219&lt;&gt;""),(L219-IF(Z219="✅ ЗАШЛО",1,0))^2,"")</f>
        <v/>
      </c>
      <c r="AF219" s="15"/>
      <c r="AG219" s="15"/>
      <c r="AH219" s="13"/>
      <c r="AI219" s="13"/>
      <c r="AJ219" s="13"/>
      <c r="AK219" s="20" t="str">
        <f aca="false">IF(AH219="","",IF(ABS(AH219+AI219+AJ219-1)&lt;0.000001,"OK","ОШИБКА"))</f>
        <v/>
      </c>
      <c r="AL219" s="13"/>
      <c r="AM219" s="12"/>
      <c r="AN219" s="12"/>
      <c r="AO219" s="12"/>
      <c r="AP219" s="12"/>
      <c r="AQ219" s="18" t="str">
        <f aca="false">IF(A219="","",N(AQ218)+N(AA219))</f>
        <v/>
      </c>
      <c r="AR219" s="18" t="str">
        <f aca="false">IF(AQ219="","",MAX(0,MAX($AQ$8:AQ219))-AQ219)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3"/>
      <c r="M220" s="13"/>
      <c r="N220" s="13"/>
      <c r="O220" s="14" t="str">
        <f aca="false">IF(OR(L220="",L220=0),"",(1-M220)/L220)</f>
        <v/>
      </c>
      <c r="P220" s="15"/>
      <c r="Q220" s="12"/>
      <c r="R220" s="12"/>
      <c r="S220" s="13"/>
      <c r="T220" s="16" t="str">
        <f aca="false">IF(OR(S220="",L220=""),"",L220/(1-M220)-S220)</f>
        <v/>
      </c>
      <c r="U220" s="16" t="str">
        <f aca="false">IF(OR(L220="",P220=""),"",L220*(P220-1)-N220)</f>
        <v/>
      </c>
      <c r="V220" s="13"/>
      <c r="W220" s="17"/>
      <c r="X220" s="12"/>
      <c r="Y220" s="12"/>
      <c r="Z220" s="12"/>
      <c r="AA220" s="18" t="str">
        <f aca="false">IF(K220&lt;&gt;"ВИРТУАЛЬНЫЙ ВЫБОР","",IF(Z220="✅ ЗАШЛО",W220*(P220-1),IF(Z220="❌ НЕ ЗАШЛО",-W220,IF(Z220="½ ЗАШЛО",W220*(P220-1)/2,IF(Z220="½ НЕ ЗАШЛО",-W220/2,IF(Z220="ВОЗВРАТ",0,""))))))</f>
        <v/>
      </c>
      <c r="AB220" s="18" t="str">
        <f aca="false">IF(AND(K220="ВИРТУАЛЬНЫЙ ВЫБОР",OR(Z220="✅ ЗАШЛО",Z220="❌ НЕ ЗАШЛО",Z220="½ ЗАШЛО",Z220="½ НЕ ЗАШЛО",Z220="ВОЗВРАТ")),W220,"")</f>
        <v/>
      </c>
      <c r="AC220" s="15"/>
      <c r="AD220" s="16" t="str">
        <f aca="false">IF(OR(AC220="",P220=""),"",P220/AC220-1)</f>
        <v/>
      </c>
      <c r="AE220" s="19" t="str">
        <f aca="false">IF(AND(M220=0,OR(Z220="✅ ЗАШЛО",Z220="❌ НЕ ЗАШЛО"),L220&lt;&gt;""),(L220-IF(Z220="✅ ЗАШЛО",1,0))^2,"")</f>
        <v/>
      </c>
      <c r="AF220" s="15"/>
      <c r="AG220" s="15"/>
      <c r="AH220" s="13"/>
      <c r="AI220" s="13"/>
      <c r="AJ220" s="13"/>
      <c r="AK220" s="20" t="str">
        <f aca="false">IF(AH220="","",IF(ABS(AH220+AI220+AJ220-1)&lt;0.000001,"OK","ОШИБКА"))</f>
        <v/>
      </c>
      <c r="AL220" s="13"/>
      <c r="AM220" s="12"/>
      <c r="AN220" s="12"/>
      <c r="AO220" s="12"/>
      <c r="AP220" s="12"/>
      <c r="AQ220" s="18" t="str">
        <f aca="false">IF(A220="","",N(AQ219)+N(AA220))</f>
        <v/>
      </c>
      <c r="AR220" s="18" t="str">
        <f aca="false">IF(AQ220="","",MAX(0,MAX($AQ$8:AQ220))-AQ220)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3"/>
      <c r="M221" s="13"/>
      <c r="N221" s="13"/>
      <c r="O221" s="14" t="str">
        <f aca="false">IF(OR(L221="",L221=0),"",(1-M221)/L221)</f>
        <v/>
      </c>
      <c r="P221" s="15"/>
      <c r="Q221" s="12"/>
      <c r="R221" s="12"/>
      <c r="S221" s="13"/>
      <c r="T221" s="16" t="str">
        <f aca="false">IF(OR(S221="",L221=""),"",L221/(1-M221)-S221)</f>
        <v/>
      </c>
      <c r="U221" s="16" t="str">
        <f aca="false">IF(OR(L221="",P221=""),"",L221*(P221-1)-N221)</f>
        <v/>
      </c>
      <c r="V221" s="13"/>
      <c r="W221" s="17"/>
      <c r="X221" s="12"/>
      <c r="Y221" s="12"/>
      <c r="Z221" s="12"/>
      <c r="AA221" s="18" t="str">
        <f aca="false">IF(K221&lt;&gt;"ВИРТУАЛЬНЫЙ ВЫБОР","",IF(Z221="✅ ЗАШЛО",W221*(P221-1),IF(Z221="❌ НЕ ЗАШЛО",-W221,IF(Z221="½ ЗАШЛО",W221*(P221-1)/2,IF(Z221="½ НЕ ЗАШЛО",-W221/2,IF(Z221="ВОЗВРАТ",0,""))))))</f>
        <v/>
      </c>
      <c r="AB221" s="18" t="str">
        <f aca="false">IF(AND(K221="ВИРТУАЛЬНЫЙ ВЫБОР",OR(Z221="✅ ЗАШЛО",Z221="❌ НЕ ЗАШЛО",Z221="½ ЗАШЛО",Z221="½ НЕ ЗАШЛО",Z221="ВОЗВРАТ")),W221,"")</f>
        <v/>
      </c>
      <c r="AC221" s="15"/>
      <c r="AD221" s="16" t="str">
        <f aca="false">IF(OR(AC221="",P221=""),"",P221/AC221-1)</f>
        <v/>
      </c>
      <c r="AE221" s="19" t="str">
        <f aca="false">IF(AND(M221=0,OR(Z221="✅ ЗАШЛО",Z221="❌ НЕ ЗАШЛО"),L221&lt;&gt;""),(L221-IF(Z221="✅ ЗАШЛО",1,0))^2,"")</f>
        <v/>
      </c>
      <c r="AF221" s="15"/>
      <c r="AG221" s="15"/>
      <c r="AH221" s="13"/>
      <c r="AI221" s="13"/>
      <c r="AJ221" s="13"/>
      <c r="AK221" s="20" t="str">
        <f aca="false">IF(AH221="","",IF(ABS(AH221+AI221+AJ221-1)&lt;0.000001,"OK","ОШИБКА"))</f>
        <v/>
      </c>
      <c r="AL221" s="13"/>
      <c r="AM221" s="12"/>
      <c r="AN221" s="12"/>
      <c r="AO221" s="12"/>
      <c r="AP221" s="12"/>
      <c r="AQ221" s="18" t="str">
        <f aca="false">IF(A221="","",N(AQ220)+N(AA221))</f>
        <v/>
      </c>
      <c r="AR221" s="18" t="str">
        <f aca="false">IF(AQ221="","",MAX(0,MAX($AQ$8:AQ221))-AQ221)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3"/>
      <c r="M222" s="13"/>
      <c r="N222" s="13"/>
      <c r="O222" s="14" t="str">
        <f aca="false">IF(OR(L222="",L222=0),"",(1-M222)/L222)</f>
        <v/>
      </c>
      <c r="P222" s="15"/>
      <c r="Q222" s="12"/>
      <c r="R222" s="12"/>
      <c r="S222" s="13"/>
      <c r="T222" s="16" t="str">
        <f aca="false">IF(OR(S222="",L222=""),"",L222/(1-M222)-S222)</f>
        <v/>
      </c>
      <c r="U222" s="16" t="str">
        <f aca="false">IF(OR(L222="",P222=""),"",L222*(P222-1)-N222)</f>
        <v/>
      </c>
      <c r="V222" s="13"/>
      <c r="W222" s="17"/>
      <c r="X222" s="12"/>
      <c r="Y222" s="12"/>
      <c r="Z222" s="12"/>
      <c r="AA222" s="18" t="str">
        <f aca="false">IF(K222&lt;&gt;"ВИРТУАЛЬНЫЙ ВЫБОР","",IF(Z222="✅ ЗАШЛО",W222*(P222-1),IF(Z222="❌ НЕ ЗАШЛО",-W222,IF(Z222="½ ЗАШЛО",W222*(P222-1)/2,IF(Z222="½ НЕ ЗАШЛО",-W222/2,IF(Z222="ВОЗВРАТ",0,""))))))</f>
        <v/>
      </c>
      <c r="AB222" s="18" t="str">
        <f aca="false">IF(AND(K222="ВИРТУАЛЬНЫЙ ВЫБОР",OR(Z222="✅ ЗАШЛО",Z222="❌ НЕ ЗАШЛО",Z222="½ ЗАШЛО",Z222="½ НЕ ЗАШЛО",Z222="ВОЗВРАТ")),W222,"")</f>
        <v/>
      </c>
      <c r="AC222" s="15"/>
      <c r="AD222" s="16" t="str">
        <f aca="false">IF(OR(AC222="",P222=""),"",P222/AC222-1)</f>
        <v/>
      </c>
      <c r="AE222" s="19" t="str">
        <f aca="false">IF(AND(M222=0,OR(Z222="✅ ЗАШЛО",Z222="❌ НЕ ЗАШЛО"),L222&lt;&gt;""),(L222-IF(Z222="✅ ЗАШЛО",1,0))^2,"")</f>
        <v/>
      </c>
      <c r="AF222" s="15"/>
      <c r="AG222" s="15"/>
      <c r="AH222" s="13"/>
      <c r="AI222" s="13"/>
      <c r="AJ222" s="13"/>
      <c r="AK222" s="20" t="str">
        <f aca="false">IF(AH222="","",IF(ABS(AH222+AI222+AJ222-1)&lt;0.000001,"OK","ОШИБКА"))</f>
        <v/>
      </c>
      <c r="AL222" s="13"/>
      <c r="AM222" s="12"/>
      <c r="AN222" s="12"/>
      <c r="AO222" s="12"/>
      <c r="AP222" s="12"/>
      <c r="AQ222" s="18" t="str">
        <f aca="false">IF(A222="","",N(AQ221)+N(AA222))</f>
        <v/>
      </c>
      <c r="AR222" s="18" t="str">
        <f aca="false">IF(AQ222="","",MAX(0,MAX($AQ$8:AQ222))-AQ222)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3"/>
      <c r="M223" s="13"/>
      <c r="N223" s="13"/>
      <c r="O223" s="14" t="str">
        <f aca="false">IF(OR(L223="",L223=0),"",(1-M223)/L223)</f>
        <v/>
      </c>
      <c r="P223" s="15"/>
      <c r="Q223" s="12"/>
      <c r="R223" s="12"/>
      <c r="S223" s="13"/>
      <c r="T223" s="16" t="str">
        <f aca="false">IF(OR(S223="",L223=""),"",L223/(1-M223)-S223)</f>
        <v/>
      </c>
      <c r="U223" s="16" t="str">
        <f aca="false">IF(OR(L223="",P223=""),"",L223*(P223-1)-N223)</f>
        <v/>
      </c>
      <c r="V223" s="13"/>
      <c r="W223" s="17"/>
      <c r="X223" s="12"/>
      <c r="Y223" s="12"/>
      <c r="Z223" s="12"/>
      <c r="AA223" s="18" t="str">
        <f aca="false">IF(K223&lt;&gt;"ВИРТУАЛЬНЫЙ ВЫБОР","",IF(Z223="✅ ЗАШЛО",W223*(P223-1),IF(Z223="❌ НЕ ЗАШЛО",-W223,IF(Z223="½ ЗАШЛО",W223*(P223-1)/2,IF(Z223="½ НЕ ЗАШЛО",-W223/2,IF(Z223="ВОЗВРАТ",0,""))))))</f>
        <v/>
      </c>
      <c r="AB223" s="18" t="str">
        <f aca="false">IF(AND(K223="ВИРТУАЛЬНЫЙ ВЫБОР",OR(Z223="✅ ЗАШЛО",Z223="❌ НЕ ЗАШЛО",Z223="½ ЗАШЛО",Z223="½ НЕ ЗАШЛО",Z223="ВОЗВРАТ")),W223,"")</f>
        <v/>
      </c>
      <c r="AC223" s="15"/>
      <c r="AD223" s="16" t="str">
        <f aca="false">IF(OR(AC223="",P223=""),"",P223/AC223-1)</f>
        <v/>
      </c>
      <c r="AE223" s="19" t="str">
        <f aca="false">IF(AND(M223=0,OR(Z223="✅ ЗАШЛО",Z223="❌ НЕ ЗАШЛО"),L223&lt;&gt;""),(L223-IF(Z223="✅ ЗАШЛО",1,0))^2,"")</f>
        <v/>
      </c>
      <c r="AF223" s="15"/>
      <c r="AG223" s="15"/>
      <c r="AH223" s="13"/>
      <c r="AI223" s="13"/>
      <c r="AJ223" s="13"/>
      <c r="AK223" s="20" t="str">
        <f aca="false">IF(AH223="","",IF(ABS(AH223+AI223+AJ223-1)&lt;0.000001,"OK","ОШИБКА"))</f>
        <v/>
      </c>
      <c r="AL223" s="13"/>
      <c r="AM223" s="12"/>
      <c r="AN223" s="12"/>
      <c r="AO223" s="12"/>
      <c r="AP223" s="12"/>
      <c r="AQ223" s="18" t="str">
        <f aca="false">IF(A223="","",N(AQ222)+N(AA223))</f>
        <v/>
      </c>
      <c r="AR223" s="18" t="str">
        <f aca="false">IF(AQ223="","",MAX(0,MAX($AQ$8:AQ223))-AQ223)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3"/>
      <c r="M224" s="13"/>
      <c r="N224" s="13"/>
      <c r="O224" s="14" t="str">
        <f aca="false">IF(OR(L224="",L224=0),"",(1-M224)/L224)</f>
        <v/>
      </c>
      <c r="P224" s="15"/>
      <c r="Q224" s="12"/>
      <c r="R224" s="12"/>
      <c r="S224" s="13"/>
      <c r="T224" s="16" t="str">
        <f aca="false">IF(OR(S224="",L224=""),"",L224/(1-M224)-S224)</f>
        <v/>
      </c>
      <c r="U224" s="16" t="str">
        <f aca="false">IF(OR(L224="",P224=""),"",L224*(P224-1)-N224)</f>
        <v/>
      </c>
      <c r="V224" s="13"/>
      <c r="W224" s="17"/>
      <c r="X224" s="12"/>
      <c r="Y224" s="12"/>
      <c r="Z224" s="12"/>
      <c r="AA224" s="18" t="str">
        <f aca="false">IF(K224&lt;&gt;"ВИРТУАЛЬНЫЙ ВЫБОР","",IF(Z224="✅ ЗАШЛО",W224*(P224-1),IF(Z224="❌ НЕ ЗАШЛО",-W224,IF(Z224="½ ЗАШЛО",W224*(P224-1)/2,IF(Z224="½ НЕ ЗАШЛО",-W224/2,IF(Z224="ВОЗВРАТ",0,""))))))</f>
        <v/>
      </c>
      <c r="AB224" s="18" t="str">
        <f aca="false">IF(AND(K224="ВИРТУАЛЬНЫЙ ВЫБОР",OR(Z224="✅ ЗАШЛО",Z224="❌ НЕ ЗАШЛО",Z224="½ ЗАШЛО",Z224="½ НЕ ЗАШЛО",Z224="ВОЗВРАТ")),W224,"")</f>
        <v/>
      </c>
      <c r="AC224" s="15"/>
      <c r="AD224" s="16" t="str">
        <f aca="false">IF(OR(AC224="",P224=""),"",P224/AC224-1)</f>
        <v/>
      </c>
      <c r="AE224" s="19" t="str">
        <f aca="false">IF(AND(M224=0,OR(Z224="✅ ЗАШЛО",Z224="❌ НЕ ЗАШЛО"),L224&lt;&gt;""),(L224-IF(Z224="✅ ЗАШЛО",1,0))^2,"")</f>
        <v/>
      </c>
      <c r="AF224" s="15"/>
      <c r="AG224" s="15"/>
      <c r="AH224" s="13"/>
      <c r="AI224" s="13"/>
      <c r="AJ224" s="13"/>
      <c r="AK224" s="20" t="str">
        <f aca="false">IF(AH224="","",IF(ABS(AH224+AI224+AJ224-1)&lt;0.000001,"OK","ОШИБКА"))</f>
        <v/>
      </c>
      <c r="AL224" s="13"/>
      <c r="AM224" s="12"/>
      <c r="AN224" s="12"/>
      <c r="AO224" s="12"/>
      <c r="AP224" s="12"/>
      <c r="AQ224" s="18" t="str">
        <f aca="false">IF(A224="","",N(AQ223)+N(AA224))</f>
        <v/>
      </c>
      <c r="AR224" s="18" t="str">
        <f aca="false">IF(AQ224="","",MAX(0,MAX($AQ$8:AQ224))-AQ224)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3"/>
      <c r="M225" s="13"/>
      <c r="N225" s="13"/>
      <c r="O225" s="14" t="str">
        <f aca="false">IF(OR(L225="",L225=0),"",(1-M225)/L225)</f>
        <v/>
      </c>
      <c r="P225" s="15"/>
      <c r="Q225" s="12"/>
      <c r="R225" s="12"/>
      <c r="S225" s="13"/>
      <c r="T225" s="16" t="str">
        <f aca="false">IF(OR(S225="",L225=""),"",L225/(1-M225)-S225)</f>
        <v/>
      </c>
      <c r="U225" s="16" t="str">
        <f aca="false">IF(OR(L225="",P225=""),"",L225*(P225-1)-N225)</f>
        <v/>
      </c>
      <c r="V225" s="13"/>
      <c r="W225" s="17"/>
      <c r="X225" s="12"/>
      <c r="Y225" s="12"/>
      <c r="Z225" s="12"/>
      <c r="AA225" s="18" t="str">
        <f aca="false">IF(K225&lt;&gt;"ВИРТУАЛЬНЫЙ ВЫБОР","",IF(Z225="✅ ЗАШЛО",W225*(P225-1),IF(Z225="❌ НЕ ЗАШЛО",-W225,IF(Z225="½ ЗАШЛО",W225*(P225-1)/2,IF(Z225="½ НЕ ЗАШЛО",-W225/2,IF(Z225="ВОЗВРАТ",0,""))))))</f>
        <v/>
      </c>
      <c r="AB225" s="18" t="str">
        <f aca="false">IF(AND(K225="ВИРТУАЛЬНЫЙ ВЫБОР",OR(Z225="✅ ЗАШЛО",Z225="❌ НЕ ЗАШЛО",Z225="½ ЗАШЛО",Z225="½ НЕ ЗАШЛО",Z225="ВОЗВРАТ")),W225,"")</f>
        <v/>
      </c>
      <c r="AC225" s="15"/>
      <c r="AD225" s="16" t="str">
        <f aca="false">IF(OR(AC225="",P225=""),"",P225/AC225-1)</f>
        <v/>
      </c>
      <c r="AE225" s="19" t="str">
        <f aca="false">IF(AND(M225=0,OR(Z225="✅ ЗАШЛО",Z225="❌ НЕ ЗАШЛО"),L225&lt;&gt;""),(L225-IF(Z225="✅ ЗАШЛО",1,0))^2,"")</f>
        <v/>
      </c>
      <c r="AF225" s="15"/>
      <c r="AG225" s="15"/>
      <c r="AH225" s="13"/>
      <c r="AI225" s="13"/>
      <c r="AJ225" s="13"/>
      <c r="AK225" s="20" t="str">
        <f aca="false">IF(AH225="","",IF(ABS(AH225+AI225+AJ225-1)&lt;0.000001,"OK","ОШИБКА"))</f>
        <v/>
      </c>
      <c r="AL225" s="13"/>
      <c r="AM225" s="12"/>
      <c r="AN225" s="12"/>
      <c r="AO225" s="12"/>
      <c r="AP225" s="12"/>
      <c r="AQ225" s="18" t="str">
        <f aca="false">IF(A225="","",N(AQ224)+N(AA225))</f>
        <v/>
      </c>
      <c r="AR225" s="18" t="str">
        <f aca="false">IF(AQ225="","",MAX(0,MAX($AQ$8:AQ225))-AQ225)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3"/>
      <c r="M226" s="13"/>
      <c r="N226" s="13"/>
      <c r="O226" s="14" t="str">
        <f aca="false">IF(OR(L226="",L226=0),"",(1-M226)/L226)</f>
        <v/>
      </c>
      <c r="P226" s="15"/>
      <c r="Q226" s="12"/>
      <c r="R226" s="12"/>
      <c r="S226" s="13"/>
      <c r="T226" s="16" t="str">
        <f aca="false">IF(OR(S226="",L226=""),"",L226/(1-M226)-S226)</f>
        <v/>
      </c>
      <c r="U226" s="16" t="str">
        <f aca="false">IF(OR(L226="",P226=""),"",L226*(P226-1)-N226)</f>
        <v/>
      </c>
      <c r="V226" s="13"/>
      <c r="W226" s="17"/>
      <c r="X226" s="12"/>
      <c r="Y226" s="12"/>
      <c r="Z226" s="12"/>
      <c r="AA226" s="18" t="str">
        <f aca="false">IF(K226&lt;&gt;"ВИРТУАЛЬНЫЙ ВЫБОР","",IF(Z226="✅ ЗАШЛО",W226*(P226-1),IF(Z226="❌ НЕ ЗАШЛО",-W226,IF(Z226="½ ЗАШЛО",W226*(P226-1)/2,IF(Z226="½ НЕ ЗАШЛО",-W226/2,IF(Z226="ВОЗВРАТ",0,""))))))</f>
        <v/>
      </c>
      <c r="AB226" s="18" t="str">
        <f aca="false">IF(AND(K226="ВИРТУАЛЬНЫЙ ВЫБОР",OR(Z226="✅ ЗАШЛО",Z226="❌ НЕ ЗАШЛО",Z226="½ ЗАШЛО",Z226="½ НЕ ЗАШЛО",Z226="ВОЗВРАТ")),W226,"")</f>
        <v/>
      </c>
      <c r="AC226" s="15"/>
      <c r="AD226" s="16" t="str">
        <f aca="false">IF(OR(AC226="",P226=""),"",P226/AC226-1)</f>
        <v/>
      </c>
      <c r="AE226" s="19" t="str">
        <f aca="false">IF(AND(M226=0,OR(Z226="✅ ЗАШЛО",Z226="❌ НЕ ЗАШЛО"),L226&lt;&gt;""),(L226-IF(Z226="✅ ЗАШЛО",1,0))^2,"")</f>
        <v/>
      </c>
      <c r="AF226" s="15"/>
      <c r="AG226" s="15"/>
      <c r="AH226" s="13"/>
      <c r="AI226" s="13"/>
      <c r="AJ226" s="13"/>
      <c r="AK226" s="20" t="str">
        <f aca="false">IF(AH226="","",IF(ABS(AH226+AI226+AJ226-1)&lt;0.000001,"OK","ОШИБКА"))</f>
        <v/>
      </c>
      <c r="AL226" s="13"/>
      <c r="AM226" s="12"/>
      <c r="AN226" s="12"/>
      <c r="AO226" s="12"/>
      <c r="AP226" s="12"/>
      <c r="AQ226" s="18" t="str">
        <f aca="false">IF(A226="","",N(AQ225)+N(AA226))</f>
        <v/>
      </c>
      <c r="AR226" s="18" t="str">
        <f aca="false">IF(AQ226="","",MAX(0,MAX($AQ$8:AQ226))-AQ226)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3"/>
      <c r="M227" s="13"/>
      <c r="N227" s="13"/>
      <c r="O227" s="14" t="str">
        <f aca="false">IF(OR(L227="",L227=0),"",(1-M227)/L227)</f>
        <v/>
      </c>
      <c r="P227" s="15"/>
      <c r="Q227" s="12"/>
      <c r="R227" s="12"/>
      <c r="S227" s="13"/>
      <c r="T227" s="16" t="str">
        <f aca="false">IF(OR(S227="",L227=""),"",L227/(1-M227)-S227)</f>
        <v/>
      </c>
      <c r="U227" s="16" t="str">
        <f aca="false">IF(OR(L227="",P227=""),"",L227*(P227-1)-N227)</f>
        <v/>
      </c>
      <c r="V227" s="13"/>
      <c r="W227" s="17"/>
      <c r="X227" s="12"/>
      <c r="Y227" s="12"/>
      <c r="Z227" s="12"/>
      <c r="AA227" s="18" t="str">
        <f aca="false">IF(K227&lt;&gt;"ВИРТУАЛЬНЫЙ ВЫБОР","",IF(Z227="✅ ЗАШЛО",W227*(P227-1),IF(Z227="❌ НЕ ЗАШЛО",-W227,IF(Z227="½ ЗАШЛО",W227*(P227-1)/2,IF(Z227="½ НЕ ЗАШЛО",-W227/2,IF(Z227="ВОЗВРАТ",0,""))))))</f>
        <v/>
      </c>
      <c r="AB227" s="18" t="str">
        <f aca="false">IF(AND(K227="ВИРТУАЛЬНЫЙ ВЫБОР",OR(Z227="✅ ЗАШЛО",Z227="❌ НЕ ЗАШЛО",Z227="½ ЗАШЛО",Z227="½ НЕ ЗАШЛО",Z227="ВОЗВРАТ")),W227,"")</f>
        <v/>
      </c>
      <c r="AC227" s="15"/>
      <c r="AD227" s="16" t="str">
        <f aca="false">IF(OR(AC227="",P227=""),"",P227/AC227-1)</f>
        <v/>
      </c>
      <c r="AE227" s="19" t="str">
        <f aca="false">IF(AND(M227=0,OR(Z227="✅ ЗАШЛО",Z227="❌ НЕ ЗАШЛО"),L227&lt;&gt;""),(L227-IF(Z227="✅ ЗАШЛО",1,0))^2,"")</f>
        <v/>
      </c>
      <c r="AF227" s="15"/>
      <c r="AG227" s="15"/>
      <c r="AH227" s="13"/>
      <c r="AI227" s="13"/>
      <c r="AJ227" s="13"/>
      <c r="AK227" s="20" t="str">
        <f aca="false">IF(AH227="","",IF(ABS(AH227+AI227+AJ227-1)&lt;0.000001,"OK","ОШИБКА"))</f>
        <v/>
      </c>
      <c r="AL227" s="13"/>
      <c r="AM227" s="12"/>
      <c r="AN227" s="12"/>
      <c r="AO227" s="12"/>
      <c r="AP227" s="12"/>
      <c r="AQ227" s="18" t="str">
        <f aca="false">IF(A227="","",N(AQ226)+N(AA227))</f>
        <v/>
      </c>
      <c r="AR227" s="18" t="str">
        <f aca="false">IF(AQ227="","",MAX(0,MAX($AQ$8:AQ227))-AQ227)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3"/>
      <c r="M228" s="13"/>
      <c r="N228" s="13"/>
      <c r="O228" s="14" t="str">
        <f aca="false">IF(OR(L228="",L228=0),"",(1-M228)/L228)</f>
        <v/>
      </c>
      <c r="P228" s="15"/>
      <c r="Q228" s="12"/>
      <c r="R228" s="12"/>
      <c r="S228" s="13"/>
      <c r="T228" s="16" t="str">
        <f aca="false">IF(OR(S228="",L228=""),"",L228/(1-M228)-S228)</f>
        <v/>
      </c>
      <c r="U228" s="16" t="str">
        <f aca="false">IF(OR(L228="",P228=""),"",L228*(P228-1)-N228)</f>
        <v/>
      </c>
      <c r="V228" s="13"/>
      <c r="W228" s="17"/>
      <c r="X228" s="12"/>
      <c r="Y228" s="12"/>
      <c r="Z228" s="12"/>
      <c r="AA228" s="18" t="str">
        <f aca="false">IF(K228&lt;&gt;"ВИРТУАЛЬНЫЙ ВЫБОР","",IF(Z228="✅ ЗАШЛО",W228*(P228-1),IF(Z228="❌ НЕ ЗАШЛО",-W228,IF(Z228="½ ЗАШЛО",W228*(P228-1)/2,IF(Z228="½ НЕ ЗАШЛО",-W228/2,IF(Z228="ВОЗВРАТ",0,""))))))</f>
        <v/>
      </c>
      <c r="AB228" s="18" t="str">
        <f aca="false">IF(AND(K228="ВИРТУАЛЬНЫЙ ВЫБОР",OR(Z228="✅ ЗАШЛО",Z228="❌ НЕ ЗАШЛО",Z228="½ ЗАШЛО",Z228="½ НЕ ЗАШЛО",Z228="ВОЗВРАТ")),W228,"")</f>
        <v/>
      </c>
      <c r="AC228" s="15"/>
      <c r="AD228" s="16" t="str">
        <f aca="false">IF(OR(AC228="",P228=""),"",P228/AC228-1)</f>
        <v/>
      </c>
      <c r="AE228" s="19" t="str">
        <f aca="false">IF(AND(M228=0,OR(Z228="✅ ЗАШЛО",Z228="❌ НЕ ЗАШЛО"),L228&lt;&gt;""),(L228-IF(Z228="✅ ЗАШЛО",1,0))^2,"")</f>
        <v/>
      </c>
      <c r="AF228" s="15"/>
      <c r="AG228" s="15"/>
      <c r="AH228" s="13"/>
      <c r="AI228" s="13"/>
      <c r="AJ228" s="13"/>
      <c r="AK228" s="20" t="str">
        <f aca="false">IF(AH228="","",IF(ABS(AH228+AI228+AJ228-1)&lt;0.000001,"OK","ОШИБКА"))</f>
        <v/>
      </c>
      <c r="AL228" s="13"/>
      <c r="AM228" s="12"/>
      <c r="AN228" s="12"/>
      <c r="AO228" s="12"/>
      <c r="AP228" s="12"/>
      <c r="AQ228" s="18" t="str">
        <f aca="false">IF(A228="","",N(AQ227)+N(AA228))</f>
        <v/>
      </c>
      <c r="AR228" s="18" t="str">
        <f aca="false">IF(AQ228="","",MAX(0,MAX($AQ$8:AQ228))-AQ228)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3"/>
      <c r="M229" s="13"/>
      <c r="N229" s="13"/>
      <c r="O229" s="14" t="str">
        <f aca="false">IF(OR(L229="",L229=0),"",(1-M229)/L229)</f>
        <v/>
      </c>
      <c r="P229" s="15"/>
      <c r="Q229" s="12"/>
      <c r="R229" s="12"/>
      <c r="S229" s="13"/>
      <c r="T229" s="16" t="str">
        <f aca="false">IF(OR(S229="",L229=""),"",L229/(1-M229)-S229)</f>
        <v/>
      </c>
      <c r="U229" s="16" t="str">
        <f aca="false">IF(OR(L229="",P229=""),"",L229*(P229-1)-N229)</f>
        <v/>
      </c>
      <c r="V229" s="13"/>
      <c r="W229" s="17"/>
      <c r="X229" s="12"/>
      <c r="Y229" s="12"/>
      <c r="Z229" s="12"/>
      <c r="AA229" s="18" t="str">
        <f aca="false">IF(K229&lt;&gt;"ВИРТУАЛЬНЫЙ ВЫБОР","",IF(Z229="✅ ЗАШЛО",W229*(P229-1),IF(Z229="❌ НЕ ЗАШЛО",-W229,IF(Z229="½ ЗАШЛО",W229*(P229-1)/2,IF(Z229="½ НЕ ЗАШЛО",-W229/2,IF(Z229="ВОЗВРАТ",0,""))))))</f>
        <v/>
      </c>
      <c r="AB229" s="18" t="str">
        <f aca="false">IF(AND(K229="ВИРТУАЛЬНЫЙ ВЫБОР",OR(Z229="✅ ЗАШЛО",Z229="❌ НЕ ЗАШЛО",Z229="½ ЗАШЛО",Z229="½ НЕ ЗАШЛО",Z229="ВОЗВРАТ")),W229,"")</f>
        <v/>
      </c>
      <c r="AC229" s="15"/>
      <c r="AD229" s="16" t="str">
        <f aca="false">IF(OR(AC229="",P229=""),"",P229/AC229-1)</f>
        <v/>
      </c>
      <c r="AE229" s="19" t="str">
        <f aca="false">IF(AND(M229=0,OR(Z229="✅ ЗАШЛО",Z229="❌ НЕ ЗАШЛО"),L229&lt;&gt;""),(L229-IF(Z229="✅ ЗАШЛО",1,0))^2,"")</f>
        <v/>
      </c>
      <c r="AF229" s="15"/>
      <c r="AG229" s="15"/>
      <c r="AH229" s="13"/>
      <c r="AI229" s="13"/>
      <c r="AJ229" s="13"/>
      <c r="AK229" s="20" t="str">
        <f aca="false">IF(AH229="","",IF(ABS(AH229+AI229+AJ229-1)&lt;0.000001,"OK","ОШИБКА"))</f>
        <v/>
      </c>
      <c r="AL229" s="13"/>
      <c r="AM229" s="12"/>
      <c r="AN229" s="12"/>
      <c r="AO229" s="12"/>
      <c r="AP229" s="12"/>
      <c r="AQ229" s="18" t="str">
        <f aca="false">IF(A229="","",N(AQ228)+N(AA229))</f>
        <v/>
      </c>
      <c r="AR229" s="18" t="str">
        <f aca="false">IF(AQ229="","",MAX(0,MAX($AQ$8:AQ229))-AQ229)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3"/>
      <c r="M230" s="13"/>
      <c r="N230" s="13"/>
      <c r="O230" s="14" t="str">
        <f aca="false">IF(OR(L230="",L230=0),"",(1-M230)/L230)</f>
        <v/>
      </c>
      <c r="P230" s="15"/>
      <c r="Q230" s="12"/>
      <c r="R230" s="12"/>
      <c r="S230" s="13"/>
      <c r="T230" s="16" t="str">
        <f aca="false">IF(OR(S230="",L230=""),"",L230/(1-M230)-S230)</f>
        <v/>
      </c>
      <c r="U230" s="16" t="str">
        <f aca="false">IF(OR(L230="",P230=""),"",L230*(P230-1)-N230)</f>
        <v/>
      </c>
      <c r="V230" s="13"/>
      <c r="W230" s="17"/>
      <c r="X230" s="12"/>
      <c r="Y230" s="12"/>
      <c r="Z230" s="12"/>
      <c r="AA230" s="18" t="str">
        <f aca="false">IF(K230&lt;&gt;"ВИРТУАЛЬНЫЙ ВЫБОР","",IF(Z230="✅ ЗАШЛО",W230*(P230-1),IF(Z230="❌ НЕ ЗАШЛО",-W230,IF(Z230="½ ЗАШЛО",W230*(P230-1)/2,IF(Z230="½ НЕ ЗАШЛО",-W230/2,IF(Z230="ВОЗВРАТ",0,""))))))</f>
        <v/>
      </c>
      <c r="AB230" s="18" t="str">
        <f aca="false">IF(AND(K230="ВИРТУАЛЬНЫЙ ВЫБОР",OR(Z230="✅ ЗАШЛО",Z230="❌ НЕ ЗАШЛО",Z230="½ ЗАШЛО",Z230="½ НЕ ЗАШЛО",Z230="ВОЗВРАТ")),W230,"")</f>
        <v/>
      </c>
      <c r="AC230" s="15"/>
      <c r="AD230" s="16" t="str">
        <f aca="false">IF(OR(AC230="",P230=""),"",P230/AC230-1)</f>
        <v/>
      </c>
      <c r="AE230" s="19" t="str">
        <f aca="false">IF(AND(M230=0,OR(Z230="✅ ЗАШЛО",Z230="❌ НЕ ЗАШЛО"),L230&lt;&gt;""),(L230-IF(Z230="✅ ЗАШЛО",1,0))^2,"")</f>
        <v/>
      </c>
      <c r="AF230" s="15"/>
      <c r="AG230" s="15"/>
      <c r="AH230" s="13"/>
      <c r="AI230" s="13"/>
      <c r="AJ230" s="13"/>
      <c r="AK230" s="20" t="str">
        <f aca="false">IF(AH230="","",IF(ABS(AH230+AI230+AJ230-1)&lt;0.000001,"OK","ОШИБКА"))</f>
        <v/>
      </c>
      <c r="AL230" s="13"/>
      <c r="AM230" s="12"/>
      <c r="AN230" s="12"/>
      <c r="AO230" s="12"/>
      <c r="AP230" s="12"/>
      <c r="AQ230" s="18" t="str">
        <f aca="false">IF(A230="","",N(AQ229)+N(AA230))</f>
        <v/>
      </c>
      <c r="AR230" s="18" t="str">
        <f aca="false">IF(AQ230="","",MAX(0,MAX($AQ$8:AQ230))-AQ230)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3"/>
      <c r="M231" s="13"/>
      <c r="N231" s="13"/>
      <c r="O231" s="14" t="str">
        <f aca="false">IF(OR(L231="",L231=0),"",(1-M231)/L231)</f>
        <v/>
      </c>
      <c r="P231" s="15"/>
      <c r="Q231" s="12"/>
      <c r="R231" s="12"/>
      <c r="S231" s="13"/>
      <c r="T231" s="16" t="str">
        <f aca="false">IF(OR(S231="",L231=""),"",L231/(1-M231)-S231)</f>
        <v/>
      </c>
      <c r="U231" s="16" t="str">
        <f aca="false">IF(OR(L231="",P231=""),"",L231*(P231-1)-N231)</f>
        <v/>
      </c>
      <c r="V231" s="13"/>
      <c r="W231" s="17"/>
      <c r="X231" s="12"/>
      <c r="Y231" s="12"/>
      <c r="Z231" s="12"/>
      <c r="AA231" s="18" t="str">
        <f aca="false">IF(K231&lt;&gt;"ВИРТУАЛЬНЫЙ ВЫБОР","",IF(Z231="✅ ЗАШЛО",W231*(P231-1),IF(Z231="❌ НЕ ЗАШЛО",-W231,IF(Z231="½ ЗАШЛО",W231*(P231-1)/2,IF(Z231="½ НЕ ЗАШЛО",-W231/2,IF(Z231="ВОЗВРАТ",0,""))))))</f>
        <v/>
      </c>
      <c r="AB231" s="18" t="str">
        <f aca="false">IF(AND(K231="ВИРТУАЛЬНЫЙ ВЫБОР",OR(Z231="✅ ЗАШЛО",Z231="❌ НЕ ЗАШЛО",Z231="½ ЗАШЛО",Z231="½ НЕ ЗАШЛО",Z231="ВОЗВРАТ")),W231,"")</f>
        <v/>
      </c>
      <c r="AC231" s="15"/>
      <c r="AD231" s="16" t="str">
        <f aca="false">IF(OR(AC231="",P231=""),"",P231/AC231-1)</f>
        <v/>
      </c>
      <c r="AE231" s="19" t="str">
        <f aca="false">IF(AND(M231=0,OR(Z231="✅ ЗАШЛО",Z231="❌ НЕ ЗАШЛО"),L231&lt;&gt;""),(L231-IF(Z231="✅ ЗАШЛО",1,0))^2,"")</f>
        <v/>
      </c>
      <c r="AF231" s="15"/>
      <c r="AG231" s="15"/>
      <c r="AH231" s="13"/>
      <c r="AI231" s="13"/>
      <c r="AJ231" s="13"/>
      <c r="AK231" s="20" t="str">
        <f aca="false">IF(AH231="","",IF(ABS(AH231+AI231+AJ231-1)&lt;0.000001,"OK","ОШИБКА"))</f>
        <v/>
      </c>
      <c r="AL231" s="13"/>
      <c r="AM231" s="12"/>
      <c r="AN231" s="12"/>
      <c r="AO231" s="12"/>
      <c r="AP231" s="12"/>
      <c r="AQ231" s="18" t="str">
        <f aca="false">IF(A231="","",N(AQ230)+N(AA231))</f>
        <v/>
      </c>
      <c r="AR231" s="18" t="str">
        <f aca="false">IF(AQ231="","",MAX(0,MAX($AQ$8:AQ231))-AQ231)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3"/>
      <c r="M232" s="13"/>
      <c r="N232" s="13"/>
      <c r="O232" s="14" t="str">
        <f aca="false">IF(OR(L232="",L232=0),"",(1-M232)/L232)</f>
        <v/>
      </c>
      <c r="P232" s="15"/>
      <c r="Q232" s="12"/>
      <c r="R232" s="12"/>
      <c r="S232" s="13"/>
      <c r="T232" s="16" t="str">
        <f aca="false">IF(OR(S232="",L232=""),"",L232/(1-M232)-S232)</f>
        <v/>
      </c>
      <c r="U232" s="16" t="str">
        <f aca="false">IF(OR(L232="",P232=""),"",L232*(P232-1)-N232)</f>
        <v/>
      </c>
      <c r="V232" s="13"/>
      <c r="W232" s="17"/>
      <c r="X232" s="12"/>
      <c r="Y232" s="12"/>
      <c r="Z232" s="12"/>
      <c r="AA232" s="18" t="str">
        <f aca="false">IF(K232&lt;&gt;"ВИРТУАЛЬНЫЙ ВЫБОР","",IF(Z232="✅ ЗАШЛО",W232*(P232-1),IF(Z232="❌ НЕ ЗАШЛО",-W232,IF(Z232="½ ЗАШЛО",W232*(P232-1)/2,IF(Z232="½ НЕ ЗАШЛО",-W232/2,IF(Z232="ВОЗВРАТ",0,""))))))</f>
        <v/>
      </c>
      <c r="AB232" s="18" t="str">
        <f aca="false">IF(AND(K232="ВИРТУАЛЬНЫЙ ВЫБОР",OR(Z232="✅ ЗАШЛО",Z232="❌ НЕ ЗАШЛО",Z232="½ ЗАШЛО",Z232="½ НЕ ЗАШЛО",Z232="ВОЗВРАТ")),W232,"")</f>
        <v/>
      </c>
      <c r="AC232" s="15"/>
      <c r="AD232" s="16" t="str">
        <f aca="false">IF(OR(AC232="",P232=""),"",P232/AC232-1)</f>
        <v/>
      </c>
      <c r="AE232" s="19" t="str">
        <f aca="false">IF(AND(M232=0,OR(Z232="✅ ЗАШЛО",Z232="❌ НЕ ЗАШЛО"),L232&lt;&gt;""),(L232-IF(Z232="✅ ЗАШЛО",1,0))^2,"")</f>
        <v/>
      </c>
      <c r="AF232" s="15"/>
      <c r="AG232" s="15"/>
      <c r="AH232" s="13"/>
      <c r="AI232" s="13"/>
      <c r="AJ232" s="13"/>
      <c r="AK232" s="20" t="str">
        <f aca="false">IF(AH232="","",IF(ABS(AH232+AI232+AJ232-1)&lt;0.000001,"OK","ОШИБКА"))</f>
        <v/>
      </c>
      <c r="AL232" s="13"/>
      <c r="AM232" s="12"/>
      <c r="AN232" s="12"/>
      <c r="AO232" s="12"/>
      <c r="AP232" s="12"/>
      <c r="AQ232" s="18" t="str">
        <f aca="false">IF(A232="","",N(AQ231)+N(AA232))</f>
        <v/>
      </c>
      <c r="AR232" s="18" t="str">
        <f aca="false">IF(AQ232="","",MAX(0,MAX($AQ$8:AQ232))-AQ232)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3"/>
      <c r="M233" s="13"/>
      <c r="N233" s="13"/>
      <c r="O233" s="14" t="str">
        <f aca="false">IF(OR(L233="",L233=0),"",(1-M233)/L233)</f>
        <v/>
      </c>
      <c r="P233" s="15"/>
      <c r="Q233" s="12"/>
      <c r="R233" s="12"/>
      <c r="S233" s="13"/>
      <c r="T233" s="16" t="str">
        <f aca="false">IF(OR(S233="",L233=""),"",L233/(1-M233)-S233)</f>
        <v/>
      </c>
      <c r="U233" s="16" t="str">
        <f aca="false">IF(OR(L233="",P233=""),"",L233*(P233-1)-N233)</f>
        <v/>
      </c>
      <c r="V233" s="13"/>
      <c r="W233" s="17"/>
      <c r="X233" s="12"/>
      <c r="Y233" s="12"/>
      <c r="Z233" s="12"/>
      <c r="AA233" s="18" t="str">
        <f aca="false">IF(K233&lt;&gt;"ВИРТУАЛЬНЫЙ ВЫБОР","",IF(Z233="✅ ЗАШЛО",W233*(P233-1),IF(Z233="❌ НЕ ЗАШЛО",-W233,IF(Z233="½ ЗАШЛО",W233*(P233-1)/2,IF(Z233="½ НЕ ЗАШЛО",-W233/2,IF(Z233="ВОЗВРАТ",0,""))))))</f>
        <v/>
      </c>
      <c r="AB233" s="18" t="str">
        <f aca="false">IF(AND(K233="ВИРТУАЛЬНЫЙ ВЫБОР",OR(Z233="✅ ЗАШЛО",Z233="❌ НЕ ЗАШЛО",Z233="½ ЗАШЛО",Z233="½ НЕ ЗАШЛО",Z233="ВОЗВРАТ")),W233,"")</f>
        <v/>
      </c>
      <c r="AC233" s="15"/>
      <c r="AD233" s="16" t="str">
        <f aca="false">IF(OR(AC233="",P233=""),"",P233/AC233-1)</f>
        <v/>
      </c>
      <c r="AE233" s="19" t="str">
        <f aca="false">IF(AND(M233=0,OR(Z233="✅ ЗАШЛО",Z233="❌ НЕ ЗАШЛО"),L233&lt;&gt;""),(L233-IF(Z233="✅ ЗАШЛО",1,0))^2,"")</f>
        <v/>
      </c>
      <c r="AF233" s="15"/>
      <c r="AG233" s="15"/>
      <c r="AH233" s="13"/>
      <c r="AI233" s="13"/>
      <c r="AJ233" s="13"/>
      <c r="AK233" s="20" t="str">
        <f aca="false">IF(AH233="","",IF(ABS(AH233+AI233+AJ233-1)&lt;0.000001,"OK","ОШИБКА"))</f>
        <v/>
      </c>
      <c r="AL233" s="13"/>
      <c r="AM233" s="12"/>
      <c r="AN233" s="12"/>
      <c r="AO233" s="12"/>
      <c r="AP233" s="12"/>
      <c r="AQ233" s="18" t="str">
        <f aca="false">IF(A233="","",N(AQ232)+N(AA233))</f>
        <v/>
      </c>
      <c r="AR233" s="18" t="str">
        <f aca="false">IF(AQ233="","",MAX(0,MAX($AQ$8:AQ233))-AQ233)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3"/>
      <c r="M234" s="13"/>
      <c r="N234" s="13"/>
      <c r="O234" s="14" t="str">
        <f aca="false">IF(OR(L234="",L234=0),"",(1-M234)/L234)</f>
        <v/>
      </c>
      <c r="P234" s="15"/>
      <c r="Q234" s="12"/>
      <c r="R234" s="12"/>
      <c r="S234" s="13"/>
      <c r="T234" s="16" t="str">
        <f aca="false">IF(OR(S234="",L234=""),"",L234/(1-M234)-S234)</f>
        <v/>
      </c>
      <c r="U234" s="16" t="str">
        <f aca="false">IF(OR(L234="",P234=""),"",L234*(P234-1)-N234)</f>
        <v/>
      </c>
      <c r="V234" s="13"/>
      <c r="W234" s="17"/>
      <c r="X234" s="12"/>
      <c r="Y234" s="12"/>
      <c r="Z234" s="12"/>
      <c r="AA234" s="18" t="str">
        <f aca="false">IF(K234&lt;&gt;"ВИРТУАЛЬНЫЙ ВЫБОР","",IF(Z234="✅ ЗАШЛО",W234*(P234-1),IF(Z234="❌ НЕ ЗАШЛО",-W234,IF(Z234="½ ЗАШЛО",W234*(P234-1)/2,IF(Z234="½ НЕ ЗАШЛО",-W234/2,IF(Z234="ВОЗВРАТ",0,""))))))</f>
        <v/>
      </c>
      <c r="AB234" s="18" t="str">
        <f aca="false">IF(AND(K234="ВИРТУАЛЬНЫЙ ВЫБОР",OR(Z234="✅ ЗАШЛО",Z234="❌ НЕ ЗАШЛО",Z234="½ ЗАШЛО",Z234="½ НЕ ЗАШЛО",Z234="ВОЗВРАТ")),W234,"")</f>
        <v/>
      </c>
      <c r="AC234" s="15"/>
      <c r="AD234" s="16" t="str">
        <f aca="false">IF(OR(AC234="",P234=""),"",P234/AC234-1)</f>
        <v/>
      </c>
      <c r="AE234" s="19" t="str">
        <f aca="false">IF(AND(M234=0,OR(Z234="✅ ЗАШЛО",Z234="❌ НЕ ЗАШЛО"),L234&lt;&gt;""),(L234-IF(Z234="✅ ЗАШЛО",1,0))^2,"")</f>
        <v/>
      </c>
      <c r="AF234" s="15"/>
      <c r="AG234" s="15"/>
      <c r="AH234" s="13"/>
      <c r="AI234" s="13"/>
      <c r="AJ234" s="13"/>
      <c r="AK234" s="20" t="str">
        <f aca="false">IF(AH234="","",IF(ABS(AH234+AI234+AJ234-1)&lt;0.000001,"OK","ОШИБКА"))</f>
        <v/>
      </c>
      <c r="AL234" s="13"/>
      <c r="AM234" s="12"/>
      <c r="AN234" s="12"/>
      <c r="AO234" s="12"/>
      <c r="AP234" s="12"/>
      <c r="AQ234" s="18" t="str">
        <f aca="false">IF(A234="","",N(AQ233)+N(AA234))</f>
        <v/>
      </c>
      <c r="AR234" s="18" t="str">
        <f aca="false">IF(AQ234="","",MAX(0,MAX($AQ$8:AQ234))-AQ234)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3"/>
      <c r="M235" s="13"/>
      <c r="N235" s="13"/>
      <c r="O235" s="14" t="str">
        <f aca="false">IF(OR(L235="",L235=0),"",(1-M235)/L235)</f>
        <v/>
      </c>
      <c r="P235" s="15"/>
      <c r="Q235" s="12"/>
      <c r="R235" s="12"/>
      <c r="S235" s="13"/>
      <c r="T235" s="16" t="str">
        <f aca="false">IF(OR(S235="",L235=""),"",L235/(1-M235)-S235)</f>
        <v/>
      </c>
      <c r="U235" s="16" t="str">
        <f aca="false">IF(OR(L235="",P235=""),"",L235*(P235-1)-N235)</f>
        <v/>
      </c>
      <c r="V235" s="13"/>
      <c r="W235" s="17"/>
      <c r="X235" s="12"/>
      <c r="Y235" s="12"/>
      <c r="Z235" s="12"/>
      <c r="AA235" s="18" t="str">
        <f aca="false">IF(K235&lt;&gt;"ВИРТУАЛЬНЫЙ ВЫБОР","",IF(Z235="✅ ЗАШЛО",W235*(P235-1),IF(Z235="❌ НЕ ЗАШЛО",-W235,IF(Z235="½ ЗАШЛО",W235*(P235-1)/2,IF(Z235="½ НЕ ЗАШЛО",-W235/2,IF(Z235="ВОЗВРАТ",0,""))))))</f>
        <v/>
      </c>
      <c r="AB235" s="18" t="str">
        <f aca="false">IF(AND(K235="ВИРТУАЛЬНЫЙ ВЫБОР",OR(Z235="✅ ЗАШЛО",Z235="❌ НЕ ЗАШЛО",Z235="½ ЗАШЛО",Z235="½ НЕ ЗАШЛО",Z235="ВОЗВРАТ")),W235,"")</f>
        <v/>
      </c>
      <c r="AC235" s="15"/>
      <c r="AD235" s="16" t="str">
        <f aca="false">IF(OR(AC235="",P235=""),"",P235/AC235-1)</f>
        <v/>
      </c>
      <c r="AE235" s="19" t="str">
        <f aca="false">IF(AND(M235=0,OR(Z235="✅ ЗАШЛО",Z235="❌ НЕ ЗАШЛО"),L235&lt;&gt;""),(L235-IF(Z235="✅ ЗАШЛО",1,0))^2,"")</f>
        <v/>
      </c>
      <c r="AF235" s="15"/>
      <c r="AG235" s="15"/>
      <c r="AH235" s="13"/>
      <c r="AI235" s="13"/>
      <c r="AJ235" s="13"/>
      <c r="AK235" s="20" t="str">
        <f aca="false">IF(AH235="","",IF(ABS(AH235+AI235+AJ235-1)&lt;0.000001,"OK","ОШИБКА"))</f>
        <v/>
      </c>
      <c r="AL235" s="13"/>
      <c r="AM235" s="12"/>
      <c r="AN235" s="12"/>
      <c r="AO235" s="12"/>
      <c r="AP235" s="12"/>
      <c r="AQ235" s="18" t="str">
        <f aca="false">IF(A235="","",N(AQ234)+N(AA235))</f>
        <v/>
      </c>
      <c r="AR235" s="18" t="str">
        <f aca="false">IF(AQ235="","",MAX(0,MAX($AQ$8:AQ235))-AQ235)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3"/>
      <c r="M236" s="13"/>
      <c r="N236" s="13"/>
      <c r="O236" s="14" t="str">
        <f aca="false">IF(OR(L236="",L236=0),"",(1-M236)/L236)</f>
        <v/>
      </c>
      <c r="P236" s="15"/>
      <c r="Q236" s="12"/>
      <c r="R236" s="12"/>
      <c r="S236" s="13"/>
      <c r="T236" s="16" t="str">
        <f aca="false">IF(OR(S236="",L236=""),"",L236/(1-M236)-S236)</f>
        <v/>
      </c>
      <c r="U236" s="16" t="str">
        <f aca="false">IF(OR(L236="",P236=""),"",L236*(P236-1)-N236)</f>
        <v/>
      </c>
      <c r="V236" s="13"/>
      <c r="W236" s="17"/>
      <c r="X236" s="12"/>
      <c r="Y236" s="12"/>
      <c r="Z236" s="12"/>
      <c r="AA236" s="18" t="str">
        <f aca="false">IF(K236&lt;&gt;"ВИРТУАЛЬНЫЙ ВЫБОР","",IF(Z236="✅ ЗАШЛО",W236*(P236-1),IF(Z236="❌ НЕ ЗАШЛО",-W236,IF(Z236="½ ЗАШЛО",W236*(P236-1)/2,IF(Z236="½ НЕ ЗАШЛО",-W236/2,IF(Z236="ВОЗВРАТ",0,""))))))</f>
        <v/>
      </c>
      <c r="AB236" s="18" t="str">
        <f aca="false">IF(AND(K236="ВИРТУАЛЬНЫЙ ВЫБОР",OR(Z236="✅ ЗАШЛО",Z236="❌ НЕ ЗАШЛО",Z236="½ ЗАШЛО",Z236="½ НЕ ЗАШЛО",Z236="ВОЗВРАТ")),W236,"")</f>
        <v/>
      </c>
      <c r="AC236" s="15"/>
      <c r="AD236" s="16" t="str">
        <f aca="false">IF(OR(AC236="",P236=""),"",P236/AC236-1)</f>
        <v/>
      </c>
      <c r="AE236" s="19" t="str">
        <f aca="false">IF(AND(M236=0,OR(Z236="✅ ЗАШЛО",Z236="❌ НЕ ЗАШЛО"),L236&lt;&gt;""),(L236-IF(Z236="✅ ЗАШЛО",1,0))^2,"")</f>
        <v/>
      </c>
      <c r="AF236" s="15"/>
      <c r="AG236" s="15"/>
      <c r="AH236" s="13"/>
      <c r="AI236" s="13"/>
      <c r="AJ236" s="13"/>
      <c r="AK236" s="20" t="str">
        <f aca="false">IF(AH236="","",IF(ABS(AH236+AI236+AJ236-1)&lt;0.000001,"OK","ОШИБКА"))</f>
        <v/>
      </c>
      <c r="AL236" s="13"/>
      <c r="AM236" s="12"/>
      <c r="AN236" s="12"/>
      <c r="AO236" s="12"/>
      <c r="AP236" s="12"/>
      <c r="AQ236" s="18" t="str">
        <f aca="false">IF(A236="","",N(AQ235)+N(AA236))</f>
        <v/>
      </c>
      <c r="AR236" s="18" t="str">
        <f aca="false">IF(AQ236="","",MAX(0,MAX($AQ$8:AQ236))-AQ236)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3"/>
      <c r="M237" s="13"/>
      <c r="N237" s="13"/>
      <c r="O237" s="14" t="str">
        <f aca="false">IF(OR(L237="",L237=0),"",(1-M237)/L237)</f>
        <v/>
      </c>
      <c r="P237" s="15"/>
      <c r="Q237" s="12"/>
      <c r="R237" s="12"/>
      <c r="S237" s="13"/>
      <c r="T237" s="16" t="str">
        <f aca="false">IF(OR(S237="",L237=""),"",L237/(1-M237)-S237)</f>
        <v/>
      </c>
      <c r="U237" s="16" t="str">
        <f aca="false">IF(OR(L237="",P237=""),"",L237*(P237-1)-N237)</f>
        <v/>
      </c>
      <c r="V237" s="13"/>
      <c r="W237" s="17"/>
      <c r="X237" s="12"/>
      <c r="Y237" s="12"/>
      <c r="Z237" s="12"/>
      <c r="AA237" s="18" t="str">
        <f aca="false">IF(K237&lt;&gt;"ВИРТУАЛЬНЫЙ ВЫБОР","",IF(Z237="✅ ЗАШЛО",W237*(P237-1),IF(Z237="❌ НЕ ЗАШЛО",-W237,IF(Z237="½ ЗАШЛО",W237*(P237-1)/2,IF(Z237="½ НЕ ЗАШЛО",-W237/2,IF(Z237="ВОЗВРАТ",0,""))))))</f>
        <v/>
      </c>
      <c r="AB237" s="18" t="str">
        <f aca="false">IF(AND(K237="ВИРТУАЛЬНЫЙ ВЫБОР",OR(Z237="✅ ЗАШЛО",Z237="❌ НЕ ЗАШЛО",Z237="½ ЗАШЛО",Z237="½ НЕ ЗАШЛО",Z237="ВОЗВРАТ")),W237,"")</f>
        <v/>
      </c>
      <c r="AC237" s="15"/>
      <c r="AD237" s="16" t="str">
        <f aca="false">IF(OR(AC237="",P237=""),"",P237/AC237-1)</f>
        <v/>
      </c>
      <c r="AE237" s="19" t="str">
        <f aca="false">IF(AND(M237=0,OR(Z237="✅ ЗАШЛО",Z237="❌ НЕ ЗАШЛО"),L237&lt;&gt;""),(L237-IF(Z237="✅ ЗАШЛО",1,0))^2,"")</f>
        <v/>
      </c>
      <c r="AF237" s="15"/>
      <c r="AG237" s="15"/>
      <c r="AH237" s="13"/>
      <c r="AI237" s="13"/>
      <c r="AJ237" s="13"/>
      <c r="AK237" s="20" t="str">
        <f aca="false">IF(AH237="","",IF(ABS(AH237+AI237+AJ237-1)&lt;0.000001,"OK","ОШИБКА"))</f>
        <v/>
      </c>
      <c r="AL237" s="13"/>
      <c r="AM237" s="12"/>
      <c r="AN237" s="12"/>
      <c r="AO237" s="12"/>
      <c r="AP237" s="12"/>
      <c r="AQ237" s="18" t="str">
        <f aca="false">IF(A237="","",N(AQ236)+N(AA237))</f>
        <v/>
      </c>
      <c r="AR237" s="18" t="str">
        <f aca="false">IF(AQ237="","",MAX(0,MAX($AQ$8:AQ237))-AQ237)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3"/>
      <c r="M238" s="13"/>
      <c r="N238" s="13"/>
      <c r="O238" s="14" t="str">
        <f aca="false">IF(OR(L238="",L238=0),"",(1-M238)/L238)</f>
        <v/>
      </c>
      <c r="P238" s="15"/>
      <c r="Q238" s="12"/>
      <c r="R238" s="12"/>
      <c r="S238" s="13"/>
      <c r="T238" s="16" t="str">
        <f aca="false">IF(OR(S238="",L238=""),"",L238/(1-M238)-S238)</f>
        <v/>
      </c>
      <c r="U238" s="16" t="str">
        <f aca="false">IF(OR(L238="",P238=""),"",L238*(P238-1)-N238)</f>
        <v/>
      </c>
      <c r="V238" s="13"/>
      <c r="W238" s="17"/>
      <c r="X238" s="12"/>
      <c r="Y238" s="12"/>
      <c r="Z238" s="12"/>
      <c r="AA238" s="18" t="str">
        <f aca="false">IF(K238&lt;&gt;"ВИРТУАЛЬНЫЙ ВЫБОР","",IF(Z238="✅ ЗАШЛО",W238*(P238-1),IF(Z238="❌ НЕ ЗАШЛО",-W238,IF(Z238="½ ЗАШЛО",W238*(P238-1)/2,IF(Z238="½ НЕ ЗАШЛО",-W238/2,IF(Z238="ВОЗВРАТ",0,""))))))</f>
        <v/>
      </c>
      <c r="AB238" s="18" t="str">
        <f aca="false">IF(AND(K238="ВИРТУАЛЬНЫЙ ВЫБОР",OR(Z238="✅ ЗАШЛО",Z238="❌ НЕ ЗАШЛО",Z238="½ ЗАШЛО",Z238="½ НЕ ЗАШЛО",Z238="ВОЗВРАТ")),W238,"")</f>
        <v/>
      </c>
      <c r="AC238" s="15"/>
      <c r="AD238" s="16" t="str">
        <f aca="false">IF(OR(AC238="",P238=""),"",P238/AC238-1)</f>
        <v/>
      </c>
      <c r="AE238" s="19" t="str">
        <f aca="false">IF(AND(M238=0,OR(Z238="✅ ЗАШЛО",Z238="❌ НЕ ЗАШЛО"),L238&lt;&gt;""),(L238-IF(Z238="✅ ЗАШЛО",1,0))^2,"")</f>
        <v/>
      </c>
      <c r="AF238" s="15"/>
      <c r="AG238" s="15"/>
      <c r="AH238" s="13"/>
      <c r="AI238" s="13"/>
      <c r="AJ238" s="13"/>
      <c r="AK238" s="20" t="str">
        <f aca="false">IF(AH238="","",IF(ABS(AH238+AI238+AJ238-1)&lt;0.000001,"OK","ОШИБКА"))</f>
        <v/>
      </c>
      <c r="AL238" s="13"/>
      <c r="AM238" s="12"/>
      <c r="AN238" s="12"/>
      <c r="AO238" s="12"/>
      <c r="AP238" s="12"/>
      <c r="AQ238" s="18" t="str">
        <f aca="false">IF(A238="","",N(AQ237)+N(AA238))</f>
        <v/>
      </c>
      <c r="AR238" s="18" t="str">
        <f aca="false">IF(AQ238="","",MAX(0,MAX($AQ$8:AQ238))-AQ238)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3"/>
      <c r="M239" s="13"/>
      <c r="N239" s="13"/>
      <c r="O239" s="14" t="str">
        <f aca="false">IF(OR(L239="",L239=0),"",(1-M239)/L239)</f>
        <v/>
      </c>
      <c r="P239" s="15"/>
      <c r="Q239" s="12"/>
      <c r="R239" s="12"/>
      <c r="S239" s="13"/>
      <c r="T239" s="16" t="str">
        <f aca="false">IF(OR(S239="",L239=""),"",L239/(1-M239)-S239)</f>
        <v/>
      </c>
      <c r="U239" s="16" t="str">
        <f aca="false">IF(OR(L239="",P239=""),"",L239*(P239-1)-N239)</f>
        <v/>
      </c>
      <c r="V239" s="13"/>
      <c r="W239" s="17"/>
      <c r="X239" s="12"/>
      <c r="Y239" s="12"/>
      <c r="Z239" s="12"/>
      <c r="AA239" s="18" t="str">
        <f aca="false">IF(K239&lt;&gt;"ВИРТУАЛЬНЫЙ ВЫБОР","",IF(Z239="✅ ЗАШЛО",W239*(P239-1),IF(Z239="❌ НЕ ЗАШЛО",-W239,IF(Z239="½ ЗАШЛО",W239*(P239-1)/2,IF(Z239="½ НЕ ЗАШЛО",-W239/2,IF(Z239="ВОЗВРАТ",0,""))))))</f>
        <v/>
      </c>
      <c r="AB239" s="18" t="str">
        <f aca="false">IF(AND(K239="ВИРТУАЛЬНЫЙ ВЫБОР",OR(Z239="✅ ЗАШЛО",Z239="❌ НЕ ЗАШЛО",Z239="½ ЗАШЛО",Z239="½ НЕ ЗАШЛО",Z239="ВОЗВРАТ")),W239,"")</f>
        <v/>
      </c>
      <c r="AC239" s="15"/>
      <c r="AD239" s="16" t="str">
        <f aca="false">IF(OR(AC239="",P239=""),"",P239/AC239-1)</f>
        <v/>
      </c>
      <c r="AE239" s="19" t="str">
        <f aca="false">IF(AND(M239=0,OR(Z239="✅ ЗАШЛО",Z239="❌ НЕ ЗАШЛО"),L239&lt;&gt;""),(L239-IF(Z239="✅ ЗАШЛО",1,0))^2,"")</f>
        <v/>
      </c>
      <c r="AF239" s="15"/>
      <c r="AG239" s="15"/>
      <c r="AH239" s="13"/>
      <c r="AI239" s="13"/>
      <c r="AJ239" s="13"/>
      <c r="AK239" s="20" t="str">
        <f aca="false">IF(AH239="","",IF(ABS(AH239+AI239+AJ239-1)&lt;0.000001,"OK","ОШИБКА"))</f>
        <v/>
      </c>
      <c r="AL239" s="13"/>
      <c r="AM239" s="12"/>
      <c r="AN239" s="12"/>
      <c r="AO239" s="12"/>
      <c r="AP239" s="12"/>
      <c r="AQ239" s="18" t="str">
        <f aca="false">IF(A239="","",N(AQ238)+N(AA239))</f>
        <v/>
      </c>
      <c r="AR239" s="18" t="str">
        <f aca="false">IF(AQ239="","",MAX(0,MAX($AQ$8:AQ239))-AQ239)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3"/>
      <c r="M240" s="13"/>
      <c r="N240" s="13"/>
      <c r="O240" s="14" t="str">
        <f aca="false">IF(OR(L240="",L240=0),"",(1-M240)/L240)</f>
        <v/>
      </c>
      <c r="P240" s="15"/>
      <c r="Q240" s="12"/>
      <c r="R240" s="12"/>
      <c r="S240" s="13"/>
      <c r="T240" s="16" t="str">
        <f aca="false">IF(OR(S240="",L240=""),"",L240/(1-M240)-S240)</f>
        <v/>
      </c>
      <c r="U240" s="16" t="str">
        <f aca="false">IF(OR(L240="",P240=""),"",L240*(P240-1)-N240)</f>
        <v/>
      </c>
      <c r="V240" s="13"/>
      <c r="W240" s="17"/>
      <c r="X240" s="12"/>
      <c r="Y240" s="12"/>
      <c r="Z240" s="12"/>
      <c r="AA240" s="18" t="str">
        <f aca="false">IF(K240&lt;&gt;"ВИРТУАЛЬНЫЙ ВЫБОР","",IF(Z240="✅ ЗАШЛО",W240*(P240-1),IF(Z240="❌ НЕ ЗАШЛО",-W240,IF(Z240="½ ЗАШЛО",W240*(P240-1)/2,IF(Z240="½ НЕ ЗАШЛО",-W240/2,IF(Z240="ВОЗВРАТ",0,""))))))</f>
        <v/>
      </c>
      <c r="AB240" s="18" t="str">
        <f aca="false">IF(AND(K240="ВИРТУАЛЬНЫЙ ВЫБОР",OR(Z240="✅ ЗАШЛО",Z240="❌ НЕ ЗАШЛО",Z240="½ ЗАШЛО",Z240="½ НЕ ЗАШЛО",Z240="ВОЗВРАТ")),W240,"")</f>
        <v/>
      </c>
      <c r="AC240" s="15"/>
      <c r="AD240" s="16" t="str">
        <f aca="false">IF(OR(AC240="",P240=""),"",P240/AC240-1)</f>
        <v/>
      </c>
      <c r="AE240" s="19" t="str">
        <f aca="false">IF(AND(M240=0,OR(Z240="✅ ЗАШЛО",Z240="❌ НЕ ЗАШЛО"),L240&lt;&gt;""),(L240-IF(Z240="✅ ЗАШЛО",1,0))^2,"")</f>
        <v/>
      </c>
      <c r="AF240" s="15"/>
      <c r="AG240" s="15"/>
      <c r="AH240" s="13"/>
      <c r="AI240" s="13"/>
      <c r="AJ240" s="13"/>
      <c r="AK240" s="20" t="str">
        <f aca="false">IF(AH240="","",IF(ABS(AH240+AI240+AJ240-1)&lt;0.000001,"OK","ОШИБКА"))</f>
        <v/>
      </c>
      <c r="AL240" s="13"/>
      <c r="AM240" s="12"/>
      <c r="AN240" s="12"/>
      <c r="AO240" s="12"/>
      <c r="AP240" s="12"/>
      <c r="AQ240" s="18" t="str">
        <f aca="false">IF(A240="","",N(AQ239)+N(AA240))</f>
        <v/>
      </c>
      <c r="AR240" s="18" t="str">
        <f aca="false">IF(AQ240="","",MAX(0,MAX($AQ$8:AQ240))-AQ240)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3"/>
      <c r="M241" s="13"/>
      <c r="N241" s="13"/>
      <c r="O241" s="14" t="str">
        <f aca="false">IF(OR(L241="",L241=0),"",(1-M241)/L241)</f>
        <v/>
      </c>
      <c r="P241" s="15"/>
      <c r="Q241" s="12"/>
      <c r="R241" s="12"/>
      <c r="S241" s="13"/>
      <c r="T241" s="16" t="str">
        <f aca="false">IF(OR(S241="",L241=""),"",L241/(1-M241)-S241)</f>
        <v/>
      </c>
      <c r="U241" s="16" t="str">
        <f aca="false">IF(OR(L241="",P241=""),"",L241*(P241-1)-N241)</f>
        <v/>
      </c>
      <c r="V241" s="13"/>
      <c r="W241" s="17"/>
      <c r="X241" s="12"/>
      <c r="Y241" s="12"/>
      <c r="Z241" s="12"/>
      <c r="AA241" s="18" t="str">
        <f aca="false">IF(K241&lt;&gt;"ВИРТУАЛЬНЫЙ ВЫБОР","",IF(Z241="✅ ЗАШЛО",W241*(P241-1),IF(Z241="❌ НЕ ЗАШЛО",-W241,IF(Z241="½ ЗАШЛО",W241*(P241-1)/2,IF(Z241="½ НЕ ЗАШЛО",-W241/2,IF(Z241="ВОЗВРАТ",0,""))))))</f>
        <v/>
      </c>
      <c r="AB241" s="18" t="str">
        <f aca="false">IF(AND(K241="ВИРТУАЛЬНЫЙ ВЫБОР",OR(Z241="✅ ЗАШЛО",Z241="❌ НЕ ЗАШЛО",Z241="½ ЗАШЛО",Z241="½ НЕ ЗАШЛО",Z241="ВОЗВРАТ")),W241,"")</f>
        <v/>
      </c>
      <c r="AC241" s="15"/>
      <c r="AD241" s="16" t="str">
        <f aca="false">IF(OR(AC241="",P241=""),"",P241/AC241-1)</f>
        <v/>
      </c>
      <c r="AE241" s="19" t="str">
        <f aca="false">IF(AND(M241=0,OR(Z241="✅ ЗАШЛО",Z241="❌ НЕ ЗАШЛО"),L241&lt;&gt;""),(L241-IF(Z241="✅ ЗАШЛО",1,0))^2,"")</f>
        <v/>
      </c>
      <c r="AF241" s="15"/>
      <c r="AG241" s="15"/>
      <c r="AH241" s="13"/>
      <c r="AI241" s="13"/>
      <c r="AJ241" s="13"/>
      <c r="AK241" s="20" t="str">
        <f aca="false">IF(AH241="","",IF(ABS(AH241+AI241+AJ241-1)&lt;0.000001,"OK","ОШИБКА"))</f>
        <v/>
      </c>
      <c r="AL241" s="13"/>
      <c r="AM241" s="12"/>
      <c r="AN241" s="12"/>
      <c r="AO241" s="12"/>
      <c r="AP241" s="12"/>
      <c r="AQ241" s="18" t="str">
        <f aca="false">IF(A241="","",N(AQ240)+N(AA241))</f>
        <v/>
      </c>
      <c r="AR241" s="18" t="str">
        <f aca="false">IF(AQ241="","",MAX(0,MAX($AQ$8:AQ241))-AQ241)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3"/>
      <c r="M242" s="13"/>
      <c r="N242" s="13"/>
      <c r="O242" s="14" t="str">
        <f aca="false">IF(OR(L242="",L242=0),"",(1-M242)/L242)</f>
        <v/>
      </c>
      <c r="P242" s="15"/>
      <c r="Q242" s="12"/>
      <c r="R242" s="12"/>
      <c r="S242" s="13"/>
      <c r="T242" s="16" t="str">
        <f aca="false">IF(OR(S242="",L242=""),"",L242/(1-M242)-S242)</f>
        <v/>
      </c>
      <c r="U242" s="16" t="str">
        <f aca="false">IF(OR(L242="",P242=""),"",L242*(P242-1)-N242)</f>
        <v/>
      </c>
      <c r="V242" s="13"/>
      <c r="W242" s="17"/>
      <c r="X242" s="12"/>
      <c r="Y242" s="12"/>
      <c r="Z242" s="12"/>
      <c r="AA242" s="18" t="str">
        <f aca="false">IF(K242&lt;&gt;"ВИРТУАЛЬНЫЙ ВЫБОР","",IF(Z242="✅ ЗАШЛО",W242*(P242-1),IF(Z242="❌ НЕ ЗАШЛО",-W242,IF(Z242="½ ЗАШЛО",W242*(P242-1)/2,IF(Z242="½ НЕ ЗАШЛО",-W242/2,IF(Z242="ВОЗВРАТ",0,""))))))</f>
        <v/>
      </c>
      <c r="AB242" s="18" t="str">
        <f aca="false">IF(AND(K242="ВИРТУАЛЬНЫЙ ВЫБОР",OR(Z242="✅ ЗАШЛО",Z242="❌ НЕ ЗАШЛО",Z242="½ ЗАШЛО",Z242="½ НЕ ЗАШЛО",Z242="ВОЗВРАТ")),W242,"")</f>
        <v/>
      </c>
      <c r="AC242" s="15"/>
      <c r="AD242" s="16" t="str">
        <f aca="false">IF(OR(AC242="",P242=""),"",P242/AC242-1)</f>
        <v/>
      </c>
      <c r="AE242" s="19" t="str">
        <f aca="false">IF(AND(M242=0,OR(Z242="✅ ЗАШЛО",Z242="❌ НЕ ЗАШЛО"),L242&lt;&gt;""),(L242-IF(Z242="✅ ЗАШЛО",1,0))^2,"")</f>
        <v/>
      </c>
      <c r="AF242" s="15"/>
      <c r="AG242" s="15"/>
      <c r="AH242" s="13"/>
      <c r="AI242" s="13"/>
      <c r="AJ242" s="13"/>
      <c r="AK242" s="20" t="str">
        <f aca="false">IF(AH242="","",IF(ABS(AH242+AI242+AJ242-1)&lt;0.000001,"OK","ОШИБКА"))</f>
        <v/>
      </c>
      <c r="AL242" s="13"/>
      <c r="AM242" s="12"/>
      <c r="AN242" s="12"/>
      <c r="AO242" s="12"/>
      <c r="AP242" s="12"/>
      <c r="AQ242" s="18" t="str">
        <f aca="false">IF(A242="","",N(AQ241)+N(AA242))</f>
        <v/>
      </c>
      <c r="AR242" s="18" t="str">
        <f aca="false">IF(AQ242="","",MAX(0,MAX($AQ$8:AQ242))-AQ242)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3"/>
      <c r="M243" s="13"/>
      <c r="N243" s="13"/>
      <c r="O243" s="14" t="str">
        <f aca="false">IF(OR(L243="",L243=0),"",(1-M243)/L243)</f>
        <v/>
      </c>
      <c r="P243" s="15"/>
      <c r="Q243" s="12"/>
      <c r="R243" s="12"/>
      <c r="S243" s="13"/>
      <c r="T243" s="16" t="str">
        <f aca="false">IF(OR(S243="",L243=""),"",L243/(1-M243)-S243)</f>
        <v/>
      </c>
      <c r="U243" s="16" t="str">
        <f aca="false">IF(OR(L243="",P243=""),"",L243*(P243-1)-N243)</f>
        <v/>
      </c>
      <c r="V243" s="13"/>
      <c r="W243" s="17"/>
      <c r="X243" s="12"/>
      <c r="Y243" s="12"/>
      <c r="Z243" s="12"/>
      <c r="AA243" s="18" t="str">
        <f aca="false">IF(K243&lt;&gt;"ВИРТУАЛЬНЫЙ ВЫБОР","",IF(Z243="✅ ЗАШЛО",W243*(P243-1),IF(Z243="❌ НЕ ЗАШЛО",-W243,IF(Z243="½ ЗАШЛО",W243*(P243-1)/2,IF(Z243="½ НЕ ЗАШЛО",-W243/2,IF(Z243="ВОЗВРАТ",0,""))))))</f>
        <v/>
      </c>
      <c r="AB243" s="18" t="str">
        <f aca="false">IF(AND(K243="ВИРТУАЛЬНЫЙ ВЫБОР",OR(Z243="✅ ЗАШЛО",Z243="❌ НЕ ЗАШЛО",Z243="½ ЗАШЛО",Z243="½ НЕ ЗАШЛО",Z243="ВОЗВРАТ")),W243,"")</f>
        <v/>
      </c>
      <c r="AC243" s="15"/>
      <c r="AD243" s="16" t="str">
        <f aca="false">IF(OR(AC243="",P243=""),"",P243/AC243-1)</f>
        <v/>
      </c>
      <c r="AE243" s="19" t="str">
        <f aca="false">IF(AND(M243=0,OR(Z243="✅ ЗАШЛО",Z243="❌ НЕ ЗАШЛО"),L243&lt;&gt;""),(L243-IF(Z243="✅ ЗАШЛО",1,0))^2,"")</f>
        <v/>
      </c>
      <c r="AF243" s="15"/>
      <c r="AG243" s="15"/>
      <c r="AH243" s="13"/>
      <c r="AI243" s="13"/>
      <c r="AJ243" s="13"/>
      <c r="AK243" s="20" t="str">
        <f aca="false">IF(AH243="","",IF(ABS(AH243+AI243+AJ243-1)&lt;0.000001,"OK","ОШИБКА"))</f>
        <v/>
      </c>
      <c r="AL243" s="13"/>
      <c r="AM243" s="12"/>
      <c r="AN243" s="12"/>
      <c r="AO243" s="12"/>
      <c r="AP243" s="12"/>
      <c r="AQ243" s="18" t="str">
        <f aca="false">IF(A243="","",N(AQ242)+N(AA243))</f>
        <v/>
      </c>
      <c r="AR243" s="18" t="str">
        <f aca="false">IF(AQ243="","",MAX(0,MAX($AQ$8:AQ243))-AQ243)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3"/>
      <c r="M244" s="13"/>
      <c r="N244" s="13"/>
      <c r="O244" s="14" t="str">
        <f aca="false">IF(OR(L244="",L244=0),"",(1-M244)/L244)</f>
        <v/>
      </c>
      <c r="P244" s="15"/>
      <c r="Q244" s="12"/>
      <c r="R244" s="12"/>
      <c r="S244" s="13"/>
      <c r="T244" s="16" t="str">
        <f aca="false">IF(OR(S244="",L244=""),"",L244/(1-M244)-S244)</f>
        <v/>
      </c>
      <c r="U244" s="16" t="str">
        <f aca="false">IF(OR(L244="",P244=""),"",L244*(P244-1)-N244)</f>
        <v/>
      </c>
      <c r="V244" s="13"/>
      <c r="W244" s="17"/>
      <c r="X244" s="12"/>
      <c r="Y244" s="12"/>
      <c r="Z244" s="12"/>
      <c r="AA244" s="18" t="str">
        <f aca="false">IF(K244&lt;&gt;"ВИРТУАЛЬНЫЙ ВЫБОР","",IF(Z244="✅ ЗАШЛО",W244*(P244-1),IF(Z244="❌ НЕ ЗАШЛО",-W244,IF(Z244="½ ЗАШЛО",W244*(P244-1)/2,IF(Z244="½ НЕ ЗАШЛО",-W244/2,IF(Z244="ВОЗВРАТ",0,""))))))</f>
        <v/>
      </c>
      <c r="AB244" s="18" t="str">
        <f aca="false">IF(AND(K244="ВИРТУАЛЬНЫЙ ВЫБОР",OR(Z244="✅ ЗАШЛО",Z244="❌ НЕ ЗАШЛО",Z244="½ ЗАШЛО",Z244="½ НЕ ЗАШЛО",Z244="ВОЗВРАТ")),W244,"")</f>
        <v/>
      </c>
      <c r="AC244" s="15"/>
      <c r="AD244" s="16" t="str">
        <f aca="false">IF(OR(AC244="",P244=""),"",P244/AC244-1)</f>
        <v/>
      </c>
      <c r="AE244" s="19" t="str">
        <f aca="false">IF(AND(M244=0,OR(Z244="✅ ЗАШЛО",Z244="❌ НЕ ЗАШЛО"),L244&lt;&gt;""),(L244-IF(Z244="✅ ЗАШЛО",1,0))^2,"")</f>
        <v/>
      </c>
      <c r="AF244" s="15"/>
      <c r="AG244" s="15"/>
      <c r="AH244" s="13"/>
      <c r="AI244" s="13"/>
      <c r="AJ244" s="13"/>
      <c r="AK244" s="20" t="str">
        <f aca="false">IF(AH244="","",IF(ABS(AH244+AI244+AJ244-1)&lt;0.000001,"OK","ОШИБКА"))</f>
        <v/>
      </c>
      <c r="AL244" s="13"/>
      <c r="AM244" s="12"/>
      <c r="AN244" s="12"/>
      <c r="AO244" s="12"/>
      <c r="AP244" s="12"/>
      <c r="AQ244" s="18" t="str">
        <f aca="false">IF(A244="","",N(AQ243)+N(AA244))</f>
        <v/>
      </c>
      <c r="AR244" s="18" t="str">
        <f aca="false">IF(AQ244="","",MAX(0,MAX($AQ$8:AQ244))-AQ244)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3"/>
      <c r="M245" s="13"/>
      <c r="N245" s="13"/>
      <c r="O245" s="14" t="str">
        <f aca="false">IF(OR(L245="",L245=0),"",(1-M245)/L245)</f>
        <v/>
      </c>
      <c r="P245" s="15"/>
      <c r="Q245" s="12"/>
      <c r="R245" s="12"/>
      <c r="S245" s="13"/>
      <c r="T245" s="16" t="str">
        <f aca="false">IF(OR(S245="",L245=""),"",L245/(1-M245)-S245)</f>
        <v/>
      </c>
      <c r="U245" s="16" t="str">
        <f aca="false">IF(OR(L245="",P245=""),"",L245*(P245-1)-N245)</f>
        <v/>
      </c>
      <c r="V245" s="13"/>
      <c r="W245" s="17"/>
      <c r="X245" s="12"/>
      <c r="Y245" s="12"/>
      <c r="Z245" s="12"/>
      <c r="AA245" s="18" t="str">
        <f aca="false">IF(K245&lt;&gt;"ВИРТУАЛЬНЫЙ ВЫБОР","",IF(Z245="✅ ЗАШЛО",W245*(P245-1),IF(Z245="❌ НЕ ЗАШЛО",-W245,IF(Z245="½ ЗАШЛО",W245*(P245-1)/2,IF(Z245="½ НЕ ЗАШЛО",-W245/2,IF(Z245="ВОЗВРАТ",0,""))))))</f>
        <v/>
      </c>
      <c r="AB245" s="18" t="str">
        <f aca="false">IF(AND(K245="ВИРТУАЛЬНЫЙ ВЫБОР",OR(Z245="✅ ЗАШЛО",Z245="❌ НЕ ЗАШЛО",Z245="½ ЗАШЛО",Z245="½ НЕ ЗАШЛО",Z245="ВОЗВРАТ")),W245,"")</f>
        <v/>
      </c>
      <c r="AC245" s="15"/>
      <c r="AD245" s="16" t="str">
        <f aca="false">IF(OR(AC245="",P245=""),"",P245/AC245-1)</f>
        <v/>
      </c>
      <c r="AE245" s="19" t="str">
        <f aca="false">IF(AND(M245=0,OR(Z245="✅ ЗАШЛО",Z245="❌ НЕ ЗАШЛО"),L245&lt;&gt;""),(L245-IF(Z245="✅ ЗАШЛО",1,0))^2,"")</f>
        <v/>
      </c>
      <c r="AF245" s="15"/>
      <c r="AG245" s="15"/>
      <c r="AH245" s="13"/>
      <c r="AI245" s="13"/>
      <c r="AJ245" s="13"/>
      <c r="AK245" s="20" t="str">
        <f aca="false">IF(AH245="","",IF(ABS(AH245+AI245+AJ245-1)&lt;0.000001,"OK","ОШИБКА"))</f>
        <v/>
      </c>
      <c r="AL245" s="13"/>
      <c r="AM245" s="12"/>
      <c r="AN245" s="12"/>
      <c r="AO245" s="12"/>
      <c r="AP245" s="12"/>
      <c r="AQ245" s="18" t="str">
        <f aca="false">IF(A245="","",N(AQ244)+N(AA245))</f>
        <v/>
      </c>
      <c r="AR245" s="18" t="str">
        <f aca="false">IF(AQ245="","",MAX(0,MAX($AQ$8:AQ245))-AQ245)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3"/>
      <c r="M246" s="13"/>
      <c r="N246" s="13"/>
      <c r="O246" s="14" t="str">
        <f aca="false">IF(OR(L246="",L246=0),"",(1-M246)/L246)</f>
        <v/>
      </c>
      <c r="P246" s="15"/>
      <c r="Q246" s="12"/>
      <c r="R246" s="12"/>
      <c r="S246" s="13"/>
      <c r="T246" s="16" t="str">
        <f aca="false">IF(OR(S246="",L246=""),"",L246/(1-M246)-S246)</f>
        <v/>
      </c>
      <c r="U246" s="16" t="str">
        <f aca="false">IF(OR(L246="",P246=""),"",L246*(P246-1)-N246)</f>
        <v/>
      </c>
      <c r="V246" s="13"/>
      <c r="W246" s="17"/>
      <c r="X246" s="12"/>
      <c r="Y246" s="12"/>
      <c r="Z246" s="12"/>
      <c r="AA246" s="18" t="str">
        <f aca="false">IF(K246&lt;&gt;"ВИРТУАЛЬНЫЙ ВЫБОР","",IF(Z246="✅ ЗАШЛО",W246*(P246-1),IF(Z246="❌ НЕ ЗАШЛО",-W246,IF(Z246="½ ЗАШЛО",W246*(P246-1)/2,IF(Z246="½ НЕ ЗАШЛО",-W246/2,IF(Z246="ВОЗВРАТ",0,""))))))</f>
        <v/>
      </c>
      <c r="AB246" s="18" t="str">
        <f aca="false">IF(AND(K246="ВИРТУАЛЬНЫЙ ВЫБОР",OR(Z246="✅ ЗАШЛО",Z246="❌ НЕ ЗАШЛО",Z246="½ ЗАШЛО",Z246="½ НЕ ЗАШЛО",Z246="ВОЗВРАТ")),W246,"")</f>
        <v/>
      </c>
      <c r="AC246" s="15"/>
      <c r="AD246" s="16" t="str">
        <f aca="false">IF(OR(AC246="",P246=""),"",P246/AC246-1)</f>
        <v/>
      </c>
      <c r="AE246" s="19" t="str">
        <f aca="false">IF(AND(M246=0,OR(Z246="✅ ЗАШЛО",Z246="❌ НЕ ЗАШЛО"),L246&lt;&gt;""),(L246-IF(Z246="✅ ЗАШЛО",1,0))^2,"")</f>
        <v/>
      </c>
      <c r="AF246" s="15"/>
      <c r="AG246" s="15"/>
      <c r="AH246" s="13"/>
      <c r="AI246" s="13"/>
      <c r="AJ246" s="13"/>
      <c r="AK246" s="20" t="str">
        <f aca="false">IF(AH246="","",IF(ABS(AH246+AI246+AJ246-1)&lt;0.000001,"OK","ОШИБКА"))</f>
        <v/>
      </c>
      <c r="AL246" s="13"/>
      <c r="AM246" s="12"/>
      <c r="AN246" s="12"/>
      <c r="AO246" s="12"/>
      <c r="AP246" s="12"/>
      <c r="AQ246" s="18" t="str">
        <f aca="false">IF(A246="","",N(AQ245)+N(AA246))</f>
        <v/>
      </c>
      <c r="AR246" s="18" t="str">
        <f aca="false">IF(AQ246="","",MAX(0,MAX($AQ$8:AQ246))-AQ246)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3"/>
      <c r="M247" s="13"/>
      <c r="N247" s="13"/>
      <c r="O247" s="14" t="str">
        <f aca="false">IF(OR(L247="",L247=0),"",(1-M247)/L247)</f>
        <v/>
      </c>
      <c r="P247" s="15"/>
      <c r="Q247" s="12"/>
      <c r="R247" s="12"/>
      <c r="S247" s="13"/>
      <c r="T247" s="16" t="str">
        <f aca="false">IF(OR(S247="",L247=""),"",L247/(1-M247)-S247)</f>
        <v/>
      </c>
      <c r="U247" s="16" t="str">
        <f aca="false">IF(OR(L247="",P247=""),"",L247*(P247-1)-N247)</f>
        <v/>
      </c>
      <c r="V247" s="13"/>
      <c r="W247" s="17"/>
      <c r="X247" s="12"/>
      <c r="Y247" s="12"/>
      <c r="Z247" s="12"/>
      <c r="AA247" s="18" t="str">
        <f aca="false">IF(K247&lt;&gt;"ВИРТУАЛЬНЫЙ ВЫБОР","",IF(Z247="✅ ЗАШЛО",W247*(P247-1),IF(Z247="❌ НЕ ЗАШЛО",-W247,IF(Z247="½ ЗАШЛО",W247*(P247-1)/2,IF(Z247="½ НЕ ЗАШЛО",-W247/2,IF(Z247="ВОЗВРАТ",0,""))))))</f>
        <v/>
      </c>
      <c r="AB247" s="18" t="str">
        <f aca="false">IF(AND(K247="ВИРТУАЛЬНЫЙ ВЫБОР",OR(Z247="✅ ЗАШЛО",Z247="❌ НЕ ЗАШЛО",Z247="½ ЗАШЛО",Z247="½ НЕ ЗАШЛО",Z247="ВОЗВРАТ")),W247,"")</f>
        <v/>
      </c>
      <c r="AC247" s="15"/>
      <c r="AD247" s="16" t="str">
        <f aca="false">IF(OR(AC247="",P247=""),"",P247/AC247-1)</f>
        <v/>
      </c>
      <c r="AE247" s="19" t="str">
        <f aca="false">IF(AND(M247=0,OR(Z247="✅ ЗАШЛО",Z247="❌ НЕ ЗАШЛО"),L247&lt;&gt;""),(L247-IF(Z247="✅ ЗАШЛО",1,0))^2,"")</f>
        <v/>
      </c>
      <c r="AF247" s="15"/>
      <c r="AG247" s="15"/>
      <c r="AH247" s="13"/>
      <c r="AI247" s="13"/>
      <c r="AJ247" s="13"/>
      <c r="AK247" s="20" t="str">
        <f aca="false">IF(AH247="","",IF(ABS(AH247+AI247+AJ247-1)&lt;0.000001,"OK","ОШИБКА"))</f>
        <v/>
      </c>
      <c r="AL247" s="13"/>
      <c r="AM247" s="12"/>
      <c r="AN247" s="12"/>
      <c r="AO247" s="12"/>
      <c r="AP247" s="12"/>
      <c r="AQ247" s="18" t="str">
        <f aca="false">IF(A247="","",N(AQ246)+N(AA247))</f>
        <v/>
      </c>
      <c r="AR247" s="18" t="str">
        <f aca="false">IF(AQ247="","",MAX(0,MAX($AQ$8:AQ247))-AQ247)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3"/>
      <c r="M248" s="13"/>
      <c r="N248" s="13"/>
      <c r="O248" s="14" t="str">
        <f aca="false">IF(OR(L248="",L248=0),"",(1-M248)/L248)</f>
        <v/>
      </c>
      <c r="P248" s="15"/>
      <c r="Q248" s="12"/>
      <c r="R248" s="12"/>
      <c r="S248" s="13"/>
      <c r="T248" s="16" t="str">
        <f aca="false">IF(OR(S248="",L248=""),"",L248/(1-M248)-S248)</f>
        <v/>
      </c>
      <c r="U248" s="16" t="str">
        <f aca="false">IF(OR(L248="",P248=""),"",L248*(P248-1)-N248)</f>
        <v/>
      </c>
      <c r="V248" s="13"/>
      <c r="W248" s="17"/>
      <c r="X248" s="12"/>
      <c r="Y248" s="12"/>
      <c r="Z248" s="12"/>
      <c r="AA248" s="18" t="str">
        <f aca="false">IF(K248&lt;&gt;"ВИРТУАЛЬНЫЙ ВЫБОР","",IF(Z248="✅ ЗАШЛО",W248*(P248-1),IF(Z248="❌ НЕ ЗАШЛО",-W248,IF(Z248="½ ЗАШЛО",W248*(P248-1)/2,IF(Z248="½ НЕ ЗАШЛО",-W248/2,IF(Z248="ВОЗВРАТ",0,""))))))</f>
        <v/>
      </c>
      <c r="AB248" s="18" t="str">
        <f aca="false">IF(AND(K248="ВИРТУАЛЬНЫЙ ВЫБОР",OR(Z248="✅ ЗАШЛО",Z248="❌ НЕ ЗАШЛО",Z248="½ ЗАШЛО",Z248="½ НЕ ЗАШЛО",Z248="ВОЗВРАТ")),W248,"")</f>
        <v/>
      </c>
      <c r="AC248" s="15"/>
      <c r="AD248" s="16" t="str">
        <f aca="false">IF(OR(AC248="",P248=""),"",P248/AC248-1)</f>
        <v/>
      </c>
      <c r="AE248" s="19" t="str">
        <f aca="false">IF(AND(M248=0,OR(Z248="✅ ЗАШЛО",Z248="❌ НЕ ЗАШЛО"),L248&lt;&gt;""),(L248-IF(Z248="✅ ЗАШЛО",1,0))^2,"")</f>
        <v/>
      </c>
      <c r="AF248" s="15"/>
      <c r="AG248" s="15"/>
      <c r="AH248" s="13"/>
      <c r="AI248" s="13"/>
      <c r="AJ248" s="13"/>
      <c r="AK248" s="20" t="str">
        <f aca="false">IF(AH248="","",IF(ABS(AH248+AI248+AJ248-1)&lt;0.000001,"OK","ОШИБКА"))</f>
        <v/>
      </c>
      <c r="AL248" s="13"/>
      <c r="AM248" s="12"/>
      <c r="AN248" s="12"/>
      <c r="AO248" s="12"/>
      <c r="AP248" s="12"/>
      <c r="AQ248" s="18" t="str">
        <f aca="false">IF(A248="","",N(AQ247)+N(AA248))</f>
        <v/>
      </c>
      <c r="AR248" s="18" t="str">
        <f aca="false">IF(AQ248="","",MAX(0,MAX($AQ$8:AQ248))-AQ248)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3"/>
      <c r="M249" s="13"/>
      <c r="N249" s="13"/>
      <c r="O249" s="14" t="str">
        <f aca="false">IF(OR(L249="",L249=0),"",(1-M249)/L249)</f>
        <v/>
      </c>
      <c r="P249" s="15"/>
      <c r="Q249" s="12"/>
      <c r="R249" s="12"/>
      <c r="S249" s="13"/>
      <c r="T249" s="16" t="str">
        <f aca="false">IF(OR(S249="",L249=""),"",L249/(1-M249)-S249)</f>
        <v/>
      </c>
      <c r="U249" s="16" t="str">
        <f aca="false">IF(OR(L249="",P249=""),"",L249*(P249-1)-N249)</f>
        <v/>
      </c>
      <c r="V249" s="13"/>
      <c r="W249" s="17"/>
      <c r="X249" s="12"/>
      <c r="Y249" s="12"/>
      <c r="Z249" s="12"/>
      <c r="AA249" s="18" t="str">
        <f aca="false">IF(K249&lt;&gt;"ВИРТУАЛЬНЫЙ ВЫБОР","",IF(Z249="✅ ЗАШЛО",W249*(P249-1),IF(Z249="❌ НЕ ЗАШЛО",-W249,IF(Z249="½ ЗАШЛО",W249*(P249-1)/2,IF(Z249="½ НЕ ЗАШЛО",-W249/2,IF(Z249="ВОЗВРАТ",0,""))))))</f>
        <v/>
      </c>
      <c r="AB249" s="18" t="str">
        <f aca="false">IF(AND(K249="ВИРТУАЛЬНЫЙ ВЫБОР",OR(Z249="✅ ЗАШЛО",Z249="❌ НЕ ЗАШЛО",Z249="½ ЗАШЛО",Z249="½ НЕ ЗАШЛО",Z249="ВОЗВРАТ")),W249,"")</f>
        <v/>
      </c>
      <c r="AC249" s="15"/>
      <c r="AD249" s="16" t="str">
        <f aca="false">IF(OR(AC249="",P249=""),"",P249/AC249-1)</f>
        <v/>
      </c>
      <c r="AE249" s="19" t="str">
        <f aca="false">IF(AND(M249=0,OR(Z249="✅ ЗАШЛО",Z249="❌ НЕ ЗАШЛО"),L249&lt;&gt;""),(L249-IF(Z249="✅ ЗАШЛО",1,0))^2,"")</f>
        <v/>
      </c>
      <c r="AF249" s="15"/>
      <c r="AG249" s="15"/>
      <c r="AH249" s="13"/>
      <c r="AI249" s="13"/>
      <c r="AJ249" s="13"/>
      <c r="AK249" s="20" t="str">
        <f aca="false">IF(AH249="","",IF(ABS(AH249+AI249+AJ249-1)&lt;0.000001,"OK","ОШИБКА"))</f>
        <v/>
      </c>
      <c r="AL249" s="13"/>
      <c r="AM249" s="12"/>
      <c r="AN249" s="12"/>
      <c r="AO249" s="12"/>
      <c r="AP249" s="12"/>
      <c r="AQ249" s="18" t="str">
        <f aca="false">IF(A249="","",N(AQ248)+N(AA249))</f>
        <v/>
      </c>
      <c r="AR249" s="18" t="str">
        <f aca="false">IF(AQ249="","",MAX(0,MAX($AQ$8:AQ249))-AQ249)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3"/>
      <c r="M250" s="13"/>
      <c r="N250" s="13"/>
      <c r="O250" s="14" t="str">
        <f aca="false">IF(OR(L250="",L250=0),"",(1-M250)/L250)</f>
        <v/>
      </c>
      <c r="P250" s="15"/>
      <c r="Q250" s="12"/>
      <c r="R250" s="12"/>
      <c r="S250" s="13"/>
      <c r="T250" s="16" t="str">
        <f aca="false">IF(OR(S250="",L250=""),"",L250/(1-M250)-S250)</f>
        <v/>
      </c>
      <c r="U250" s="16" t="str">
        <f aca="false">IF(OR(L250="",P250=""),"",L250*(P250-1)-N250)</f>
        <v/>
      </c>
      <c r="V250" s="13"/>
      <c r="W250" s="17"/>
      <c r="X250" s="12"/>
      <c r="Y250" s="12"/>
      <c r="Z250" s="12"/>
      <c r="AA250" s="18" t="str">
        <f aca="false">IF(K250&lt;&gt;"ВИРТУАЛЬНЫЙ ВЫБОР","",IF(Z250="✅ ЗАШЛО",W250*(P250-1),IF(Z250="❌ НЕ ЗАШЛО",-W250,IF(Z250="½ ЗАШЛО",W250*(P250-1)/2,IF(Z250="½ НЕ ЗАШЛО",-W250/2,IF(Z250="ВОЗВРАТ",0,""))))))</f>
        <v/>
      </c>
      <c r="AB250" s="18" t="str">
        <f aca="false">IF(AND(K250="ВИРТУАЛЬНЫЙ ВЫБОР",OR(Z250="✅ ЗАШЛО",Z250="❌ НЕ ЗАШЛО",Z250="½ ЗАШЛО",Z250="½ НЕ ЗАШЛО",Z250="ВОЗВРАТ")),W250,"")</f>
        <v/>
      </c>
      <c r="AC250" s="15"/>
      <c r="AD250" s="16" t="str">
        <f aca="false">IF(OR(AC250="",P250=""),"",P250/AC250-1)</f>
        <v/>
      </c>
      <c r="AE250" s="19" t="str">
        <f aca="false">IF(AND(M250=0,OR(Z250="✅ ЗАШЛО",Z250="❌ НЕ ЗАШЛО"),L250&lt;&gt;""),(L250-IF(Z250="✅ ЗАШЛО",1,0))^2,"")</f>
        <v/>
      </c>
      <c r="AF250" s="15"/>
      <c r="AG250" s="15"/>
      <c r="AH250" s="13"/>
      <c r="AI250" s="13"/>
      <c r="AJ250" s="13"/>
      <c r="AK250" s="20" t="str">
        <f aca="false">IF(AH250="","",IF(ABS(AH250+AI250+AJ250-1)&lt;0.000001,"OK","ОШИБКА"))</f>
        <v/>
      </c>
      <c r="AL250" s="13"/>
      <c r="AM250" s="12"/>
      <c r="AN250" s="12"/>
      <c r="AO250" s="12"/>
      <c r="AP250" s="12"/>
      <c r="AQ250" s="18" t="str">
        <f aca="false">IF(A250="","",N(AQ249)+N(AA250))</f>
        <v/>
      </c>
      <c r="AR250" s="18" t="str">
        <f aca="false">IF(AQ250="","",MAX(0,MAX($AQ$8:AQ250))-AQ250)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3"/>
      <c r="M251" s="13"/>
      <c r="N251" s="13"/>
      <c r="O251" s="14" t="str">
        <f aca="false">IF(OR(L251="",L251=0),"",(1-M251)/L251)</f>
        <v/>
      </c>
      <c r="P251" s="15"/>
      <c r="Q251" s="12"/>
      <c r="R251" s="12"/>
      <c r="S251" s="13"/>
      <c r="T251" s="16" t="str">
        <f aca="false">IF(OR(S251="",L251=""),"",L251/(1-M251)-S251)</f>
        <v/>
      </c>
      <c r="U251" s="16" t="str">
        <f aca="false">IF(OR(L251="",P251=""),"",L251*(P251-1)-N251)</f>
        <v/>
      </c>
      <c r="V251" s="13"/>
      <c r="W251" s="17"/>
      <c r="X251" s="12"/>
      <c r="Y251" s="12"/>
      <c r="Z251" s="12"/>
      <c r="AA251" s="18" t="str">
        <f aca="false">IF(K251&lt;&gt;"ВИРТУАЛЬНЫЙ ВЫБОР","",IF(Z251="✅ ЗАШЛО",W251*(P251-1),IF(Z251="❌ НЕ ЗАШЛО",-W251,IF(Z251="½ ЗАШЛО",W251*(P251-1)/2,IF(Z251="½ НЕ ЗАШЛО",-W251/2,IF(Z251="ВОЗВРАТ",0,""))))))</f>
        <v/>
      </c>
      <c r="AB251" s="18" t="str">
        <f aca="false">IF(AND(K251="ВИРТУАЛЬНЫЙ ВЫБОР",OR(Z251="✅ ЗАШЛО",Z251="❌ НЕ ЗАШЛО",Z251="½ ЗАШЛО",Z251="½ НЕ ЗАШЛО",Z251="ВОЗВРАТ")),W251,"")</f>
        <v/>
      </c>
      <c r="AC251" s="15"/>
      <c r="AD251" s="16" t="str">
        <f aca="false">IF(OR(AC251="",P251=""),"",P251/AC251-1)</f>
        <v/>
      </c>
      <c r="AE251" s="19" t="str">
        <f aca="false">IF(AND(M251=0,OR(Z251="✅ ЗАШЛО",Z251="❌ НЕ ЗАШЛО"),L251&lt;&gt;""),(L251-IF(Z251="✅ ЗАШЛО",1,0))^2,"")</f>
        <v/>
      </c>
      <c r="AF251" s="15"/>
      <c r="AG251" s="15"/>
      <c r="AH251" s="13"/>
      <c r="AI251" s="13"/>
      <c r="AJ251" s="13"/>
      <c r="AK251" s="20" t="str">
        <f aca="false">IF(AH251="","",IF(ABS(AH251+AI251+AJ251-1)&lt;0.000001,"OK","ОШИБКА"))</f>
        <v/>
      </c>
      <c r="AL251" s="13"/>
      <c r="AM251" s="12"/>
      <c r="AN251" s="12"/>
      <c r="AO251" s="12"/>
      <c r="AP251" s="12"/>
      <c r="AQ251" s="18" t="str">
        <f aca="false">IF(A251="","",N(AQ250)+N(AA251))</f>
        <v/>
      </c>
      <c r="AR251" s="18" t="str">
        <f aca="false">IF(AQ251="","",MAX(0,MAX($AQ$8:AQ251))-AQ251)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3"/>
      <c r="M252" s="13"/>
      <c r="N252" s="13"/>
      <c r="O252" s="14" t="str">
        <f aca="false">IF(OR(L252="",L252=0),"",(1-M252)/L252)</f>
        <v/>
      </c>
      <c r="P252" s="15"/>
      <c r="Q252" s="12"/>
      <c r="R252" s="12"/>
      <c r="S252" s="13"/>
      <c r="T252" s="16" t="str">
        <f aca="false">IF(OR(S252="",L252=""),"",L252/(1-M252)-S252)</f>
        <v/>
      </c>
      <c r="U252" s="16" t="str">
        <f aca="false">IF(OR(L252="",P252=""),"",L252*(P252-1)-N252)</f>
        <v/>
      </c>
      <c r="V252" s="13"/>
      <c r="W252" s="17"/>
      <c r="X252" s="12"/>
      <c r="Y252" s="12"/>
      <c r="Z252" s="12"/>
      <c r="AA252" s="18" t="str">
        <f aca="false">IF(K252&lt;&gt;"ВИРТУАЛЬНЫЙ ВЫБОР","",IF(Z252="✅ ЗАШЛО",W252*(P252-1),IF(Z252="❌ НЕ ЗАШЛО",-W252,IF(Z252="½ ЗАШЛО",W252*(P252-1)/2,IF(Z252="½ НЕ ЗАШЛО",-W252/2,IF(Z252="ВОЗВРАТ",0,""))))))</f>
        <v/>
      </c>
      <c r="AB252" s="18" t="str">
        <f aca="false">IF(AND(K252="ВИРТУАЛЬНЫЙ ВЫБОР",OR(Z252="✅ ЗАШЛО",Z252="❌ НЕ ЗАШЛО",Z252="½ ЗАШЛО",Z252="½ НЕ ЗАШЛО",Z252="ВОЗВРАТ")),W252,"")</f>
        <v/>
      </c>
      <c r="AC252" s="15"/>
      <c r="AD252" s="16" t="str">
        <f aca="false">IF(OR(AC252="",P252=""),"",P252/AC252-1)</f>
        <v/>
      </c>
      <c r="AE252" s="19" t="str">
        <f aca="false">IF(AND(M252=0,OR(Z252="✅ ЗАШЛО",Z252="❌ НЕ ЗАШЛО"),L252&lt;&gt;""),(L252-IF(Z252="✅ ЗАШЛО",1,0))^2,"")</f>
        <v/>
      </c>
      <c r="AF252" s="15"/>
      <c r="AG252" s="15"/>
      <c r="AH252" s="13"/>
      <c r="AI252" s="13"/>
      <c r="AJ252" s="13"/>
      <c r="AK252" s="20" t="str">
        <f aca="false">IF(AH252="","",IF(ABS(AH252+AI252+AJ252-1)&lt;0.000001,"OK","ОШИБКА"))</f>
        <v/>
      </c>
      <c r="AL252" s="13"/>
      <c r="AM252" s="12"/>
      <c r="AN252" s="12"/>
      <c r="AO252" s="12"/>
      <c r="AP252" s="12"/>
      <c r="AQ252" s="18" t="str">
        <f aca="false">IF(A252="","",N(AQ251)+N(AA252))</f>
        <v/>
      </c>
      <c r="AR252" s="18" t="str">
        <f aca="false">IF(AQ252="","",MAX(0,MAX($AQ$8:AQ252))-AQ252)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3"/>
      <c r="M253" s="13"/>
      <c r="N253" s="13"/>
      <c r="O253" s="14" t="str">
        <f aca="false">IF(OR(L253="",L253=0),"",(1-M253)/L253)</f>
        <v/>
      </c>
      <c r="P253" s="15"/>
      <c r="Q253" s="12"/>
      <c r="R253" s="12"/>
      <c r="S253" s="13"/>
      <c r="T253" s="16" t="str">
        <f aca="false">IF(OR(S253="",L253=""),"",L253/(1-M253)-S253)</f>
        <v/>
      </c>
      <c r="U253" s="16" t="str">
        <f aca="false">IF(OR(L253="",P253=""),"",L253*(P253-1)-N253)</f>
        <v/>
      </c>
      <c r="V253" s="13"/>
      <c r="W253" s="17"/>
      <c r="X253" s="12"/>
      <c r="Y253" s="12"/>
      <c r="Z253" s="12"/>
      <c r="AA253" s="18" t="str">
        <f aca="false">IF(K253&lt;&gt;"ВИРТУАЛЬНЫЙ ВЫБОР","",IF(Z253="✅ ЗАШЛО",W253*(P253-1),IF(Z253="❌ НЕ ЗАШЛО",-W253,IF(Z253="½ ЗАШЛО",W253*(P253-1)/2,IF(Z253="½ НЕ ЗАШЛО",-W253/2,IF(Z253="ВОЗВРАТ",0,""))))))</f>
        <v/>
      </c>
      <c r="AB253" s="18" t="str">
        <f aca="false">IF(AND(K253="ВИРТУАЛЬНЫЙ ВЫБОР",OR(Z253="✅ ЗАШЛО",Z253="❌ НЕ ЗАШЛО",Z253="½ ЗАШЛО",Z253="½ НЕ ЗАШЛО",Z253="ВОЗВРАТ")),W253,"")</f>
        <v/>
      </c>
      <c r="AC253" s="15"/>
      <c r="AD253" s="16" t="str">
        <f aca="false">IF(OR(AC253="",P253=""),"",P253/AC253-1)</f>
        <v/>
      </c>
      <c r="AE253" s="19" t="str">
        <f aca="false">IF(AND(M253=0,OR(Z253="✅ ЗАШЛО",Z253="❌ НЕ ЗАШЛО"),L253&lt;&gt;""),(L253-IF(Z253="✅ ЗАШЛО",1,0))^2,"")</f>
        <v/>
      </c>
      <c r="AF253" s="15"/>
      <c r="AG253" s="15"/>
      <c r="AH253" s="13"/>
      <c r="AI253" s="13"/>
      <c r="AJ253" s="13"/>
      <c r="AK253" s="20" t="str">
        <f aca="false">IF(AH253="","",IF(ABS(AH253+AI253+AJ253-1)&lt;0.000001,"OK","ОШИБКА"))</f>
        <v/>
      </c>
      <c r="AL253" s="13"/>
      <c r="AM253" s="12"/>
      <c r="AN253" s="12"/>
      <c r="AO253" s="12"/>
      <c r="AP253" s="12"/>
      <c r="AQ253" s="18" t="str">
        <f aca="false">IF(A253="","",N(AQ252)+N(AA253))</f>
        <v/>
      </c>
      <c r="AR253" s="18" t="str">
        <f aca="false">IF(AQ253="","",MAX(0,MAX($AQ$8:AQ253))-AQ253)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3"/>
      <c r="M254" s="13"/>
      <c r="N254" s="13"/>
      <c r="O254" s="14" t="str">
        <f aca="false">IF(OR(L254="",L254=0),"",(1-M254)/L254)</f>
        <v/>
      </c>
      <c r="P254" s="15"/>
      <c r="Q254" s="12"/>
      <c r="R254" s="12"/>
      <c r="S254" s="13"/>
      <c r="T254" s="16" t="str">
        <f aca="false">IF(OR(S254="",L254=""),"",L254/(1-M254)-S254)</f>
        <v/>
      </c>
      <c r="U254" s="16" t="str">
        <f aca="false">IF(OR(L254="",P254=""),"",L254*(P254-1)-N254)</f>
        <v/>
      </c>
      <c r="V254" s="13"/>
      <c r="W254" s="17"/>
      <c r="X254" s="12"/>
      <c r="Y254" s="12"/>
      <c r="Z254" s="12"/>
      <c r="AA254" s="18" t="str">
        <f aca="false">IF(K254&lt;&gt;"ВИРТУАЛЬНЫЙ ВЫБОР","",IF(Z254="✅ ЗАШЛО",W254*(P254-1),IF(Z254="❌ НЕ ЗАШЛО",-W254,IF(Z254="½ ЗАШЛО",W254*(P254-1)/2,IF(Z254="½ НЕ ЗАШЛО",-W254/2,IF(Z254="ВОЗВРАТ",0,""))))))</f>
        <v/>
      </c>
      <c r="AB254" s="18" t="str">
        <f aca="false">IF(AND(K254="ВИРТУАЛЬНЫЙ ВЫБОР",OR(Z254="✅ ЗАШЛО",Z254="❌ НЕ ЗАШЛО",Z254="½ ЗАШЛО",Z254="½ НЕ ЗАШЛО",Z254="ВОЗВРАТ")),W254,"")</f>
        <v/>
      </c>
      <c r="AC254" s="15"/>
      <c r="AD254" s="16" t="str">
        <f aca="false">IF(OR(AC254="",P254=""),"",P254/AC254-1)</f>
        <v/>
      </c>
      <c r="AE254" s="19" t="str">
        <f aca="false">IF(AND(M254=0,OR(Z254="✅ ЗАШЛО",Z254="❌ НЕ ЗАШЛО"),L254&lt;&gt;""),(L254-IF(Z254="✅ ЗАШЛО",1,0))^2,"")</f>
        <v/>
      </c>
      <c r="AF254" s="15"/>
      <c r="AG254" s="15"/>
      <c r="AH254" s="13"/>
      <c r="AI254" s="13"/>
      <c r="AJ254" s="13"/>
      <c r="AK254" s="20" t="str">
        <f aca="false">IF(AH254="","",IF(ABS(AH254+AI254+AJ254-1)&lt;0.000001,"OK","ОШИБКА"))</f>
        <v/>
      </c>
      <c r="AL254" s="13"/>
      <c r="AM254" s="12"/>
      <c r="AN254" s="12"/>
      <c r="AO254" s="12"/>
      <c r="AP254" s="12"/>
      <c r="AQ254" s="18" t="str">
        <f aca="false">IF(A254="","",N(AQ253)+N(AA254))</f>
        <v/>
      </c>
      <c r="AR254" s="18" t="str">
        <f aca="false">IF(AQ254="","",MAX(0,MAX($AQ$8:AQ254))-AQ254)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3"/>
      <c r="M255" s="13"/>
      <c r="N255" s="13"/>
      <c r="O255" s="14" t="str">
        <f aca="false">IF(OR(L255="",L255=0),"",(1-M255)/L255)</f>
        <v/>
      </c>
      <c r="P255" s="15"/>
      <c r="Q255" s="12"/>
      <c r="R255" s="12"/>
      <c r="S255" s="13"/>
      <c r="T255" s="16" t="str">
        <f aca="false">IF(OR(S255="",L255=""),"",L255/(1-M255)-S255)</f>
        <v/>
      </c>
      <c r="U255" s="16" t="str">
        <f aca="false">IF(OR(L255="",P255=""),"",L255*(P255-1)-N255)</f>
        <v/>
      </c>
      <c r="V255" s="13"/>
      <c r="W255" s="17"/>
      <c r="X255" s="12"/>
      <c r="Y255" s="12"/>
      <c r="Z255" s="12"/>
      <c r="AA255" s="18" t="str">
        <f aca="false">IF(K255&lt;&gt;"ВИРТУАЛЬНЫЙ ВЫБОР","",IF(Z255="✅ ЗАШЛО",W255*(P255-1),IF(Z255="❌ НЕ ЗАШЛО",-W255,IF(Z255="½ ЗАШЛО",W255*(P255-1)/2,IF(Z255="½ НЕ ЗАШЛО",-W255/2,IF(Z255="ВОЗВРАТ",0,""))))))</f>
        <v/>
      </c>
      <c r="AB255" s="18" t="str">
        <f aca="false">IF(AND(K255="ВИРТУАЛЬНЫЙ ВЫБОР",OR(Z255="✅ ЗАШЛО",Z255="❌ НЕ ЗАШЛО",Z255="½ ЗАШЛО",Z255="½ НЕ ЗАШЛО",Z255="ВОЗВРАТ")),W255,"")</f>
        <v/>
      </c>
      <c r="AC255" s="15"/>
      <c r="AD255" s="16" t="str">
        <f aca="false">IF(OR(AC255="",P255=""),"",P255/AC255-1)</f>
        <v/>
      </c>
      <c r="AE255" s="19" t="str">
        <f aca="false">IF(AND(M255=0,OR(Z255="✅ ЗАШЛО",Z255="❌ НЕ ЗАШЛО"),L255&lt;&gt;""),(L255-IF(Z255="✅ ЗАШЛО",1,0))^2,"")</f>
        <v/>
      </c>
      <c r="AF255" s="15"/>
      <c r="AG255" s="15"/>
      <c r="AH255" s="13"/>
      <c r="AI255" s="13"/>
      <c r="AJ255" s="13"/>
      <c r="AK255" s="20" t="str">
        <f aca="false">IF(AH255="","",IF(ABS(AH255+AI255+AJ255-1)&lt;0.000001,"OK","ОШИБКА"))</f>
        <v/>
      </c>
      <c r="AL255" s="13"/>
      <c r="AM255" s="12"/>
      <c r="AN255" s="12"/>
      <c r="AO255" s="12"/>
      <c r="AP255" s="12"/>
      <c r="AQ255" s="18" t="str">
        <f aca="false">IF(A255="","",N(AQ254)+N(AA255))</f>
        <v/>
      </c>
      <c r="AR255" s="18" t="str">
        <f aca="false">IF(AQ255="","",MAX(0,MAX($AQ$8:AQ255))-AQ255)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3"/>
      <c r="M256" s="13"/>
      <c r="N256" s="13"/>
      <c r="O256" s="14" t="str">
        <f aca="false">IF(OR(L256="",L256=0),"",(1-M256)/L256)</f>
        <v/>
      </c>
      <c r="P256" s="15"/>
      <c r="Q256" s="12"/>
      <c r="R256" s="12"/>
      <c r="S256" s="13"/>
      <c r="T256" s="16" t="str">
        <f aca="false">IF(OR(S256="",L256=""),"",L256/(1-M256)-S256)</f>
        <v/>
      </c>
      <c r="U256" s="16" t="str">
        <f aca="false">IF(OR(L256="",P256=""),"",L256*(P256-1)-N256)</f>
        <v/>
      </c>
      <c r="V256" s="13"/>
      <c r="W256" s="17"/>
      <c r="X256" s="12"/>
      <c r="Y256" s="12"/>
      <c r="Z256" s="12"/>
      <c r="AA256" s="18" t="str">
        <f aca="false">IF(K256&lt;&gt;"ВИРТУАЛЬНЫЙ ВЫБОР","",IF(Z256="✅ ЗАШЛО",W256*(P256-1),IF(Z256="❌ НЕ ЗАШЛО",-W256,IF(Z256="½ ЗАШЛО",W256*(P256-1)/2,IF(Z256="½ НЕ ЗАШЛО",-W256/2,IF(Z256="ВОЗВРАТ",0,""))))))</f>
        <v/>
      </c>
      <c r="AB256" s="18" t="str">
        <f aca="false">IF(AND(K256="ВИРТУАЛЬНЫЙ ВЫБОР",OR(Z256="✅ ЗАШЛО",Z256="❌ НЕ ЗАШЛО",Z256="½ ЗАШЛО",Z256="½ НЕ ЗАШЛО",Z256="ВОЗВРАТ")),W256,"")</f>
        <v/>
      </c>
      <c r="AC256" s="15"/>
      <c r="AD256" s="16" t="str">
        <f aca="false">IF(OR(AC256="",P256=""),"",P256/AC256-1)</f>
        <v/>
      </c>
      <c r="AE256" s="19" t="str">
        <f aca="false">IF(AND(M256=0,OR(Z256="✅ ЗАШЛО",Z256="❌ НЕ ЗАШЛО"),L256&lt;&gt;""),(L256-IF(Z256="✅ ЗАШЛО",1,0))^2,"")</f>
        <v/>
      </c>
      <c r="AF256" s="15"/>
      <c r="AG256" s="15"/>
      <c r="AH256" s="13"/>
      <c r="AI256" s="13"/>
      <c r="AJ256" s="13"/>
      <c r="AK256" s="20" t="str">
        <f aca="false">IF(AH256="","",IF(ABS(AH256+AI256+AJ256-1)&lt;0.000001,"OK","ОШИБКА"))</f>
        <v/>
      </c>
      <c r="AL256" s="13"/>
      <c r="AM256" s="12"/>
      <c r="AN256" s="12"/>
      <c r="AO256" s="12"/>
      <c r="AP256" s="12"/>
      <c r="AQ256" s="18" t="str">
        <f aca="false">IF(A256="","",N(AQ255)+N(AA256))</f>
        <v/>
      </c>
      <c r="AR256" s="18" t="str">
        <f aca="false">IF(AQ256="","",MAX(0,MAX($AQ$8:AQ256))-AQ256)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3"/>
      <c r="M257" s="13"/>
      <c r="N257" s="13"/>
      <c r="O257" s="14" t="str">
        <f aca="false">IF(OR(L257="",L257=0),"",(1-M257)/L257)</f>
        <v/>
      </c>
      <c r="P257" s="15"/>
      <c r="Q257" s="12"/>
      <c r="R257" s="12"/>
      <c r="S257" s="13"/>
      <c r="T257" s="16" t="str">
        <f aca="false">IF(OR(S257="",L257=""),"",L257/(1-M257)-S257)</f>
        <v/>
      </c>
      <c r="U257" s="16" t="str">
        <f aca="false">IF(OR(L257="",P257=""),"",L257*(P257-1)-N257)</f>
        <v/>
      </c>
      <c r="V257" s="13"/>
      <c r="W257" s="17"/>
      <c r="X257" s="12"/>
      <c r="Y257" s="12"/>
      <c r="Z257" s="12"/>
      <c r="AA257" s="18" t="str">
        <f aca="false">IF(K257&lt;&gt;"ВИРТУАЛЬНЫЙ ВЫБОР","",IF(Z257="✅ ЗАШЛО",W257*(P257-1),IF(Z257="❌ НЕ ЗАШЛО",-W257,IF(Z257="½ ЗАШЛО",W257*(P257-1)/2,IF(Z257="½ НЕ ЗАШЛО",-W257/2,IF(Z257="ВОЗВРАТ",0,""))))))</f>
        <v/>
      </c>
      <c r="AB257" s="18" t="str">
        <f aca="false">IF(AND(K257="ВИРТУАЛЬНЫЙ ВЫБОР",OR(Z257="✅ ЗАШЛО",Z257="❌ НЕ ЗАШЛО",Z257="½ ЗАШЛО",Z257="½ НЕ ЗАШЛО",Z257="ВОЗВРАТ")),W257,"")</f>
        <v/>
      </c>
      <c r="AC257" s="15"/>
      <c r="AD257" s="16" t="str">
        <f aca="false">IF(OR(AC257="",P257=""),"",P257/AC257-1)</f>
        <v/>
      </c>
      <c r="AE257" s="19" t="str">
        <f aca="false">IF(AND(M257=0,OR(Z257="✅ ЗАШЛО",Z257="❌ НЕ ЗАШЛО"),L257&lt;&gt;""),(L257-IF(Z257="✅ ЗАШЛО",1,0))^2,"")</f>
        <v/>
      </c>
      <c r="AF257" s="15"/>
      <c r="AG257" s="15"/>
      <c r="AH257" s="13"/>
      <c r="AI257" s="13"/>
      <c r="AJ257" s="13"/>
      <c r="AK257" s="20" t="str">
        <f aca="false">IF(AH257="","",IF(ABS(AH257+AI257+AJ257-1)&lt;0.000001,"OK","ОШИБКА"))</f>
        <v/>
      </c>
      <c r="AL257" s="13"/>
      <c r="AM257" s="12"/>
      <c r="AN257" s="12"/>
      <c r="AO257" s="12"/>
      <c r="AP257" s="12"/>
      <c r="AQ257" s="18" t="str">
        <f aca="false">IF(A257="","",N(AQ256)+N(AA257))</f>
        <v/>
      </c>
      <c r="AR257" s="18" t="str">
        <f aca="false">IF(AQ257="","",MAX(0,MAX($AQ$8:AQ257))-AQ257)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3"/>
      <c r="M258" s="13"/>
      <c r="N258" s="13"/>
      <c r="O258" s="14" t="str">
        <f aca="false">IF(OR(L258="",L258=0),"",(1-M258)/L258)</f>
        <v/>
      </c>
      <c r="P258" s="15"/>
      <c r="Q258" s="12"/>
      <c r="R258" s="12"/>
      <c r="S258" s="13"/>
      <c r="T258" s="16" t="str">
        <f aca="false">IF(OR(S258="",L258=""),"",L258/(1-M258)-S258)</f>
        <v/>
      </c>
      <c r="U258" s="16" t="str">
        <f aca="false">IF(OR(L258="",P258=""),"",L258*(P258-1)-N258)</f>
        <v/>
      </c>
      <c r="V258" s="13"/>
      <c r="W258" s="17"/>
      <c r="X258" s="12"/>
      <c r="Y258" s="12"/>
      <c r="Z258" s="12"/>
      <c r="AA258" s="18" t="str">
        <f aca="false">IF(K258&lt;&gt;"ВИРТУАЛЬНЫЙ ВЫБОР","",IF(Z258="✅ ЗАШЛО",W258*(P258-1),IF(Z258="❌ НЕ ЗАШЛО",-W258,IF(Z258="½ ЗАШЛО",W258*(P258-1)/2,IF(Z258="½ НЕ ЗАШЛО",-W258/2,IF(Z258="ВОЗВРАТ",0,""))))))</f>
        <v/>
      </c>
      <c r="AB258" s="18" t="str">
        <f aca="false">IF(AND(K258="ВИРТУАЛЬНЫЙ ВЫБОР",OR(Z258="✅ ЗАШЛО",Z258="❌ НЕ ЗАШЛО",Z258="½ ЗАШЛО",Z258="½ НЕ ЗАШЛО",Z258="ВОЗВРАТ")),W258,"")</f>
        <v/>
      </c>
      <c r="AC258" s="15"/>
      <c r="AD258" s="16" t="str">
        <f aca="false">IF(OR(AC258="",P258=""),"",P258/AC258-1)</f>
        <v/>
      </c>
      <c r="AE258" s="19" t="str">
        <f aca="false">IF(AND(M258=0,OR(Z258="✅ ЗАШЛО",Z258="❌ НЕ ЗАШЛО"),L258&lt;&gt;""),(L258-IF(Z258="✅ ЗАШЛО",1,0))^2,"")</f>
        <v/>
      </c>
      <c r="AF258" s="15"/>
      <c r="AG258" s="15"/>
      <c r="AH258" s="13"/>
      <c r="AI258" s="13"/>
      <c r="AJ258" s="13"/>
      <c r="AK258" s="20" t="str">
        <f aca="false">IF(AH258="","",IF(ABS(AH258+AI258+AJ258-1)&lt;0.000001,"OK","ОШИБКА"))</f>
        <v/>
      </c>
      <c r="AL258" s="13"/>
      <c r="AM258" s="12"/>
      <c r="AN258" s="12"/>
      <c r="AO258" s="12"/>
      <c r="AP258" s="12"/>
      <c r="AQ258" s="18" t="str">
        <f aca="false">IF(A258="","",N(AQ257)+N(AA258))</f>
        <v/>
      </c>
      <c r="AR258" s="18" t="str">
        <f aca="false">IF(AQ258="","",MAX(0,MAX($AQ$8:AQ258))-AQ258)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3"/>
      <c r="M259" s="13"/>
      <c r="N259" s="13"/>
      <c r="O259" s="14" t="str">
        <f aca="false">IF(OR(L259="",L259=0),"",(1-M259)/L259)</f>
        <v/>
      </c>
      <c r="P259" s="15"/>
      <c r="Q259" s="12"/>
      <c r="R259" s="12"/>
      <c r="S259" s="13"/>
      <c r="T259" s="16" t="str">
        <f aca="false">IF(OR(S259="",L259=""),"",L259/(1-M259)-S259)</f>
        <v/>
      </c>
      <c r="U259" s="16" t="str">
        <f aca="false">IF(OR(L259="",P259=""),"",L259*(P259-1)-N259)</f>
        <v/>
      </c>
      <c r="V259" s="13"/>
      <c r="W259" s="17"/>
      <c r="X259" s="12"/>
      <c r="Y259" s="12"/>
      <c r="Z259" s="12"/>
      <c r="AA259" s="18" t="str">
        <f aca="false">IF(K259&lt;&gt;"ВИРТУАЛЬНЫЙ ВЫБОР","",IF(Z259="✅ ЗАШЛО",W259*(P259-1),IF(Z259="❌ НЕ ЗАШЛО",-W259,IF(Z259="½ ЗАШЛО",W259*(P259-1)/2,IF(Z259="½ НЕ ЗАШЛО",-W259/2,IF(Z259="ВОЗВРАТ",0,""))))))</f>
        <v/>
      </c>
      <c r="AB259" s="18" t="str">
        <f aca="false">IF(AND(K259="ВИРТУАЛЬНЫЙ ВЫБОР",OR(Z259="✅ ЗАШЛО",Z259="❌ НЕ ЗАШЛО",Z259="½ ЗАШЛО",Z259="½ НЕ ЗАШЛО",Z259="ВОЗВРАТ")),W259,"")</f>
        <v/>
      </c>
      <c r="AC259" s="15"/>
      <c r="AD259" s="16" t="str">
        <f aca="false">IF(OR(AC259="",P259=""),"",P259/AC259-1)</f>
        <v/>
      </c>
      <c r="AE259" s="19" t="str">
        <f aca="false">IF(AND(M259=0,OR(Z259="✅ ЗАШЛО",Z259="❌ НЕ ЗАШЛО"),L259&lt;&gt;""),(L259-IF(Z259="✅ ЗАШЛО",1,0))^2,"")</f>
        <v/>
      </c>
      <c r="AF259" s="15"/>
      <c r="AG259" s="15"/>
      <c r="AH259" s="13"/>
      <c r="AI259" s="13"/>
      <c r="AJ259" s="13"/>
      <c r="AK259" s="20" t="str">
        <f aca="false">IF(AH259="","",IF(ABS(AH259+AI259+AJ259-1)&lt;0.000001,"OK","ОШИБКА"))</f>
        <v/>
      </c>
      <c r="AL259" s="13"/>
      <c r="AM259" s="12"/>
      <c r="AN259" s="12"/>
      <c r="AO259" s="12"/>
      <c r="AP259" s="12"/>
      <c r="AQ259" s="18" t="str">
        <f aca="false">IF(A259="","",N(AQ258)+N(AA259))</f>
        <v/>
      </c>
      <c r="AR259" s="18" t="str">
        <f aca="false">IF(AQ259="","",MAX(0,MAX($AQ$8:AQ259))-AQ259)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3"/>
      <c r="M260" s="13"/>
      <c r="N260" s="13"/>
      <c r="O260" s="14" t="str">
        <f aca="false">IF(OR(L260="",L260=0),"",(1-M260)/L260)</f>
        <v/>
      </c>
      <c r="P260" s="15"/>
      <c r="Q260" s="12"/>
      <c r="R260" s="12"/>
      <c r="S260" s="13"/>
      <c r="T260" s="16" t="str">
        <f aca="false">IF(OR(S260="",L260=""),"",L260/(1-M260)-S260)</f>
        <v/>
      </c>
      <c r="U260" s="16" t="str">
        <f aca="false">IF(OR(L260="",P260=""),"",L260*(P260-1)-N260)</f>
        <v/>
      </c>
      <c r="V260" s="13"/>
      <c r="W260" s="17"/>
      <c r="X260" s="12"/>
      <c r="Y260" s="12"/>
      <c r="Z260" s="12"/>
      <c r="AA260" s="18" t="str">
        <f aca="false">IF(K260&lt;&gt;"ВИРТУАЛЬНЫЙ ВЫБОР","",IF(Z260="✅ ЗАШЛО",W260*(P260-1),IF(Z260="❌ НЕ ЗАШЛО",-W260,IF(Z260="½ ЗАШЛО",W260*(P260-1)/2,IF(Z260="½ НЕ ЗАШЛО",-W260/2,IF(Z260="ВОЗВРАТ",0,""))))))</f>
        <v/>
      </c>
      <c r="AB260" s="18" t="str">
        <f aca="false">IF(AND(K260="ВИРТУАЛЬНЫЙ ВЫБОР",OR(Z260="✅ ЗАШЛО",Z260="❌ НЕ ЗАШЛО",Z260="½ ЗАШЛО",Z260="½ НЕ ЗАШЛО",Z260="ВОЗВРАТ")),W260,"")</f>
        <v/>
      </c>
      <c r="AC260" s="15"/>
      <c r="AD260" s="16" t="str">
        <f aca="false">IF(OR(AC260="",P260=""),"",P260/AC260-1)</f>
        <v/>
      </c>
      <c r="AE260" s="19" t="str">
        <f aca="false">IF(AND(M260=0,OR(Z260="✅ ЗАШЛО",Z260="❌ НЕ ЗАШЛО"),L260&lt;&gt;""),(L260-IF(Z260="✅ ЗАШЛО",1,0))^2,"")</f>
        <v/>
      </c>
      <c r="AF260" s="15"/>
      <c r="AG260" s="15"/>
      <c r="AH260" s="13"/>
      <c r="AI260" s="13"/>
      <c r="AJ260" s="13"/>
      <c r="AK260" s="20" t="str">
        <f aca="false">IF(AH260="","",IF(ABS(AH260+AI260+AJ260-1)&lt;0.000001,"OK","ОШИБКА"))</f>
        <v/>
      </c>
      <c r="AL260" s="13"/>
      <c r="AM260" s="12"/>
      <c r="AN260" s="12"/>
      <c r="AO260" s="12"/>
      <c r="AP260" s="12"/>
      <c r="AQ260" s="18" t="str">
        <f aca="false">IF(A260="","",N(AQ259)+N(AA260))</f>
        <v/>
      </c>
      <c r="AR260" s="18" t="str">
        <f aca="false">IF(AQ260="","",MAX(0,MAX($AQ$8:AQ260))-AQ260)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3"/>
      <c r="M261" s="13"/>
      <c r="N261" s="13"/>
      <c r="O261" s="14" t="str">
        <f aca="false">IF(OR(L261="",L261=0),"",(1-M261)/L261)</f>
        <v/>
      </c>
      <c r="P261" s="15"/>
      <c r="Q261" s="12"/>
      <c r="R261" s="12"/>
      <c r="S261" s="13"/>
      <c r="T261" s="16" t="str">
        <f aca="false">IF(OR(S261="",L261=""),"",L261/(1-M261)-S261)</f>
        <v/>
      </c>
      <c r="U261" s="16" t="str">
        <f aca="false">IF(OR(L261="",P261=""),"",L261*(P261-1)-N261)</f>
        <v/>
      </c>
      <c r="V261" s="13"/>
      <c r="W261" s="17"/>
      <c r="X261" s="12"/>
      <c r="Y261" s="12"/>
      <c r="Z261" s="12"/>
      <c r="AA261" s="18" t="str">
        <f aca="false">IF(K261&lt;&gt;"ВИРТУАЛЬНЫЙ ВЫБОР","",IF(Z261="✅ ЗАШЛО",W261*(P261-1),IF(Z261="❌ НЕ ЗАШЛО",-W261,IF(Z261="½ ЗАШЛО",W261*(P261-1)/2,IF(Z261="½ НЕ ЗАШЛО",-W261/2,IF(Z261="ВОЗВРАТ",0,""))))))</f>
        <v/>
      </c>
      <c r="AB261" s="18" t="str">
        <f aca="false">IF(AND(K261="ВИРТУАЛЬНЫЙ ВЫБОР",OR(Z261="✅ ЗАШЛО",Z261="❌ НЕ ЗАШЛО",Z261="½ ЗАШЛО",Z261="½ НЕ ЗАШЛО",Z261="ВОЗВРАТ")),W261,"")</f>
        <v/>
      </c>
      <c r="AC261" s="15"/>
      <c r="AD261" s="16" t="str">
        <f aca="false">IF(OR(AC261="",P261=""),"",P261/AC261-1)</f>
        <v/>
      </c>
      <c r="AE261" s="19" t="str">
        <f aca="false">IF(AND(M261=0,OR(Z261="✅ ЗАШЛО",Z261="❌ НЕ ЗАШЛО"),L261&lt;&gt;""),(L261-IF(Z261="✅ ЗАШЛО",1,0))^2,"")</f>
        <v/>
      </c>
      <c r="AF261" s="15"/>
      <c r="AG261" s="15"/>
      <c r="AH261" s="13"/>
      <c r="AI261" s="13"/>
      <c r="AJ261" s="13"/>
      <c r="AK261" s="20" t="str">
        <f aca="false">IF(AH261="","",IF(ABS(AH261+AI261+AJ261-1)&lt;0.000001,"OK","ОШИБКА"))</f>
        <v/>
      </c>
      <c r="AL261" s="13"/>
      <c r="AM261" s="12"/>
      <c r="AN261" s="12"/>
      <c r="AO261" s="12"/>
      <c r="AP261" s="12"/>
      <c r="AQ261" s="18" t="str">
        <f aca="false">IF(A261="","",N(AQ260)+N(AA261))</f>
        <v/>
      </c>
      <c r="AR261" s="18" t="str">
        <f aca="false">IF(AQ261="","",MAX(0,MAX($AQ$8:AQ261))-AQ261)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3"/>
      <c r="M262" s="13"/>
      <c r="N262" s="13"/>
      <c r="O262" s="14" t="str">
        <f aca="false">IF(OR(L262="",L262=0),"",(1-M262)/L262)</f>
        <v/>
      </c>
      <c r="P262" s="15"/>
      <c r="Q262" s="12"/>
      <c r="R262" s="12"/>
      <c r="S262" s="13"/>
      <c r="T262" s="16" t="str">
        <f aca="false">IF(OR(S262="",L262=""),"",L262/(1-M262)-S262)</f>
        <v/>
      </c>
      <c r="U262" s="16" t="str">
        <f aca="false">IF(OR(L262="",P262=""),"",L262*(P262-1)-N262)</f>
        <v/>
      </c>
      <c r="V262" s="13"/>
      <c r="W262" s="17"/>
      <c r="X262" s="12"/>
      <c r="Y262" s="12"/>
      <c r="Z262" s="12"/>
      <c r="AA262" s="18" t="str">
        <f aca="false">IF(K262&lt;&gt;"ВИРТУАЛЬНЫЙ ВЫБОР","",IF(Z262="✅ ЗАШЛО",W262*(P262-1),IF(Z262="❌ НЕ ЗАШЛО",-W262,IF(Z262="½ ЗАШЛО",W262*(P262-1)/2,IF(Z262="½ НЕ ЗАШЛО",-W262/2,IF(Z262="ВОЗВРАТ",0,""))))))</f>
        <v/>
      </c>
      <c r="AB262" s="18" t="str">
        <f aca="false">IF(AND(K262="ВИРТУАЛЬНЫЙ ВЫБОР",OR(Z262="✅ ЗАШЛО",Z262="❌ НЕ ЗАШЛО",Z262="½ ЗАШЛО",Z262="½ НЕ ЗАШЛО",Z262="ВОЗВРАТ")),W262,"")</f>
        <v/>
      </c>
      <c r="AC262" s="15"/>
      <c r="AD262" s="16" t="str">
        <f aca="false">IF(OR(AC262="",P262=""),"",P262/AC262-1)</f>
        <v/>
      </c>
      <c r="AE262" s="19" t="str">
        <f aca="false">IF(AND(M262=0,OR(Z262="✅ ЗАШЛО",Z262="❌ НЕ ЗАШЛО"),L262&lt;&gt;""),(L262-IF(Z262="✅ ЗАШЛО",1,0))^2,"")</f>
        <v/>
      </c>
      <c r="AF262" s="15"/>
      <c r="AG262" s="15"/>
      <c r="AH262" s="13"/>
      <c r="AI262" s="13"/>
      <c r="AJ262" s="13"/>
      <c r="AK262" s="20" t="str">
        <f aca="false">IF(AH262="","",IF(ABS(AH262+AI262+AJ262-1)&lt;0.000001,"OK","ОШИБКА"))</f>
        <v/>
      </c>
      <c r="AL262" s="13"/>
      <c r="AM262" s="12"/>
      <c r="AN262" s="12"/>
      <c r="AO262" s="12"/>
      <c r="AP262" s="12"/>
      <c r="AQ262" s="18" t="str">
        <f aca="false">IF(A262="","",N(AQ261)+N(AA262))</f>
        <v/>
      </c>
      <c r="AR262" s="18" t="str">
        <f aca="false">IF(AQ262="","",MAX(0,MAX($AQ$8:AQ262))-AQ262)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3"/>
      <c r="M263" s="13"/>
      <c r="N263" s="13"/>
      <c r="O263" s="14" t="str">
        <f aca="false">IF(OR(L263="",L263=0),"",(1-M263)/L263)</f>
        <v/>
      </c>
      <c r="P263" s="15"/>
      <c r="Q263" s="12"/>
      <c r="R263" s="12"/>
      <c r="S263" s="13"/>
      <c r="T263" s="16" t="str">
        <f aca="false">IF(OR(S263="",L263=""),"",L263/(1-M263)-S263)</f>
        <v/>
      </c>
      <c r="U263" s="16" t="str">
        <f aca="false">IF(OR(L263="",P263=""),"",L263*(P263-1)-N263)</f>
        <v/>
      </c>
      <c r="V263" s="13"/>
      <c r="W263" s="17"/>
      <c r="X263" s="12"/>
      <c r="Y263" s="12"/>
      <c r="Z263" s="12"/>
      <c r="AA263" s="18" t="str">
        <f aca="false">IF(K263&lt;&gt;"ВИРТУАЛЬНЫЙ ВЫБОР","",IF(Z263="✅ ЗАШЛО",W263*(P263-1),IF(Z263="❌ НЕ ЗАШЛО",-W263,IF(Z263="½ ЗАШЛО",W263*(P263-1)/2,IF(Z263="½ НЕ ЗАШЛО",-W263/2,IF(Z263="ВОЗВРАТ",0,""))))))</f>
        <v/>
      </c>
      <c r="AB263" s="18" t="str">
        <f aca="false">IF(AND(K263="ВИРТУАЛЬНЫЙ ВЫБОР",OR(Z263="✅ ЗАШЛО",Z263="❌ НЕ ЗАШЛО",Z263="½ ЗАШЛО",Z263="½ НЕ ЗАШЛО",Z263="ВОЗВРАТ")),W263,"")</f>
        <v/>
      </c>
      <c r="AC263" s="15"/>
      <c r="AD263" s="16" t="str">
        <f aca="false">IF(OR(AC263="",P263=""),"",P263/AC263-1)</f>
        <v/>
      </c>
      <c r="AE263" s="19" t="str">
        <f aca="false">IF(AND(M263=0,OR(Z263="✅ ЗАШЛО",Z263="❌ НЕ ЗАШЛО"),L263&lt;&gt;""),(L263-IF(Z263="✅ ЗАШЛО",1,0))^2,"")</f>
        <v/>
      </c>
      <c r="AF263" s="15"/>
      <c r="AG263" s="15"/>
      <c r="AH263" s="13"/>
      <c r="AI263" s="13"/>
      <c r="AJ263" s="13"/>
      <c r="AK263" s="20" t="str">
        <f aca="false">IF(AH263="","",IF(ABS(AH263+AI263+AJ263-1)&lt;0.000001,"OK","ОШИБКА"))</f>
        <v/>
      </c>
      <c r="AL263" s="13"/>
      <c r="AM263" s="12"/>
      <c r="AN263" s="12"/>
      <c r="AO263" s="12"/>
      <c r="AP263" s="12"/>
      <c r="AQ263" s="18" t="str">
        <f aca="false">IF(A263="","",N(AQ262)+N(AA263))</f>
        <v/>
      </c>
      <c r="AR263" s="18" t="str">
        <f aca="false">IF(AQ263="","",MAX(0,MAX($AQ$8:AQ263))-AQ263)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3"/>
      <c r="M264" s="13"/>
      <c r="N264" s="13"/>
      <c r="O264" s="14" t="str">
        <f aca="false">IF(OR(L264="",L264=0),"",(1-M264)/L264)</f>
        <v/>
      </c>
      <c r="P264" s="15"/>
      <c r="Q264" s="12"/>
      <c r="R264" s="12"/>
      <c r="S264" s="13"/>
      <c r="T264" s="16" t="str">
        <f aca="false">IF(OR(S264="",L264=""),"",L264/(1-M264)-S264)</f>
        <v/>
      </c>
      <c r="U264" s="16" t="str">
        <f aca="false">IF(OR(L264="",P264=""),"",L264*(P264-1)-N264)</f>
        <v/>
      </c>
      <c r="V264" s="13"/>
      <c r="W264" s="17"/>
      <c r="X264" s="12"/>
      <c r="Y264" s="12"/>
      <c r="Z264" s="12"/>
      <c r="AA264" s="18" t="str">
        <f aca="false">IF(K264&lt;&gt;"ВИРТУАЛЬНЫЙ ВЫБОР","",IF(Z264="✅ ЗАШЛО",W264*(P264-1),IF(Z264="❌ НЕ ЗАШЛО",-W264,IF(Z264="½ ЗАШЛО",W264*(P264-1)/2,IF(Z264="½ НЕ ЗАШЛО",-W264/2,IF(Z264="ВОЗВРАТ",0,""))))))</f>
        <v/>
      </c>
      <c r="AB264" s="18" t="str">
        <f aca="false">IF(AND(K264="ВИРТУАЛЬНЫЙ ВЫБОР",OR(Z264="✅ ЗАШЛО",Z264="❌ НЕ ЗАШЛО",Z264="½ ЗАШЛО",Z264="½ НЕ ЗАШЛО",Z264="ВОЗВРАТ")),W264,"")</f>
        <v/>
      </c>
      <c r="AC264" s="15"/>
      <c r="AD264" s="16" t="str">
        <f aca="false">IF(OR(AC264="",P264=""),"",P264/AC264-1)</f>
        <v/>
      </c>
      <c r="AE264" s="19" t="str">
        <f aca="false">IF(AND(M264=0,OR(Z264="✅ ЗАШЛО",Z264="❌ НЕ ЗАШЛО"),L264&lt;&gt;""),(L264-IF(Z264="✅ ЗАШЛО",1,0))^2,"")</f>
        <v/>
      </c>
      <c r="AF264" s="15"/>
      <c r="AG264" s="15"/>
      <c r="AH264" s="13"/>
      <c r="AI264" s="13"/>
      <c r="AJ264" s="13"/>
      <c r="AK264" s="20" t="str">
        <f aca="false">IF(AH264="","",IF(ABS(AH264+AI264+AJ264-1)&lt;0.000001,"OK","ОШИБКА"))</f>
        <v/>
      </c>
      <c r="AL264" s="13"/>
      <c r="AM264" s="12"/>
      <c r="AN264" s="12"/>
      <c r="AO264" s="12"/>
      <c r="AP264" s="12"/>
      <c r="AQ264" s="18" t="str">
        <f aca="false">IF(A264="","",N(AQ263)+N(AA264))</f>
        <v/>
      </c>
      <c r="AR264" s="18" t="str">
        <f aca="false">IF(AQ264="","",MAX(0,MAX($AQ$8:AQ264))-AQ264)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3"/>
      <c r="M265" s="13"/>
      <c r="N265" s="13"/>
      <c r="O265" s="14" t="str">
        <f aca="false">IF(OR(L265="",L265=0),"",(1-M265)/L265)</f>
        <v/>
      </c>
      <c r="P265" s="15"/>
      <c r="Q265" s="12"/>
      <c r="R265" s="12"/>
      <c r="S265" s="13"/>
      <c r="T265" s="16" t="str">
        <f aca="false">IF(OR(S265="",L265=""),"",L265/(1-M265)-S265)</f>
        <v/>
      </c>
      <c r="U265" s="16" t="str">
        <f aca="false">IF(OR(L265="",P265=""),"",L265*(P265-1)-N265)</f>
        <v/>
      </c>
      <c r="V265" s="13"/>
      <c r="W265" s="17"/>
      <c r="X265" s="12"/>
      <c r="Y265" s="12"/>
      <c r="Z265" s="12"/>
      <c r="AA265" s="18" t="str">
        <f aca="false">IF(K265&lt;&gt;"ВИРТУАЛЬНЫЙ ВЫБОР","",IF(Z265="✅ ЗАШЛО",W265*(P265-1),IF(Z265="❌ НЕ ЗАШЛО",-W265,IF(Z265="½ ЗАШЛО",W265*(P265-1)/2,IF(Z265="½ НЕ ЗАШЛО",-W265/2,IF(Z265="ВОЗВРАТ",0,""))))))</f>
        <v/>
      </c>
      <c r="AB265" s="18" t="str">
        <f aca="false">IF(AND(K265="ВИРТУАЛЬНЫЙ ВЫБОР",OR(Z265="✅ ЗАШЛО",Z265="❌ НЕ ЗАШЛО",Z265="½ ЗАШЛО",Z265="½ НЕ ЗАШЛО",Z265="ВОЗВРАТ")),W265,"")</f>
        <v/>
      </c>
      <c r="AC265" s="15"/>
      <c r="AD265" s="16" t="str">
        <f aca="false">IF(OR(AC265="",P265=""),"",P265/AC265-1)</f>
        <v/>
      </c>
      <c r="AE265" s="19" t="str">
        <f aca="false">IF(AND(M265=0,OR(Z265="✅ ЗАШЛО",Z265="❌ НЕ ЗАШЛО"),L265&lt;&gt;""),(L265-IF(Z265="✅ ЗАШЛО",1,0))^2,"")</f>
        <v/>
      </c>
      <c r="AF265" s="15"/>
      <c r="AG265" s="15"/>
      <c r="AH265" s="13"/>
      <c r="AI265" s="13"/>
      <c r="AJ265" s="13"/>
      <c r="AK265" s="20" t="str">
        <f aca="false">IF(AH265="","",IF(ABS(AH265+AI265+AJ265-1)&lt;0.000001,"OK","ОШИБКА"))</f>
        <v/>
      </c>
      <c r="AL265" s="13"/>
      <c r="AM265" s="12"/>
      <c r="AN265" s="12"/>
      <c r="AO265" s="12"/>
      <c r="AP265" s="12"/>
      <c r="AQ265" s="18" t="str">
        <f aca="false">IF(A265="","",N(AQ264)+N(AA265))</f>
        <v/>
      </c>
      <c r="AR265" s="18" t="str">
        <f aca="false">IF(AQ265="","",MAX(0,MAX($AQ$8:AQ265))-AQ265)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3"/>
      <c r="M266" s="13"/>
      <c r="N266" s="13"/>
      <c r="O266" s="14" t="str">
        <f aca="false">IF(OR(L266="",L266=0),"",(1-M266)/L266)</f>
        <v/>
      </c>
      <c r="P266" s="15"/>
      <c r="Q266" s="12"/>
      <c r="R266" s="12"/>
      <c r="S266" s="13"/>
      <c r="T266" s="16" t="str">
        <f aca="false">IF(OR(S266="",L266=""),"",L266/(1-M266)-S266)</f>
        <v/>
      </c>
      <c r="U266" s="16" t="str">
        <f aca="false">IF(OR(L266="",P266=""),"",L266*(P266-1)-N266)</f>
        <v/>
      </c>
      <c r="V266" s="13"/>
      <c r="W266" s="17"/>
      <c r="X266" s="12"/>
      <c r="Y266" s="12"/>
      <c r="Z266" s="12"/>
      <c r="AA266" s="18" t="str">
        <f aca="false">IF(K266&lt;&gt;"ВИРТУАЛЬНЫЙ ВЫБОР","",IF(Z266="✅ ЗАШЛО",W266*(P266-1),IF(Z266="❌ НЕ ЗАШЛО",-W266,IF(Z266="½ ЗАШЛО",W266*(P266-1)/2,IF(Z266="½ НЕ ЗАШЛО",-W266/2,IF(Z266="ВОЗВРАТ",0,""))))))</f>
        <v/>
      </c>
      <c r="AB266" s="18" t="str">
        <f aca="false">IF(AND(K266="ВИРТУАЛЬНЫЙ ВЫБОР",OR(Z266="✅ ЗАШЛО",Z266="❌ НЕ ЗАШЛО",Z266="½ ЗАШЛО",Z266="½ НЕ ЗАШЛО",Z266="ВОЗВРАТ")),W266,"")</f>
        <v/>
      </c>
      <c r="AC266" s="15"/>
      <c r="AD266" s="16" t="str">
        <f aca="false">IF(OR(AC266="",P266=""),"",P266/AC266-1)</f>
        <v/>
      </c>
      <c r="AE266" s="19" t="str">
        <f aca="false">IF(AND(M266=0,OR(Z266="✅ ЗАШЛО",Z266="❌ НЕ ЗАШЛО"),L266&lt;&gt;""),(L266-IF(Z266="✅ ЗАШЛО",1,0))^2,"")</f>
        <v/>
      </c>
      <c r="AF266" s="15"/>
      <c r="AG266" s="15"/>
      <c r="AH266" s="13"/>
      <c r="AI266" s="13"/>
      <c r="AJ266" s="13"/>
      <c r="AK266" s="20" t="str">
        <f aca="false">IF(AH266="","",IF(ABS(AH266+AI266+AJ266-1)&lt;0.000001,"OK","ОШИБКА"))</f>
        <v/>
      </c>
      <c r="AL266" s="13"/>
      <c r="AM266" s="12"/>
      <c r="AN266" s="12"/>
      <c r="AO266" s="12"/>
      <c r="AP266" s="12"/>
      <c r="AQ266" s="18" t="str">
        <f aca="false">IF(A266="","",N(AQ265)+N(AA266))</f>
        <v/>
      </c>
      <c r="AR266" s="18" t="str">
        <f aca="false">IF(AQ266="","",MAX(0,MAX($AQ$8:AQ266))-AQ266)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3"/>
      <c r="M267" s="13"/>
      <c r="N267" s="13"/>
      <c r="O267" s="14" t="str">
        <f aca="false">IF(OR(L267="",L267=0),"",(1-M267)/L267)</f>
        <v/>
      </c>
      <c r="P267" s="15"/>
      <c r="Q267" s="12"/>
      <c r="R267" s="12"/>
      <c r="S267" s="13"/>
      <c r="T267" s="16" t="str">
        <f aca="false">IF(OR(S267="",L267=""),"",L267/(1-M267)-S267)</f>
        <v/>
      </c>
      <c r="U267" s="16" t="str">
        <f aca="false">IF(OR(L267="",P267=""),"",L267*(P267-1)-N267)</f>
        <v/>
      </c>
      <c r="V267" s="13"/>
      <c r="W267" s="17"/>
      <c r="X267" s="12"/>
      <c r="Y267" s="12"/>
      <c r="Z267" s="12"/>
      <c r="AA267" s="18" t="str">
        <f aca="false">IF(K267&lt;&gt;"ВИРТУАЛЬНЫЙ ВЫБОР","",IF(Z267="✅ ЗАШЛО",W267*(P267-1),IF(Z267="❌ НЕ ЗАШЛО",-W267,IF(Z267="½ ЗАШЛО",W267*(P267-1)/2,IF(Z267="½ НЕ ЗАШЛО",-W267/2,IF(Z267="ВОЗВРАТ",0,""))))))</f>
        <v/>
      </c>
      <c r="AB267" s="18" t="str">
        <f aca="false">IF(AND(K267="ВИРТУАЛЬНЫЙ ВЫБОР",OR(Z267="✅ ЗАШЛО",Z267="❌ НЕ ЗАШЛО",Z267="½ ЗАШЛО",Z267="½ НЕ ЗАШЛО",Z267="ВОЗВРАТ")),W267,"")</f>
        <v/>
      </c>
      <c r="AC267" s="15"/>
      <c r="AD267" s="16" t="str">
        <f aca="false">IF(OR(AC267="",P267=""),"",P267/AC267-1)</f>
        <v/>
      </c>
      <c r="AE267" s="19" t="str">
        <f aca="false">IF(AND(M267=0,OR(Z267="✅ ЗАШЛО",Z267="❌ НЕ ЗАШЛО"),L267&lt;&gt;""),(L267-IF(Z267="✅ ЗАШЛО",1,0))^2,"")</f>
        <v/>
      </c>
      <c r="AF267" s="15"/>
      <c r="AG267" s="15"/>
      <c r="AH267" s="13"/>
      <c r="AI267" s="13"/>
      <c r="AJ267" s="13"/>
      <c r="AK267" s="20" t="str">
        <f aca="false">IF(AH267="","",IF(ABS(AH267+AI267+AJ267-1)&lt;0.000001,"OK","ОШИБКА"))</f>
        <v/>
      </c>
      <c r="AL267" s="13"/>
      <c r="AM267" s="12"/>
      <c r="AN267" s="12"/>
      <c r="AO267" s="12"/>
      <c r="AP267" s="12"/>
      <c r="AQ267" s="18" t="str">
        <f aca="false">IF(A267="","",N(AQ266)+N(AA267))</f>
        <v/>
      </c>
      <c r="AR267" s="18" t="str">
        <f aca="false">IF(AQ267="","",MAX(0,MAX($AQ$8:AQ267))-AQ267)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3"/>
      <c r="M268" s="13"/>
      <c r="N268" s="13"/>
      <c r="O268" s="14" t="str">
        <f aca="false">IF(OR(L268="",L268=0),"",(1-M268)/L268)</f>
        <v/>
      </c>
      <c r="P268" s="15"/>
      <c r="Q268" s="12"/>
      <c r="R268" s="12"/>
      <c r="S268" s="13"/>
      <c r="T268" s="16" t="str">
        <f aca="false">IF(OR(S268="",L268=""),"",L268/(1-M268)-S268)</f>
        <v/>
      </c>
      <c r="U268" s="16" t="str">
        <f aca="false">IF(OR(L268="",P268=""),"",L268*(P268-1)-N268)</f>
        <v/>
      </c>
      <c r="V268" s="13"/>
      <c r="W268" s="17"/>
      <c r="X268" s="12"/>
      <c r="Y268" s="12"/>
      <c r="Z268" s="12"/>
      <c r="AA268" s="18" t="str">
        <f aca="false">IF(K268&lt;&gt;"ВИРТУАЛЬНЫЙ ВЫБОР","",IF(Z268="✅ ЗАШЛО",W268*(P268-1),IF(Z268="❌ НЕ ЗАШЛО",-W268,IF(Z268="½ ЗАШЛО",W268*(P268-1)/2,IF(Z268="½ НЕ ЗАШЛО",-W268/2,IF(Z268="ВОЗВРАТ",0,""))))))</f>
        <v/>
      </c>
      <c r="AB268" s="18" t="str">
        <f aca="false">IF(AND(K268="ВИРТУАЛЬНЫЙ ВЫБОР",OR(Z268="✅ ЗАШЛО",Z268="❌ НЕ ЗАШЛО",Z268="½ ЗАШЛО",Z268="½ НЕ ЗАШЛО",Z268="ВОЗВРАТ")),W268,"")</f>
        <v/>
      </c>
      <c r="AC268" s="15"/>
      <c r="AD268" s="16" t="str">
        <f aca="false">IF(OR(AC268="",P268=""),"",P268/AC268-1)</f>
        <v/>
      </c>
      <c r="AE268" s="19" t="str">
        <f aca="false">IF(AND(M268=0,OR(Z268="✅ ЗАШЛО",Z268="❌ НЕ ЗАШЛО"),L268&lt;&gt;""),(L268-IF(Z268="✅ ЗАШЛО",1,0))^2,"")</f>
        <v/>
      </c>
      <c r="AF268" s="15"/>
      <c r="AG268" s="15"/>
      <c r="AH268" s="13"/>
      <c r="AI268" s="13"/>
      <c r="AJ268" s="13"/>
      <c r="AK268" s="20" t="str">
        <f aca="false">IF(AH268="","",IF(ABS(AH268+AI268+AJ268-1)&lt;0.000001,"OK","ОШИБКА"))</f>
        <v/>
      </c>
      <c r="AL268" s="13"/>
      <c r="AM268" s="12"/>
      <c r="AN268" s="12"/>
      <c r="AO268" s="12"/>
      <c r="AP268" s="12"/>
      <c r="AQ268" s="18" t="str">
        <f aca="false">IF(A268="","",N(AQ267)+N(AA268))</f>
        <v/>
      </c>
      <c r="AR268" s="18" t="str">
        <f aca="false">IF(AQ268="","",MAX(0,MAX($AQ$8:AQ268))-AQ268)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3"/>
      <c r="M269" s="13"/>
      <c r="N269" s="13"/>
      <c r="O269" s="14" t="str">
        <f aca="false">IF(OR(L269="",L269=0),"",(1-M269)/L269)</f>
        <v/>
      </c>
      <c r="P269" s="15"/>
      <c r="Q269" s="12"/>
      <c r="R269" s="12"/>
      <c r="S269" s="13"/>
      <c r="T269" s="16" t="str">
        <f aca="false">IF(OR(S269="",L269=""),"",L269/(1-M269)-S269)</f>
        <v/>
      </c>
      <c r="U269" s="16" t="str">
        <f aca="false">IF(OR(L269="",P269=""),"",L269*(P269-1)-N269)</f>
        <v/>
      </c>
      <c r="V269" s="13"/>
      <c r="W269" s="17"/>
      <c r="X269" s="12"/>
      <c r="Y269" s="12"/>
      <c r="Z269" s="12"/>
      <c r="AA269" s="18" t="str">
        <f aca="false">IF(K269&lt;&gt;"ВИРТУАЛЬНЫЙ ВЫБОР","",IF(Z269="✅ ЗАШЛО",W269*(P269-1),IF(Z269="❌ НЕ ЗАШЛО",-W269,IF(Z269="½ ЗАШЛО",W269*(P269-1)/2,IF(Z269="½ НЕ ЗАШЛО",-W269/2,IF(Z269="ВОЗВРАТ",0,""))))))</f>
        <v/>
      </c>
      <c r="AB269" s="18" t="str">
        <f aca="false">IF(AND(K269="ВИРТУАЛЬНЫЙ ВЫБОР",OR(Z269="✅ ЗАШЛО",Z269="❌ НЕ ЗАШЛО",Z269="½ ЗАШЛО",Z269="½ НЕ ЗАШЛО",Z269="ВОЗВРАТ")),W269,"")</f>
        <v/>
      </c>
      <c r="AC269" s="15"/>
      <c r="AD269" s="16" t="str">
        <f aca="false">IF(OR(AC269="",P269=""),"",P269/AC269-1)</f>
        <v/>
      </c>
      <c r="AE269" s="19" t="str">
        <f aca="false">IF(AND(M269=0,OR(Z269="✅ ЗАШЛО",Z269="❌ НЕ ЗАШЛО"),L269&lt;&gt;""),(L269-IF(Z269="✅ ЗАШЛО",1,0))^2,"")</f>
        <v/>
      </c>
      <c r="AF269" s="15"/>
      <c r="AG269" s="15"/>
      <c r="AH269" s="13"/>
      <c r="AI269" s="13"/>
      <c r="AJ269" s="13"/>
      <c r="AK269" s="20" t="str">
        <f aca="false">IF(AH269="","",IF(ABS(AH269+AI269+AJ269-1)&lt;0.000001,"OK","ОШИБКА"))</f>
        <v/>
      </c>
      <c r="AL269" s="13"/>
      <c r="AM269" s="12"/>
      <c r="AN269" s="12"/>
      <c r="AO269" s="12"/>
      <c r="AP269" s="12"/>
      <c r="AQ269" s="18" t="str">
        <f aca="false">IF(A269="","",N(AQ268)+N(AA269))</f>
        <v/>
      </c>
      <c r="AR269" s="18" t="str">
        <f aca="false">IF(AQ269="","",MAX(0,MAX($AQ$8:AQ269))-AQ269)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3"/>
      <c r="M270" s="13"/>
      <c r="N270" s="13"/>
      <c r="O270" s="14" t="str">
        <f aca="false">IF(OR(L270="",L270=0),"",(1-M270)/L270)</f>
        <v/>
      </c>
      <c r="P270" s="15"/>
      <c r="Q270" s="12"/>
      <c r="R270" s="12"/>
      <c r="S270" s="13"/>
      <c r="T270" s="16" t="str">
        <f aca="false">IF(OR(S270="",L270=""),"",L270/(1-M270)-S270)</f>
        <v/>
      </c>
      <c r="U270" s="16" t="str">
        <f aca="false">IF(OR(L270="",P270=""),"",L270*(P270-1)-N270)</f>
        <v/>
      </c>
      <c r="V270" s="13"/>
      <c r="W270" s="17"/>
      <c r="X270" s="12"/>
      <c r="Y270" s="12"/>
      <c r="Z270" s="12"/>
      <c r="AA270" s="18" t="str">
        <f aca="false">IF(K270&lt;&gt;"ВИРТУАЛЬНЫЙ ВЫБОР","",IF(Z270="✅ ЗАШЛО",W270*(P270-1),IF(Z270="❌ НЕ ЗАШЛО",-W270,IF(Z270="½ ЗАШЛО",W270*(P270-1)/2,IF(Z270="½ НЕ ЗАШЛО",-W270/2,IF(Z270="ВОЗВРАТ",0,""))))))</f>
        <v/>
      </c>
      <c r="AB270" s="18" t="str">
        <f aca="false">IF(AND(K270="ВИРТУАЛЬНЫЙ ВЫБОР",OR(Z270="✅ ЗАШЛО",Z270="❌ НЕ ЗАШЛО",Z270="½ ЗАШЛО",Z270="½ НЕ ЗАШЛО",Z270="ВОЗВРАТ")),W270,"")</f>
        <v/>
      </c>
      <c r="AC270" s="15"/>
      <c r="AD270" s="16" t="str">
        <f aca="false">IF(OR(AC270="",P270=""),"",P270/AC270-1)</f>
        <v/>
      </c>
      <c r="AE270" s="19" t="str">
        <f aca="false">IF(AND(M270=0,OR(Z270="✅ ЗАШЛО",Z270="❌ НЕ ЗАШЛО"),L270&lt;&gt;""),(L270-IF(Z270="✅ ЗАШЛО",1,0))^2,"")</f>
        <v/>
      </c>
      <c r="AF270" s="15"/>
      <c r="AG270" s="15"/>
      <c r="AH270" s="13"/>
      <c r="AI270" s="13"/>
      <c r="AJ270" s="13"/>
      <c r="AK270" s="20" t="str">
        <f aca="false">IF(AH270="","",IF(ABS(AH270+AI270+AJ270-1)&lt;0.000001,"OK","ОШИБКА"))</f>
        <v/>
      </c>
      <c r="AL270" s="13"/>
      <c r="AM270" s="12"/>
      <c r="AN270" s="12"/>
      <c r="AO270" s="12"/>
      <c r="AP270" s="12"/>
      <c r="AQ270" s="18" t="str">
        <f aca="false">IF(A270="","",N(AQ269)+N(AA270))</f>
        <v/>
      </c>
      <c r="AR270" s="18" t="str">
        <f aca="false">IF(AQ270="","",MAX(0,MAX($AQ$8:AQ270))-AQ270)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3"/>
      <c r="M271" s="13"/>
      <c r="N271" s="13"/>
      <c r="O271" s="14" t="str">
        <f aca="false">IF(OR(L271="",L271=0),"",(1-M271)/L271)</f>
        <v/>
      </c>
      <c r="P271" s="15"/>
      <c r="Q271" s="12"/>
      <c r="R271" s="12"/>
      <c r="S271" s="13"/>
      <c r="T271" s="16" t="str">
        <f aca="false">IF(OR(S271="",L271=""),"",L271/(1-M271)-S271)</f>
        <v/>
      </c>
      <c r="U271" s="16" t="str">
        <f aca="false">IF(OR(L271="",P271=""),"",L271*(P271-1)-N271)</f>
        <v/>
      </c>
      <c r="V271" s="13"/>
      <c r="W271" s="17"/>
      <c r="X271" s="12"/>
      <c r="Y271" s="12"/>
      <c r="Z271" s="12"/>
      <c r="AA271" s="18" t="str">
        <f aca="false">IF(K271&lt;&gt;"ВИРТУАЛЬНЫЙ ВЫБОР","",IF(Z271="✅ ЗАШЛО",W271*(P271-1),IF(Z271="❌ НЕ ЗАШЛО",-W271,IF(Z271="½ ЗАШЛО",W271*(P271-1)/2,IF(Z271="½ НЕ ЗАШЛО",-W271/2,IF(Z271="ВОЗВРАТ",0,""))))))</f>
        <v/>
      </c>
      <c r="AB271" s="18" t="str">
        <f aca="false">IF(AND(K271="ВИРТУАЛЬНЫЙ ВЫБОР",OR(Z271="✅ ЗАШЛО",Z271="❌ НЕ ЗАШЛО",Z271="½ ЗАШЛО",Z271="½ НЕ ЗАШЛО",Z271="ВОЗВРАТ")),W271,"")</f>
        <v/>
      </c>
      <c r="AC271" s="15"/>
      <c r="AD271" s="16" t="str">
        <f aca="false">IF(OR(AC271="",P271=""),"",P271/AC271-1)</f>
        <v/>
      </c>
      <c r="AE271" s="19" t="str">
        <f aca="false">IF(AND(M271=0,OR(Z271="✅ ЗАШЛО",Z271="❌ НЕ ЗАШЛО"),L271&lt;&gt;""),(L271-IF(Z271="✅ ЗАШЛО",1,0))^2,"")</f>
        <v/>
      </c>
      <c r="AF271" s="15"/>
      <c r="AG271" s="15"/>
      <c r="AH271" s="13"/>
      <c r="AI271" s="13"/>
      <c r="AJ271" s="13"/>
      <c r="AK271" s="20" t="str">
        <f aca="false">IF(AH271="","",IF(ABS(AH271+AI271+AJ271-1)&lt;0.000001,"OK","ОШИБКА"))</f>
        <v/>
      </c>
      <c r="AL271" s="13"/>
      <c r="AM271" s="12"/>
      <c r="AN271" s="12"/>
      <c r="AO271" s="12"/>
      <c r="AP271" s="12"/>
      <c r="AQ271" s="18" t="str">
        <f aca="false">IF(A271="","",N(AQ270)+N(AA271))</f>
        <v/>
      </c>
      <c r="AR271" s="18" t="str">
        <f aca="false">IF(AQ271="","",MAX(0,MAX($AQ$8:AQ271))-AQ271)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3"/>
      <c r="M272" s="13"/>
      <c r="N272" s="13"/>
      <c r="O272" s="14" t="str">
        <f aca="false">IF(OR(L272="",L272=0),"",(1-M272)/L272)</f>
        <v/>
      </c>
      <c r="P272" s="15"/>
      <c r="Q272" s="12"/>
      <c r="R272" s="12"/>
      <c r="S272" s="13"/>
      <c r="T272" s="16" t="str">
        <f aca="false">IF(OR(S272="",L272=""),"",L272/(1-M272)-S272)</f>
        <v/>
      </c>
      <c r="U272" s="16" t="str">
        <f aca="false">IF(OR(L272="",P272=""),"",L272*(P272-1)-N272)</f>
        <v/>
      </c>
      <c r="V272" s="13"/>
      <c r="W272" s="17"/>
      <c r="X272" s="12"/>
      <c r="Y272" s="12"/>
      <c r="Z272" s="12"/>
      <c r="AA272" s="18" t="str">
        <f aca="false">IF(K272&lt;&gt;"ВИРТУАЛЬНЫЙ ВЫБОР","",IF(Z272="✅ ЗАШЛО",W272*(P272-1),IF(Z272="❌ НЕ ЗАШЛО",-W272,IF(Z272="½ ЗАШЛО",W272*(P272-1)/2,IF(Z272="½ НЕ ЗАШЛО",-W272/2,IF(Z272="ВОЗВРАТ",0,""))))))</f>
        <v/>
      </c>
      <c r="AB272" s="18" t="str">
        <f aca="false">IF(AND(K272="ВИРТУАЛЬНЫЙ ВЫБОР",OR(Z272="✅ ЗАШЛО",Z272="❌ НЕ ЗАШЛО",Z272="½ ЗАШЛО",Z272="½ НЕ ЗАШЛО",Z272="ВОЗВРАТ")),W272,"")</f>
        <v/>
      </c>
      <c r="AC272" s="15"/>
      <c r="AD272" s="16" t="str">
        <f aca="false">IF(OR(AC272="",P272=""),"",P272/AC272-1)</f>
        <v/>
      </c>
      <c r="AE272" s="19" t="str">
        <f aca="false">IF(AND(M272=0,OR(Z272="✅ ЗАШЛО",Z272="❌ НЕ ЗАШЛО"),L272&lt;&gt;""),(L272-IF(Z272="✅ ЗАШЛО",1,0))^2,"")</f>
        <v/>
      </c>
      <c r="AF272" s="15"/>
      <c r="AG272" s="15"/>
      <c r="AH272" s="13"/>
      <c r="AI272" s="13"/>
      <c r="AJ272" s="13"/>
      <c r="AK272" s="20" t="str">
        <f aca="false">IF(AH272="","",IF(ABS(AH272+AI272+AJ272-1)&lt;0.000001,"OK","ОШИБКА"))</f>
        <v/>
      </c>
      <c r="AL272" s="13"/>
      <c r="AM272" s="12"/>
      <c r="AN272" s="12"/>
      <c r="AO272" s="12"/>
      <c r="AP272" s="12"/>
      <c r="AQ272" s="18" t="str">
        <f aca="false">IF(A272="","",N(AQ271)+N(AA272))</f>
        <v/>
      </c>
      <c r="AR272" s="18" t="str">
        <f aca="false">IF(AQ272="","",MAX(0,MAX($AQ$8:AQ272))-AQ272)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3"/>
      <c r="M273" s="13"/>
      <c r="N273" s="13"/>
      <c r="O273" s="14" t="str">
        <f aca="false">IF(OR(L273="",L273=0),"",(1-M273)/L273)</f>
        <v/>
      </c>
      <c r="P273" s="15"/>
      <c r="Q273" s="12"/>
      <c r="R273" s="12"/>
      <c r="S273" s="13"/>
      <c r="T273" s="16" t="str">
        <f aca="false">IF(OR(S273="",L273=""),"",L273/(1-M273)-S273)</f>
        <v/>
      </c>
      <c r="U273" s="16" t="str">
        <f aca="false">IF(OR(L273="",P273=""),"",L273*(P273-1)-N273)</f>
        <v/>
      </c>
      <c r="V273" s="13"/>
      <c r="W273" s="17"/>
      <c r="X273" s="12"/>
      <c r="Y273" s="12"/>
      <c r="Z273" s="12"/>
      <c r="AA273" s="18" t="str">
        <f aca="false">IF(K273&lt;&gt;"ВИРТУАЛЬНЫЙ ВЫБОР","",IF(Z273="✅ ЗАШЛО",W273*(P273-1),IF(Z273="❌ НЕ ЗАШЛО",-W273,IF(Z273="½ ЗАШЛО",W273*(P273-1)/2,IF(Z273="½ НЕ ЗАШЛО",-W273/2,IF(Z273="ВОЗВРАТ",0,""))))))</f>
        <v/>
      </c>
      <c r="AB273" s="18" t="str">
        <f aca="false">IF(AND(K273="ВИРТУАЛЬНЫЙ ВЫБОР",OR(Z273="✅ ЗАШЛО",Z273="❌ НЕ ЗАШЛО",Z273="½ ЗАШЛО",Z273="½ НЕ ЗАШЛО",Z273="ВОЗВРАТ")),W273,"")</f>
        <v/>
      </c>
      <c r="AC273" s="15"/>
      <c r="AD273" s="16" t="str">
        <f aca="false">IF(OR(AC273="",P273=""),"",P273/AC273-1)</f>
        <v/>
      </c>
      <c r="AE273" s="19" t="str">
        <f aca="false">IF(AND(M273=0,OR(Z273="✅ ЗАШЛО",Z273="❌ НЕ ЗАШЛО"),L273&lt;&gt;""),(L273-IF(Z273="✅ ЗАШЛО",1,0))^2,"")</f>
        <v/>
      </c>
      <c r="AF273" s="15"/>
      <c r="AG273" s="15"/>
      <c r="AH273" s="13"/>
      <c r="AI273" s="13"/>
      <c r="AJ273" s="13"/>
      <c r="AK273" s="20" t="str">
        <f aca="false">IF(AH273="","",IF(ABS(AH273+AI273+AJ273-1)&lt;0.000001,"OK","ОШИБКА"))</f>
        <v/>
      </c>
      <c r="AL273" s="13"/>
      <c r="AM273" s="12"/>
      <c r="AN273" s="12"/>
      <c r="AO273" s="12"/>
      <c r="AP273" s="12"/>
      <c r="AQ273" s="18" t="str">
        <f aca="false">IF(A273="","",N(AQ272)+N(AA273))</f>
        <v/>
      </c>
      <c r="AR273" s="18" t="str">
        <f aca="false">IF(AQ273="","",MAX(0,MAX($AQ$8:AQ273))-AQ273)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3"/>
      <c r="M274" s="13"/>
      <c r="N274" s="13"/>
      <c r="O274" s="14" t="str">
        <f aca="false">IF(OR(L274="",L274=0),"",(1-M274)/L274)</f>
        <v/>
      </c>
      <c r="P274" s="15"/>
      <c r="Q274" s="12"/>
      <c r="R274" s="12"/>
      <c r="S274" s="13"/>
      <c r="T274" s="16" t="str">
        <f aca="false">IF(OR(S274="",L274=""),"",L274/(1-M274)-S274)</f>
        <v/>
      </c>
      <c r="U274" s="16" t="str">
        <f aca="false">IF(OR(L274="",P274=""),"",L274*(P274-1)-N274)</f>
        <v/>
      </c>
      <c r="V274" s="13"/>
      <c r="W274" s="17"/>
      <c r="X274" s="12"/>
      <c r="Y274" s="12"/>
      <c r="Z274" s="12"/>
      <c r="AA274" s="18" t="str">
        <f aca="false">IF(K274&lt;&gt;"ВИРТУАЛЬНЫЙ ВЫБОР","",IF(Z274="✅ ЗАШЛО",W274*(P274-1),IF(Z274="❌ НЕ ЗАШЛО",-W274,IF(Z274="½ ЗАШЛО",W274*(P274-1)/2,IF(Z274="½ НЕ ЗАШЛО",-W274/2,IF(Z274="ВОЗВРАТ",0,""))))))</f>
        <v/>
      </c>
      <c r="AB274" s="18" t="str">
        <f aca="false">IF(AND(K274="ВИРТУАЛЬНЫЙ ВЫБОР",OR(Z274="✅ ЗАШЛО",Z274="❌ НЕ ЗАШЛО",Z274="½ ЗАШЛО",Z274="½ НЕ ЗАШЛО",Z274="ВОЗВРАТ")),W274,"")</f>
        <v/>
      </c>
      <c r="AC274" s="15"/>
      <c r="AD274" s="16" t="str">
        <f aca="false">IF(OR(AC274="",P274=""),"",P274/AC274-1)</f>
        <v/>
      </c>
      <c r="AE274" s="19" t="str">
        <f aca="false">IF(AND(M274=0,OR(Z274="✅ ЗАШЛО",Z274="❌ НЕ ЗАШЛО"),L274&lt;&gt;""),(L274-IF(Z274="✅ ЗАШЛО",1,0))^2,"")</f>
        <v/>
      </c>
      <c r="AF274" s="15"/>
      <c r="AG274" s="15"/>
      <c r="AH274" s="13"/>
      <c r="AI274" s="13"/>
      <c r="AJ274" s="13"/>
      <c r="AK274" s="20" t="str">
        <f aca="false">IF(AH274="","",IF(ABS(AH274+AI274+AJ274-1)&lt;0.000001,"OK","ОШИБКА"))</f>
        <v/>
      </c>
      <c r="AL274" s="13"/>
      <c r="AM274" s="12"/>
      <c r="AN274" s="12"/>
      <c r="AO274" s="12"/>
      <c r="AP274" s="12"/>
      <c r="AQ274" s="18" t="str">
        <f aca="false">IF(A274="","",N(AQ273)+N(AA274))</f>
        <v/>
      </c>
      <c r="AR274" s="18" t="str">
        <f aca="false">IF(AQ274="","",MAX(0,MAX($AQ$8:AQ274))-AQ274)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3"/>
      <c r="M275" s="13"/>
      <c r="N275" s="13"/>
      <c r="O275" s="14" t="str">
        <f aca="false">IF(OR(L275="",L275=0),"",(1-M275)/L275)</f>
        <v/>
      </c>
      <c r="P275" s="15"/>
      <c r="Q275" s="12"/>
      <c r="R275" s="12"/>
      <c r="S275" s="13"/>
      <c r="T275" s="16" t="str">
        <f aca="false">IF(OR(S275="",L275=""),"",L275/(1-M275)-S275)</f>
        <v/>
      </c>
      <c r="U275" s="16" t="str">
        <f aca="false">IF(OR(L275="",P275=""),"",L275*(P275-1)-N275)</f>
        <v/>
      </c>
      <c r="V275" s="13"/>
      <c r="W275" s="17"/>
      <c r="X275" s="12"/>
      <c r="Y275" s="12"/>
      <c r="Z275" s="12"/>
      <c r="AA275" s="18" t="str">
        <f aca="false">IF(K275&lt;&gt;"ВИРТУАЛЬНЫЙ ВЫБОР","",IF(Z275="✅ ЗАШЛО",W275*(P275-1),IF(Z275="❌ НЕ ЗАШЛО",-W275,IF(Z275="½ ЗАШЛО",W275*(P275-1)/2,IF(Z275="½ НЕ ЗАШЛО",-W275/2,IF(Z275="ВОЗВРАТ",0,""))))))</f>
        <v/>
      </c>
      <c r="AB275" s="18" t="str">
        <f aca="false">IF(AND(K275="ВИРТУАЛЬНЫЙ ВЫБОР",OR(Z275="✅ ЗАШЛО",Z275="❌ НЕ ЗАШЛО",Z275="½ ЗАШЛО",Z275="½ НЕ ЗАШЛО",Z275="ВОЗВРАТ")),W275,"")</f>
        <v/>
      </c>
      <c r="AC275" s="15"/>
      <c r="AD275" s="16" t="str">
        <f aca="false">IF(OR(AC275="",P275=""),"",P275/AC275-1)</f>
        <v/>
      </c>
      <c r="AE275" s="19" t="str">
        <f aca="false">IF(AND(M275=0,OR(Z275="✅ ЗАШЛО",Z275="❌ НЕ ЗАШЛО"),L275&lt;&gt;""),(L275-IF(Z275="✅ ЗАШЛО",1,0))^2,"")</f>
        <v/>
      </c>
      <c r="AF275" s="15"/>
      <c r="AG275" s="15"/>
      <c r="AH275" s="13"/>
      <c r="AI275" s="13"/>
      <c r="AJ275" s="13"/>
      <c r="AK275" s="20" t="str">
        <f aca="false">IF(AH275="","",IF(ABS(AH275+AI275+AJ275-1)&lt;0.000001,"OK","ОШИБКА"))</f>
        <v/>
      </c>
      <c r="AL275" s="13"/>
      <c r="AM275" s="12"/>
      <c r="AN275" s="12"/>
      <c r="AO275" s="12"/>
      <c r="AP275" s="12"/>
      <c r="AQ275" s="18" t="str">
        <f aca="false">IF(A275="","",N(AQ274)+N(AA275))</f>
        <v/>
      </c>
      <c r="AR275" s="18" t="str">
        <f aca="false">IF(AQ275="","",MAX(0,MAX($AQ$8:AQ275))-AQ275)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3"/>
      <c r="M276" s="13"/>
      <c r="N276" s="13"/>
      <c r="O276" s="14" t="str">
        <f aca="false">IF(OR(L276="",L276=0),"",(1-M276)/L276)</f>
        <v/>
      </c>
      <c r="P276" s="15"/>
      <c r="Q276" s="12"/>
      <c r="R276" s="12"/>
      <c r="S276" s="13"/>
      <c r="T276" s="16" t="str">
        <f aca="false">IF(OR(S276="",L276=""),"",L276/(1-M276)-S276)</f>
        <v/>
      </c>
      <c r="U276" s="16" t="str">
        <f aca="false">IF(OR(L276="",P276=""),"",L276*(P276-1)-N276)</f>
        <v/>
      </c>
      <c r="V276" s="13"/>
      <c r="W276" s="17"/>
      <c r="X276" s="12"/>
      <c r="Y276" s="12"/>
      <c r="Z276" s="12"/>
      <c r="AA276" s="18" t="str">
        <f aca="false">IF(K276&lt;&gt;"ВИРТУАЛЬНЫЙ ВЫБОР","",IF(Z276="✅ ЗАШЛО",W276*(P276-1),IF(Z276="❌ НЕ ЗАШЛО",-W276,IF(Z276="½ ЗАШЛО",W276*(P276-1)/2,IF(Z276="½ НЕ ЗАШЛО",-W276/2,IF(Z276="ВОЗВРАТ",0,""))))))</f>
        <v/>
      </c>
      <c r="AB276" s="18" t="str">
        <f aca="false">IF(AND(K276="ВИРТУАЛЬНЫЙ ВЫБОР",OR(Z276="✅ ЗАШЛО",Z276="❌ НЕ ЗАШЛО",Z276="½ ЗАШЛО",Z276="½ НЕ ЗАШЛО",Z276="ВОЗВРАТ")),W276,"")</f>
        <v/>
      </c>
      <c r="AC276" s="15"/>
      <c r="AD276" s="16" t="str">
        <f aca="false">IF(OR(AC276="",P276=""),"",P276/AC276-1)</f>
        <v/>
      </c>
      <c r="AE276" s="19" t="str">
        <f aca="false">IF(AND(M276=0,OR(Z276="✅ ЗАШЛО",Z276="❌ НЕ ЗАШЛО"),L276&lt;&gt;""),(L276-IF(Z276="✅ ЗАШЛО",1,0))^2,"")</f>
        <v/>
      </c>
      <c r="AF276" s="15"/>
      <c r="AG276" s="15"/>
      <c r="AH276" s="13"/>
      <c r="AI276" s="13"/>
      <c r="AJ276" s="13"/>
      <c r="AK276" s="20" t="str">
        <f aca="false">IF(AH276="","",IF(ABS(AH276+AI276+AJ276-1)&lt;0.000001,"OK","ОШИБКА"))</f>
        <v/>
      </c>
      <c r="AL276" s="13"/>
      <c r="AM276" s="12"/>
      <c r="AN276" s="12"/>
      <c r="AO276" s="12"/>
      <c r="AP276" s="12"/>
      <c r="AQ276" s="18" t="str">
        <f aca="false">IF(A276="","",N(AQ275)+N(AA276))</f>
        <v/>
      </c>
      <c r="AR276" s="18" t="str">
        <f aca="false">IF(AQ276="","",MAX(0,MAX($AQ$8:AQ276))-AQ276)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3"/>
      <c r="M277" s="13"/>
      <c r="N277" s="13"/>
      <c r="O277" s="14" t="str">
        <f aca="false">IF(OR(L277="",L277=0),"",(1-M277)/L277)</f>
        <v/>
      </c>
      <c r="P277" s="15"/>
      <c r="Q277" s="12"/>
      <c r="R277" s="12"/>
      <c r="S277" s="13"/>
      <c r="T277" s="16" t="str">
        <f aca="false">IF(OR(S277="",L277=""),"",L277/(1-M277)-S277)</f>
        <v/>
      </c>
      <c r="U277" s="16" t="str">
        <f aca="false">IF(OR(L277="",P277=""),"",L277*(P277-1)-N277)</f>
        <v/>
      </c>
      <c r="V277" s="13"/>
      <c r="W277" s="17"/>
      <c r="X277" s="12"/>
      <c r="Y277" s="12"/>
      <c r="Z277" s="12"/>
      <c r="AA277" s="18" t="str">
        <f aca="false">IF(K277&lt;&gt;"ВИРТУАЛЬНЫЙ ВЫБОР","",IF(Z277="✅ ЗАШЛО",W277*(P277-1),IF(Z277="❌ НЕ ЗАШЛО",-W277,IF(Z277="½ ЗАШЛО",W277*(P277-1)/2,IF(Z277="½ НЕ ЗАШЛО",-W277/2,IF(Z277="ВОЗВРАТ",0,""))))))</f>
        <v/>
      </c>
      <c r="AB277" s="18" t="str">
        <f aca="false">IF(AND(K277="ВИРТУАЛЬНЫЙ ВЫБОР",OR(Z277="✅ ЗАШЛО",Z277="❌ НЕ ЗАШЛО",Z277="½ ЗАШЛО",Z277="½ НЕ ЗАШЛО",Z277="ВОЗВРАТ")),W277,"")</f>
        <v/>
      </c>
      <c r="AC277" s="15"/>
      <c r="AD277" s="16" t="str">
        <f aca="false">IF(OR(AC277="",P277=""),"",P277/AC277-1)</f>
        <v/>
      </c>
      <c r="AE277" s="19" t="str">
        <f aca="false">IF(AND(M277=0,OR(Z277="✅ ЗАШЛО",Z277="❌ НЕ ЗАШЛО"),L277&lt;&gt;""),(L277-IF(Z277="✅ ЗАШЛО",1,0))^2,"")</f>
        <v/>
      </c>
      <c r="AF277" s="15"/>
      <c r="AG277" s="15"/>
      <c r="AH277" s="13"/>
      <c r="AI277" s="13"/>
      <c r="AJ277" s="13"/>
      <c r="AK277" s="20" t="str">
        <f aca="false">IF(AH277="","",IF(ABS(AH277+AI277+AJ277-1)&lt;0.000001,"OK","ОШИБКА"))</f>
        <v/>
      </c>
      <c r="AL277" s="13"/>
      <c r="AM277" s="12"/>
      <c r="AN277" s="12"/>
      <c r="AO277" s="12"/>
      <c r="AP277" s="12"/>
      <c r="AQ277" s="18" t="str">
        <f aca="false">IF(A277="","",N(AQ276)+N(AA277))</f>
        <v/>
      </c>
      <c r="AR277" s="18" t="str">
        <f aca="false">IF(AQ277="","",MAX(0,MAX($AQ$8:AQ277))-AQ277)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3"/>
      <c r="M278" s="13"/>
      <c r="N278" s="13"/>
      <c r="O278" s="14" t="str">
        <f aca="false">IF(OR(L278="",L278=0),"",(1-M278)/L278)</f>
        <v/>
      </c>
      <c r="P278" s="15"/>
      <c r="Q278" s="12"/>
      <c r="R278" s="12"/>
      <c r="S278" s="13"/>
      <c r="T278" s="16" t="str">
        <f aca="false">IF(OR(S278="",L278=""),"",L278/(1-M278)-S278)</f>
        <v/>
      </c>
      <c r="U278" s="16" t="str">
        <f aca="false">IF(OR(L278="",P278=""),"",L278*(P278-1)-N278)</f>
        <v/>
      </c>
      <c r="V278" s="13"/>
      <c r="W278" s="17"/>
      <c r="X278" s="12"/>
      <c r="Y278" s="12"/>
      <c r="Z278" s="12"/>
      <c r="AA278" s="18" t="str">
        <f aca="false">IF(K278&lt;&gt;"ВИРТУАЛЬНЫЙ ВЫБОР","",IF(Z278="✅ ЗАШЛО",W278*(P278-1),IF(Z278="❌ НЕ ЗАШЛО",-W278,IF(Z278="½ ЗАШЛО",W278*(P278-1)/2,IF(Z278="½ НЕ ЗАШЛО",-W278/2,IF(Z278="ВОЗВРАТ",0,""))))))</f>
        <v/>
      </c>
      <c r="AB278" s="18" t="str">
        <f aca="false">IF(AND(K278="ВИРТУАЛЬНЫЙ ВЫБОР",OR(Z278="✅ ЗАШЛО",Z278="❌ НЕ ЗАШЛО",Z278="½ ЗАШЛО",Z278="½ НЕ ЗАШЛО",Z278="ВОЗВРАТ")),W278,"")</f>
        <v/>
      </c>
      <c r="AC278" s="15"/>
      <c r="AD278" s="16" t="str">
        <f aca="false">IF(OR(AC278="",P278=""),"",P278/AC278-1)</f>
        <v/>
      </c>
      <c r="AE278" s="19" t="str">
        <f aca="false">IF(AND(M278=0,OR(Z278="✅ ЗАШЛО",Z278="❌ НЕ ЗАШЛО"),L278&lt;&gt;""),(L278-IF(Z278="✅ ЗАШЛО",1,0))^2,"")</f>
        <v/>
      </c>
      <c r="AF278" s="15"/>
      <c r="AG278" s="15"/>
      <c r="AH278" s="13"/>
      <c r="AI278" s="13"/>
      <c r="AJ278" s="13"/>
      <c r="AK278" s="20" t="str">
        <f aca="false">IF(AH278="","",IF(ABS(AH278+AI278+AJ278-1)&lt;0.000001,"OK","ОШИБКА"))</f>
        <v/>
      </c>
      <c r="AL278" s="13"/>
      <c r="AM278" s="12"/>
      <c r="AN278" s="12"/>
      <c r="AO278" s="12"/>
      <c r="AP278" s="12"/>
      <c r="AQ278" s="18" t="str">
        <f aca="false">IF(A278="","",N(AQ277)+N(AA278))</f>
        <v/>
      </c>
      <c r="AR278" s="18" t="str">
        <f aca="false">IF(AQ278="","",MAX(0,MAX($AQ$8:AQ278))-AQ278)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3"/>
      <c r="M279" s="13"/>
      <c r="N279" s="13"/>
      <c r="O279" s="14" t="str">
        <f aca="false">IF(OR(L279="",L279=0),"",(1-M279)/L279)</f>
        <v/>
      </c>
      <c r="P279" s="15"/>
      <c r="Q279" s="12"/>
      <c r="R279" s="12"/>
      <c r="S279" s="13"/>
      <c r="T279" s="16" t="str">
        <f aca="false">IF(OR(S279="",L279=""),"",L279/(1-M279)-S279)</f>
        <v/>
      </c>
      <c r="U279" s="16" t="str">
        <f aca="false">IF(OR(L279="",P279=""),"",L279*(P279-1)-N279)</f>
        <v/>
      </c>
      <c r="V279" s="13"/>
      <c r="W279" s="17"/>
      <c r="X279" s="12"/>
      <c r="Y279" s="12"/>
      <c r="Z279" s="12"/>
      <c r="AA279" s="18" t="str">
        <f aca="false">IF(K279&lt;&gt;"ВИРТУАЛЬНЫЙ ВЫБОР","",IF(Z279="✅ ЗАШЛО",W279*(P279-1),IF(Z279="❌ НЕ ЗАШЛО",-W279,IF(Z279="½ ЗАШЛО",W279*(P279-1)/2,IF(Z279="½ НЕ ЗАШЛО",-W279/2,IF(Z279="ВОЗВРАТ",0,""))))))</f>
        <v/>
      </c>
      <c r="AB279" s="18" t="str">
        <f aca="false">IF(AND(K279="ВИРТУАЛЬНЫЙ ВЫБОР",OR(Z279="✅ ЗАШЛО",Z279="❌ НЕ ЗАШЛО",Z279="½ ЗАШЛО",Z279="½ НЕ ЗАШЛО",Z279="ВОЗВРАТ")),W279,"")</f>
        <v/>
      </c>
      <c r="AC279" s="15"/>
      <c r="AD279" s="16" t="str">
        <f aca="false">IF(OR(AC279="",P279=""),"",P279/AC279-1)</f>
        <v/>
      </c>
      <c r="AE279" s="19" t="str">
        <f aca="false">IF(AND(M279=0,OR(Z279="✅ ЗАШЛО",Z279="❌ НЕ ЗАШЛО"),L279&lt;&gt;""),(L279-IF(Z279="✅ ЗАШЛО",1,0))^2,"")</f>
        <v/>
      </c>
      <c r="AF279" s="15"/>
      <c r="AG279" s="15"/>
      <c r="AH279" s="13"/>
      <c r="AI279" s="13"/>
      <c r="AJ279" s="13"/>
      <c r="AK279" s="20" t="str">
        <f aca="false">IF(AH279="","",IF(ABS(AH279+AI279+AJ279-1)&lt;0.000001,"OK","ОШИБКА"))</f>
        <v/>
      </c>
      <c r="AL279" s="13"/>
      <c r="AM279" s="12"/>
      <c r="AN279" s="12"/>
      <c r="AO279" s="12"/>
      <c r="AP279" s="12"/>
      <c r="AQ279" s="18" t="str">
        <f aca="false">IF(A279="","",N(AQ278)+N(AA279))</f>
        <v/>
      </c>
      <c r="AR279" s="18" t="str">
        <f aca="false">IF(AQ279="","",MAX(0,MAX($AQ$8:AQ279))-AQ279)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3"/>
      <c r="M280" s="13"/>
      <c r="N280" s="13"/>
      <c r="O280" s="14" t="str">
        <f aca="false">IF(OR(L280="",L280=0),"",(1-M280)/L280)</f>
        <v/>
      </c>
      <c r="P280" s="15"/>
      <c r="Q280" s="12"/>
      <c r="R280" s="12"/>
      <c r="S280" s="13"/>
      <c r="T280" s="16" t="str">
        <f aca="false">IF(OR(S280="",L280=""),"",L280/(1-M280)-S280)</f>
        <v/>
      </c>
      <c r="U280" s="16" t="str">
        <f aca="false">IF(OR(L280="",P280=""),"",L280*(P280-1)-N280)</f>
        <v/>
      </c>
      <c r="V280" s="13"/>
      <c r="W280" s="17"/>
      <c r="X280" s="12"/>
      <c r="Y280" s="12"/>
      <c r="Z280" s="12"/>
      <c r="AA280" s="18" t="str">
        <f aca="false">IF(K280&lt;&gt;"ВИРТУАЛЬНЫЙ ВЫБОР","",IF(Z280="✅ ЗАШЛО",W280*(P280-1),IF(Z280="❌ НЕ ЗАШЛО",-W280,IF(Z280="½ ЗАШЛО",W280*(P280-1)/2,IF(Z280="½ НЕ ЗАШЛО",-W280/2,IF(Z280="ВОЗВРАТ",0,""))))))</f>
        <v/>
      </c>
      <c r="AB280" s="18" t="str">
        <f aca="false">IF(AND(K280="ВИРТУАЛЬНЫЙ ВЫБОР",OR(Z280="✅ ЗАШЛО",Z280="❌ НЕ ЗАШЛО",Z280="½ ЗАШЛО",Z280="½ НЕ ЗАШЛО",Z280="ВОЗВРАТ")),W280,"")</f>
        <v/>
      </c>
      <c r="AC280" s="15"/>
      <c r="AD280" s="16" t="str">
        <f aca="false">IF(OR(AC280="",P280=""),"",P280/AC280-1)</f>
        <v/>
      </c>
      <c r="AE280" s="19" t="str">
        <f aca="false">IF(AND(M280=0,OR(Z280="✅ ЗАШЛО",Z280="❌ НЕ ЗАШЛО"),L280&lt;&gt;""),(L280-IF(Z280="✅ ЗАШЛО",1,0))^2,"")</f>
        <v/>
      </c>
      <c r="AF280" s="15"/>
      <c r="AG280" s="15"/>
      <c r="AH280" s="13"/>
      <c r="AI280" s="13"/>
      <c r="AJ280" s="13"/>
      <c r="AK280" s="20" t="str">
        <f aca="false">IF(AH280="","",IF(ABS(AH280+AI280+AJ280-1)&lt;0.000001,"OK","ОШИБКА"))</f>
        <v/>
      </c>
      <c r="AL280" s="13"/>
      <c r="AM280" s="12"/>
      <c r="AN280" s="12"/>
      <c r="AO280" s="12"/>
      <c r="AP280" s="12"/>
      <c r="AQ280" s="18" t="str">
        <f aca="false">IF(A280="","",N(AQ279)+N(AA280))</f>
        <v/>
      </c>
      <c r="AR280" s="18" t="str">
        <f aca="false">IF(AQ280="","",MAX(0,MAX($AQ$8:AQ280))-AQ280)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3"/>
      <c r="M281" s="13"/>
      <c r="N281" s="13"/>
      <c r="O281" s="14" t="str">
        <f aca="false">IF(OR(L281="",L281=0),"",(1-M281)/L281)</f>
        <v/>
      </c>
      <c r="P281" s="15"/>
      <c r="Q281" s="12"/>
      <c r="R281" s="12"/>
      <c r="S281" s="13"/>
      <c r="T281" s="16" t="str">
        <f aca="false">IF(OR(S281="",L281=""),"",L281/(1-M281)-S281)</f>
        <v/>
      </c>
      <c r="U281" s="16" t="str">
        <f aca="false">IF(OR(L281="",P281=""),"",L281*(P281-1)-N281)</f>
        <v/>
      </c>
      <c r="V281" s="13"/>
      <c r="W281" s="17"/>
      <c r="X281" s="12"/>
      <c r="Y281" s="12"/>
      <c r="Z281" s="12"/>
      <c r="AA281" s="18" t="str">
        <f aca="false">IF(K281&lt;&gt;"ВИРТУАЛЬНЫЙ ВЫБОР","",IF(Z281="✅ ЗАШЛО",W281*(P281-1),IF(Z281="❌ НЕ ЗАШЛО",-W281,IF(Z281="½ ЗАШЛО",W281*(P281-1)/2,IF(Z281="½ НЕ ЗАШЛО",-W281/2,IF(Z281="ВОЗВРАТ",0,""))))))</f>
        <v/>
      </c>
      <c r="AB281" s="18" t="str">
        <f aca="false">IF(AND(K281="ВИРТУАЛЬНЫЙ ВЫБОР",OR(Z281="✅ ЗАШЛО",Z281="❌ НЕ ЗАШЛО",Z281="½ ЗАШЛО",Z281="½ НЕ ЗАШЛО",Z281="ВОЗВРАТ")),W281,"")</f>
        <v/>
      </c>
      <c r="AC281" s="15"/>
      <c r="AD281" s="16" t="str">
        <f aca="false">IF(OR(AC281="",P281=""),"",P281/AC281-1)</f>
        <v/>
      </c>
      <c r="AE281" s="19" t="str">
        <f aca="false">IF(AND(M281=0,OR(Z281="✅ ЗАШЛО",Z281="❌ НЕ ЗАШЛО"),L281&lt;&gt;""),(L281-IF(Z281="✅ ЗАШЛО",1,0))^2,"")</f>
        <v/>
      </c>
      <c r="AF281" s="15"/>
      <c r="AG281" s="15"/>
      <c r="AH281" s="13"/>
      <c r="AI281" s="13"/>
      <c r="AJ281" s="13"/>
      <c r="AK281" s="20" t="str">
        <f aca="false">IF(AH281="","",IF(ABS(AH281+AI281+AJ281-1)&lt;0.000001,"OK","ОШИБКА"))</f>
        <v/>
      </c>
      <c r="AL281" s="13"/>
      <c r="AM281" s="12"/>
      <c r="AN281" s="12"/>
      <c r="AO281" s="12"/>
      <c r="AP281" s="12"/>
      <c r="AQ281" s="18" t="str">
        <f aca="false">IF(A281="","",N(AQ280)+N(AA281))</f>
        <v/>
      </c>
      <c r="AR281" s="18" t="str">
        <f aca="false">IF(AQ281="","",MAX(0,MAX($AQ$8:AQ281))-AQ281)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3"/>
      <c r="M282" s="13"/>
      <c r="N282" s="13"/>
      <c r="O282" s="14" t="str">
        <f aca="false">IF(OR(L282="",L282=0),"",(1-M282)/L282)</f>
        <v/>
      </c>
      <c r="P282" s="15"/>
      <c r="Q282" s="12"/>
      <c r="R282" s="12"/>
      <c r="S282" s="13"/>
      <c r="T282" s="16" t="str">
        <f aca="false">IF(OR(S282="",L282=""),"",L282/(1-M282)-S282)</f>
        <v/>
      </c>
      <c r="U282" s="16" t="str">
        <f aca="false">IF(OR(L282="",P282=""),"",L282*(P282-1)-N282)</f>
        <v/>
      </c>
      <c r="V282" s="13"/>
      <c r="W282" s="17"/>
      <c r="X282" s="12"/>
      <c r="Y282" s="12"/>
      <c r="Z282" s="12"/>
      <c r="AA282" s="18" t="str">
        <f aca="false">IF(K282&lt;&gt;"ВИРТУАЛЬНЫЙ ВЫБОР","",IF(Z282="✅ ЗАШЛО",W282*(P282-1),IF(Z282="❌ НЕ ЗАШЛО",-W282,IF(Z282="½ ЗАШЛО",W282*(P282-1)/2,IF(Z282="½ НЕ ЗАШЛО",-W282/2,IF(Z282="ВОЗВРАТ",0,""))))))</f>
        <v/>
      </c>
      <c r="AB282" s="18" t="str">
        <f aca="false">IF(AND(K282="ВИРТУАЛЬНЫЙ ВЫБОР",OR(Z282="✅ ЗАШЛО",Z282="❌ НЕ ЗАШЛО",Z282="½ ЗАШЛО",Z282="½ НЕ ЗАШЛО",Z282="ВОЗВРАТ")),W282,"")</f>
        <v/>
      </c>
      <c r="AC282" s="15"/>
      <c r="AD282" s="16" t="str">
        <f aca="false">IF(OR(AC282="",P282=""),"",P282/AC282-1)</f>
        <v/>
      </c>
      <c r="AE282" s="19" t="str">
        <f aca="false">IF(AND(M282=0,OR(Z282="✅ ЗАШЛО",Z282="❌ НЕ ЗАШЛО"),L282&lt;&gt;""),(L282-IF(Z282="✅ ЗАШЛО",1,0))^2,"")</f>
        <v/>
      </c>
      <c r="AF282" s="15"/>
      <c r="AG282" s="15"/>
      <c r="AH282" s="13"/>
      <c r="AI282" s="13"/>
      <c r="AJ282" s="13"/>
      <c r="AK282" s="20" t="str">
        <f aca="false">IF(AH282="","",IF(ABS(AH282+AI282+AJ282-1)&lt;0.000001,"OK","ОШИБКА"))</f>
        <v/>
      </c>
      <c r="AL282" s="13"/>
      <c r="AM282" s="12"/>
      <c r="AN282" s="12"/>
      <c r="AO282" s="12"/>
      <c r="AP282" s="12"/>
      <c r="AQ282" s="18" t="str">
        <f aca="false">IF(A282="","",N(AQ281)+N(AA282))</f>
        <v/>
      </c>
      <c r="AR282" s="18" t="str">
        <f aca="false">IF(AQ282="","",MAX(0,MAX($AQ$8:AQ282))-AQ282)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3"/>
      <c r="M283" s="13"/>
      <c r="N283" s="13"/>
      <c r="O283" s="14" t="str">
        <f aca="false">IF(OR(L283="",L283=0),"",(1-M283)/L283)</f>
        <v/>
      </c>
      <c r="P283" s="15"/>
      <c r="Q283" s="12"/>
      <c r="R283" s="12"/>
      <c r="S283" s="13"/>
      <c r="T283" s="16" t="str">
        <f aca="false">IF(OR(S283="",L283=""),"",L283/(1-M283)-S283)</f>
        <v/>
      </c>
      <c r="U283" s="16" t="str">
        <f aca="false">IF(OR(L283="",P283=""),"",L283*(P283-1)-N283)</f>
        <v/>
      </c>
      <c r="V283" s="13"/>
      <c r="W283" s="17"/>
      <c r="X283" s="12"/>
      <c r="Y283" s="12"/>
      <c r="Z283" s="12"/>
      <c r="AA283" s="18" t="str">
        <f aca="false">IF(K283&lt;&gt;"ВИРТУАЛЬНЫЙ ВЫБОР","",IF(Z283="✅ ЗАШЛО",W283*(P283-1),IF(Z283="❌ НЕ ЗАШЛО",-W283,IF(Z283="½ ЗАШЛО",W283*(P283-1)/2,IF(Z283="½ НЕ ЗАШЛО",-W283/2,IF(Z283="ВОЗВРАТ",0,""))))))</f>
        <v/>
      </c>
      <c r="AB283" s="18" t="str">
        <f aca="false">IF(AND(K283="ВИРТУАЛЬНЫЙ ВЫБОР",OR(Z283="✅ ЗАШЛО",Z283="❌ НЕ ЗАШЛО",Z283="½ ЗАШЛО",Z283="½ НЕ ЗАШЛО",Z283="ВОЗВРАТ")),W283,"")</f>
        <v/>
      </c>
      <c r="AC283" s="15"/>
      <c r="AD283" s="16" t="str">
        <f aca="false">IF(OR(AC283="",P283=""),"",P283/AC283-1)</f>
        <v/>
      </c>
      <c r="AE283" s="19" t="str">
        <f aca="false">IF(AND(M283=0,OR(Z283="✅ ЗАШЛО",Z283="❌ НЕ ЗАШЛО"),L283&lt;&gt;""),(L283-IF(Z283="✅ ЗАШЛО",1,0))^2,"")</f>
        <v/>
      </c>
      <c r="AF283" s="15"/>
      <c r="AG283" s="15"/>
      <c r="AH283" s="13"/>
      <c r="AI283" s="13"/>
      <c r="AJ283" s="13"/>
      <c r="AK283" s="20" t="str">
        <f aca="false">IF(AH283="","",IF(ABS(AH283+AI283+AJ283-1)&lt;0.000001,"OK","ОШИБКА"))</f>
        <v/>
      </c>
      <c r="AL283" s="13"/>
      <c r="AM283" s="12"/>
      <c r="AN283" s="12"/>
      <c r="AO283" s="12"/>
      <c r="AP283" s="12"/>
      <c r="AQ283" s="18" t="str">
        <f aca="false">IF(A283="","",N(AQ282)+N(AA283))</f>
        <v/>
      </c>
      <c r="AR283" s="18" t="str">
        <f aca="false">IF(AQ283="","",MAX(0,MAX($AQ$8:AQ283))-AQ283)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3"/>
      <c r="M284" s="13"/>
      <c r="N284" s="13"/>
      <c r="O284" s="14" t="str">
        <f aca="false">IF(OR(L284="",L284=0),"",(1-M284)/L284)</f>
        <v/>
      </c>
      <c r="P284" s="15"/>
      <c r="Q284" s="12"/>
      <c r="R284" s="12"/>
      <c r="S284" s="13"/>
      <c r="T284" s="16" t="str">
        <f aca="false">IF(OR(S284="",L284=""),"",L284/(1-M284)-S284)</f>
        <v/>
      </c>
      <c r="U284" s="16" t="str">
        <f aca="false">IF(OR(L284="",P284=""),"",L284*(P284-1)-N284)</f>
        <v/>
      </c>
      <c r="V284" s="13"/>
      <c r="W284" s="17"/>
      <c r="X284" s="12"/>
      <c r="Y284" s="12"/>
      <c r="Z284" s="12"/>
      <c r="AA284" s="18" t="str">
        <f aca="false">IF(K284&lt;&gt;"ВИРТУАЛЬНЫЙ ВЫБОР","",IF(Z284="✅ ЗАШЛО",W284*(P284-1),IF(Z284="❌ НЕ ЗАШЛО",-W284,IF(Z284="½ ЗАШЛО",W284*(P284-1)/2,IF(Z284="½ НЕ ЗАШЛО",-W284/2,IF(Z284="ВОЗВРАТ",0,""))))))</f>
        <v/>
      </c>
      <c r="AB284" s="18" t="str">
        <f aca="false">IF(AND(K284="ВИРТУАЛЬНЫЙ ВЫБОР",OR(Z284="✅ ЗАШЛО",Z284="❌ НЕ ЗАШЛО",Z284="½ ЗАШЛО",Z284="½ НЕ ЗАШЛО",Z284="ВОЗВРАТ")),W284,"")</f>
        <v/>
      </c>
      <c r="AC284" s="15"/>
      <c r="AD284" s="16" t="str">
        <f aca="false">IF(OR(AC284="",P284=""),"",P284/AC284-1)</f>
        <v/>
      </c>
      <c r="AE284" s="19" t="str">
        <f aca="false">IF(AND(M284=0,OR(Z284="✅ ЗАШЛО",Z284="❌ НЕ ЗАШЛО"),L284&lt;&gt;""),(L284-IF(Z284="✅ ЗАШЛО",1,0))^2,"")</f>
        <v/>
      </c>
      <c r="AF284" s="15"/>
      <c r="AG284" s="15"/>
      <c r="AH284" s="13"/>
      <c r="AI284" s="13"/>
      <c r="AJ284" s="13"/>
      <c r="AK284" s="20" t="str">
        <f aca="false">IF(AH284="","",IF(ABS(AH284+AI284+AJ284-1)&lt;0.000001,"OK","ОШИБКА"))</f>
        <v/>
      </c>
      <c r="AL284" s="13"/>
      <c r="AM284" s="12"/>
      <c r="AN284" s="12"/>
      <c r="AO284" s="12"/>
      <c r="AP284" s="12"/>
      <c r="AQ284" s="18" t="str">
        <f aca="false">IF(A284="","",N(AQ283)+N(AA284))</f>
        <v/>
      </c>
      <c r="AR284" s="18" t="str">
        <f aca="false">IF(AQ284="","",MAX(0,MAX($AQ$8:AQ284))-AQ284)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3"/>
      <c r="M285" s="13"/>
      <c r="N285" s="13"/>
      <c r="O285" s="14" t="str">
        <f aca="false">IF(OR(L285="",L285=0),"",(1-M285)/L285)</f>
        <v/>
      </c>
      <c r="P285" s="15"/>
      <c r="Q285" s="12"/>
      <c r="R285" s="12"/>
      <c r="S285" s="13"/>
      <c r="T285" s="16" t="str">
        <f aca="false">IF(OR(S285="",L285=""),"",L285/(1-M285)-S285)</f>
        <v/>
      </c>
      <c r="U285" s="16" t="str">
        <f aca="false">IF(OR(L285="",P285=""),"",L285*(P285-1)-N285)</f>
        <v/>
      </c>
      <c r="V285" s="13"/>
      <c r="W285" s="17"/>
      <c r="X285" s="12"/>
      <c r="Y285" s="12"/>
      <c r="Z285" s="12"/>
      <c r="AA285" s="18" t="str">
        <f aca="false">IF(K285&lt;&gt;"ВИРТУАЛЬНЫЙ ВЫБОР","",IF(Z285="✅ ЗАШЛО",W285*(P285-1),IF(Z285="❌ НЕ ЗАШЛО",-W285,IF(Z285="½ ЗАШЛО",W285*(P285-1)/2,IF(Z285="½ НЕ ЗАШЛО",-W285/2,IF(Z285="ВОЗВРАТ",0,""))))))</f>
        <v/>
      </c>
      <c r="AB285" s="18" t="str">
        <f aca="false">IF(AND(K285="ВИРТУАЛЬНЫЙ ВЫБОР",OR(Z285="✅ ЗАШЛО",Z285="❌ НЕ ЗАШЛО",Z285="½ ЗАШЛО",Z285="½ НЕ ЗАШЛО",Z285="ВОЗВРАТ")),W285,"")</f>
        <v/>
      </c>
      <c r="AC285" s="15"/>
      <c r="AD285" s="16" t="str">
        <f aca="false">IF(OR(AC285="",P285=""),"",P285/AC285-1)</f>
        <v/>
      </c>
      <c r="AE285" s="19" t="str">
        <f aca="false">IF(AND(M285=0,OR(Z285="✅ ЗАШЛО",Z285="❌ НЕ ЗАШЛО"),L285&lt;&gt;""),(L285-IF(Z285="✅ ЗАШЛО",1,0))^2,"")</f>
        <v/>
      </c>
      <c r="AF285" s="15"/>
      <c r="AG285" s="15"/>
      <c r="AH285" s="13"/>
      <c r="AI285" s="13"/>
      <c r="AJ285" s="13"/>
      <c r="AK285" s="20" t="str">
        <f aca="false">IF(AH285="","",IF(ABS(AH285+AI285+AJ285-1)&lt;0.000001,"OK","ОШИБКА"))</f>
        <v/>
      </c>
      <c r="AL285" s="13"/>
      <c r="AM285" s="12"/>
      <c r="AN285" s="12"/>
      <c r="AO285" s="12"/>
      <c r="AP285" s="12"/>
      <c r="AQ285" s="18" t="str">
        <f aca="false">IF(A285="","",N(AQ284)+N(AA285))</f>
        <v/>
      </c>
      <c r="AR285" s="18" t="str">
        <f aca="false">IF(AQ285="","",MAX(0,MAX($AQ$8:AQ285))-AQ285)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3"/>
      <c r="M286" s="13"/>
      <c r="N286" s="13"/>
      <c r="O286" s="14" t="str">
        <f aca="false">IF(OR(L286="",L286=0),"",(1-M286)/L286)</f>
        <v/>
      </c>
      <c r="P286" s="15"/>
      <c r="Q286" s="12"/>
      <c r="R286" s="12"/>
      <c r="S286" s="13"/>
      <c r="T286" s="16" t="str">
        <f aca="false">IF(OR(S286="",L286=""),"",L286/(1-M286)-S286)</f>
        <v/>
      </c>
      <c r="U286" s="16" t="str">
        <f aca="false">IF(OR(L286="",P286=""),"",L286*(P286-1)-N286)</f>
        <v/>
      </c>
      <c r="V286" s="13"/>
      <c r="W286" s="17"/>
      <c r="X286" s="12"/>
      <c r="Y286" s="12"/>
      <c r="Z286" s="12"/>
      <c r="AA286" s="18" t="str">
        <f aca="false">IF(K286&lt;&gt;"ВИРТУАЛЬНЫЙ ВЫБОР","",IF(Z286="✅ ЗАШЛО",W286*(P286-1),IF(Z286="❌ НЕ ЗАШЛО",-W286,IF(Z286="½ ЗАШЛО",W286*(P286-1)/2,IF(Z286="½ НЕ ЗАШЛО",-W286/2,IF(Z286="ВОЗВРАТ",0,""))))))</f>
        <v/>
      </c>
      <c r="AB286" s="18" t="str">
        <f aca="false">IF(AND(K286="ВИРТУАЛЬНЫЙ ВЫБОР",OR(Z286="✅ ЗАШЛО",Z286="❌ НЕ ЗАШЛО",Z286="½ ЗАШЛО",Z286="½ НЕ ЗАШЛО",Z286="ВОЗВРАТ")),W286,"")</f>
        <v/>
      </c>
      <c r="AC286" s="15"/>
      <c r="AD286" s="16" t="str">
        <f aca="false">IF(OR(AC286="",P286=""),"",P286/AC286-1)</f>
        <v/>
      </c>
      <c r="AE286" s="19" t="str">
        <f aca="false">IF(AND(M286=0,OR(Z286="✅ ЗАШЛО",Z286="❌ НЕ ЗАШЛО"),L286&lt;&gt;""),(L286-IF(Z286="✅ ЗАШЛО",1,0))^2,"")</f>
        <v/>
      </c>
      <c r="AF286" s="15"/>
      <c r="AG286" s="15"/>
      <c r="AH286" s="13"/>
      <c r="AI286" s="13"/>
      <c r="AJ286" s="13"/>
      <c r="AK286" s="20" t="str">
        <f aca="false">IF(AH286="","",IF(ABS(AH286+AI286+AJ286-1)&lt;0.000001,"OK","ОШИБКА"))</f>
        <v/>
      </c>
      <c r="AL286" s="13"/>
      <c r="AM286" s="12"/>
      <c r="AN286" s="12"/>
      <c r="AO286" s="12"/>
      <c r="AP286" s="12"/>
      <c r="AQ286" s="18" t="str">
        <f aca="false">IF(A286="","",N(AQ285)+N(AA286))</f>
        <v/>
      </c>
      <c r="AR286" s="18" t="str">
        <f aca="false">IF(AQ286="","",MAX(0,MAX($AQ$8:AQ286))-AQ286)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3"/>
      <c r="M287" s="13"/>
      <c r="N287" s="13"/>
      <c r="O287" s="14" t="str">
        <f aca="false">IF(OR(L287="",L287=0),"",(1-M287)/L287)</f>
        <v/>
      </c>
      <c r="P287" s="15"/>
      <c r="Q287" s="12"/>
      <c r="R287" s="12"/>
      <c r="S287" s="13"/>
      <c r="T287" s="16" t="str">
        <f aca="false">IF(OR(S287="",L287=""),"",L287/(1-M287)-S287)</f>
        <v/>
      </c>
      <c r="U287" s="16" t="str">
        <f aca="false">IF(OR(L287="",P287=""),"",L287*(P287-1)-N287)</f>
        <v/>
      </c>
      <c r="V287" s="13"/>
      <c r="W287" s="17"/>
      <c r="X287" s="12"/>
      <c r="Y287" s="12"/>
      <c r="Z287" s="12"/>
      <c r="AA287" s="18" t="str">
        <f aca="false">IF(K287&lt;&gt;"ВИРТУАЛЬНЫЙ ВЫБОР","",IF(Z287="✅ ЗАШЛО",W287*(P287-1),IF(Z287="❌ НЕ ЗАШЛО",-W287,IF(Z287="½ ЗАШЛО",W287*(P287-1)/2,IF(Z287="½ НЕ ЗАШЛО",-W287/2,IF(Z287="ВОЗВРАТ",0,""))))))</f>
        <v/>
      </c>
      <c r="AB287" s="18" t="str">
        <f aca="false">IF(AND(K287="ВИРТУАЛЬНЫЙ ВЫБОР",OR(Z287="✅ ЗАШЛО",Z287="❌ НЕ ЗАШЛО",Z287="½ ЗАШЛО",Z287="½ НЕ ЗАШЛО",Z287="ВОЗВРАТ")),W287,"")</f>
        <v/>
      </c>
      <c r="AC287" s="15"/>
      <c r="AD287" s="16" t="str">
        <f aca="false">IF(OR(AC287="",P287=""),"",P287/AC287-1)</f>
        <v/>
      </c>
      <c r="AE287" s="19" t="str">
        <f aca="false">IF(AND(M287=0,OR(Z287="✅ ЗАШЛО",Z287="❌ НЕ ЗАШЛО"),L287&lt;&gt;""),(L287-IF(Z287="✅ ЗАШЛО",1,0))^2,"")</f>
        <v/>
      </c>
      <c r="AF287" s="15"/>
      <c r="AG287" s="15"/>
      <c r="AH287" s="13"/>
      <c r="AI287" s="13"/>
      <c r="AJ287" s="13"/>
      <c r="AK287" s="20" t="str">
        <f aca="false">IF(AH287="","",IF(ABS(AH287+AI287+AJ287-1)&lt;0.000001,"OK","ОШИБКА"))</f>
        <v/>
      </c>
      <c r="AL287" s="13"/>
      <c r="AM287" s="12"/>
      <c r="AN287" s="12"/>
      <c r="AO287" s="12"/>
      <c r="AP287" s="12"/>
      <c r="AQ287" s="18" t="str">
        <f aca="false">IF(A287="","",N(AQ286)+N(AA287))</f>
        <v/>
      </c>
      <c r="AR287" s="18" t="str">
        <f aca="false">IF(AQ287="","",MAX(0,MAX($AQ$8:AQ287))-AQ287)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3"/>
      <c r="M288" s="13"/>
      <c r="N288" s="13"/>
      <c r="O288" s="14" t="str">
        <f aca="false">IF(OR(L288="",L288=0),"",(1-M288)/L288)</f>
        <v/>
      </c>
      <c r="P288" s="15"/>
      <c r="Q288" s="12"/>
      <c r="R288" s="12"/>
      <c r="S288" s="13"/>
      <c r="T288" s="16" t="str">
        <f aca="false">IF(OR(S288="",L288=""),"",L288/(1-M288)-S288)</f>
        <v/>
      </c>
      <c r="U288" s="16" t="str">
        <f aca="false">IF(OR(L288="",P288=""),"",L288*(P288-1)-N288)</f>
        <v/>
      </c>
      <c r="V288" s="13"/>
      <c r="W288" s="17"/>
      <c r="X288" s="12"/>
      <c r="Y288" s="12"/>
      <c r="Z288" s="12"/>
      <c r="AA288" s="18" t="str">
        <f aca="false">IF(K288&lt;&gt;"ВИРТУАЛЬНЫЙ ВЫБОР","",IF(Z288="✅ ЗАШЛО",W288*(P288-1),IF(Z288="❌ НЕ ЗАШЛО",-W288,IF(Z288="½ ЗАШЛО",W288*(P288-1)/2,IF(Z288="½ НЕ ЗАШЛО",-W288/2,IF(Z288="ВОЗВРАТ",0,""))))))</f>
        <v/>
      </c>
      <c r="AB288" s="18" t="str">
        <f aca="false">IF(AND(K288="ВИРТУАЛЬНЫЙ ВЫБОР",OR(Z288="✅ ЗАШЛО",Z288="❌ НЕ ЗАШЛО",Z288="½ ЗАШЛО",Z288="½ НЕ ЗАШЛО",Z288="ВОЗВРАТ")),W288,"")</f>
        <v/>
      </c>
      <c r="AC288" s="15"/>
      <c r="AD288" s="16" t="str">
        <f aca="false">IF(OR(AC288="",P288=""),"",P288/AC288-1)</f>
        <v/>
      </c>
      <c r="AE288" s="19" t="str">
        <f aca="false">IF(AND(M288=0,OR(Z288="✅ ЗАШЛО",Z288="❌ НЕ ЗАШЛО"),L288&lt;&gt;""),(L288-IF(Z288="✅ ЗАШЛО",1,0))^2,"")</f>
        <v/>
      </c>
      <c r="AF288" s="15"/>
      <c r="AG288" s="15"/>
      <c r="AH288" s="13"/>
      <c r="AI288" s="13"/>
      <c r="AJ288" s="13"/>
      <c r="AK288" s="20" t="str">
        <f aca="false">IF(AH288="","",IF(ABS(AH288+AI288+AJ288-1)&lt;0.000001,"OK","ОШИБКА"))</f>
        <v/>
      </c>
      <c r="AL288" s="13"/>
      <c r="AM288" s="12"/>
      <c r="AN288" s="12"/>
      <c r="AO288" s="12"/>
      <c r="AP288" s="12"/>
      <c r="AQ288" s="18" t="str">
        <f aca="false">IF(A288="","",N(AQ287)+N(AA288))</f>
        <v/>
      </c>
      <c r="AR288" s="18" t="str">
        <f aca="false">IF(AQ288="","",MAX(0,MAX($AQ$8:AQ288))-AQ288)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3"/>
      <c r="M289" s="13"/>
      <c r="N289" s="13"/>
      <c r="O289" s="14" t="str">
        <f aca="false">IF(OR(L289="",L289=0),"",(1-M289)/L289)</f>
        <v/>
      </c>
      <c r="P289" s="15"/>
      <c r="Q289" s="12"/>
      <c r="R289" s="12"/>
      <c r="S289" s="13"/>
      <c r="T289" s="16" t="str">
        <f aca="false">IF(OR(S289="",L289=""),"",L289/(1-M289)-S289)</f>
        <v/>
      </c>
      <c r="U289" s="16" t="str">
        <f aca="false">IF(OR(L289="",P289=""),"",L289*(P289-1)-N289)</f>
        <v/>
      </c>
      <c r="V289" s="13"/>
      <c r="W289" s="17"/>
      <c r="X289" s="12"/>
      <c r="Y289" s="12"/>
      <c r="Z289" s="12"/>
      <c r="AA289" s="18" t="str">
        <f aca="false">IF(K289&lt;&gt;"ВИРТУАЛЬНЫЙ ВЫБОР","",IF(Z289="✅ ЗАШЛО",W289*(P289-1),IF(Z289="❌ НЕ ЗАШЛО",-W289,IF(Z289="½ ЗАШЛО",W289*(P289-1)/2,IF(Z289="½ НЕ ЗАШЛО",-W289/2,IF(Z289="ВОЗВРАТ",0,""))))))</f>
        <v/>
      </c>
      <c r="AB289" s="18" t="str">
        <f aca="false">IF(AND(K289="ВИРТУАЛЬНЫЙ ВЫБОР",OR(Z289="✅ ЗАШЛО",Z289="❌ НЕ ЗАШЛО",Z289="½ ЗАШЛО",Z289="½ НЕ ЗАШЛО",Z289="ВОЗВРАТ")),W289,"")</f>
        <v/>
      </c>
      <c r="AC289" s="15"/>
      <c r="AD289" s="16" t="str">
        <f aca="false">IF(OR(AC289="",P289=""),"",P289/AC289-1)</f>
        <v/>
      </c>
      <c r="AE289" s="19" t="str">
        <f aca="false">IF(AND(M289=0,OR(Z289="✅ ЗАШЛО",Z289="❌ НЕ ЗАШЛО"),L289&lt;&gt;""),(L289-IF(Z289="✅ ЗАШЛО",1,0))^2,"")</f>
        <v/>
      </c>
      <c r="AF289" s="15"/>
      <c r="AG289" s="15"/>
      <c r="AH289" s="13"/>
      <c r="AI289" s="13"/>
      <c r="AJ289" s="13"/>
      <c r="AK289" s="20" t="str">
        <f aca="false">IF(AH289="","",IF(ABS(AH289+AI289+AJ289-1)&lt;0.000001,"OK","ОШИБКА"))</f>
        <v/>
      </c>
      <c r="AL289" s="13"/>
      <c r="AM289" s="12"/>
      <c r="AN289" s="12"/>
      <c r="AO289" s="12"/>
      <c r="AP289" s="12"/>
      <c r="AQ289" s="18" t="str">
        <f aca="false">IF(A289="","",N(AQ288)+N(AA289))</f>
        <v/>
      </c>
      <c r="AR289" s="18" t="str">
        <f aca="false">IF(AQ289="","",MAX(0,MAX($AQ$8:AQ289))-AQ289)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3"/>
      <c r="M290" s="13"/>
      <c r="N290" s="13"/>
      <c r="O290" s="14" t="str">
        <f aca="false">IF(OR(L290="",L290=0),"",(1-M290)/L290)</f>
        <v/>
      </c>
      <c r="P290" s="15"/>
      <c r="Q290" s="12"/>
      <c r="R290" s="12"/>
      <c r="S290" s="13"/>
      <c r="T290" s="16" t="str">
        <f aca="false">IF(OR(S290="",L290=""),"",L290/(1-M290)-S290)</f>
        <v/>
      </c>
      <c r="U290" s="16" t="str">
        <f aca="false">IF(OR(L290="",P290=""),"",L290*(P290-1)-N290)</f>
        <v/>
      </c>
      <c r="V290" s="13"/>
      <c r="W290" s="17"/>
      <c r="X290" s="12"/>
      <c r="Y290" s="12"/>
      <c r="Z290" s="12"/>
      <c r="AA290" s="18" t="str">
        <f aca="false">IF(K290&lt;&gt;"ВИРТУАЛЬНЫЙ ВЫБОР","",IF(Z290="✅ ЗАШЛО",W290*(P290-1),IF(Z290="❌ НЕ ЗАШЛО",-W290,IF(Z290="½ ЗАШЛО",W290*(P290-1)/2,IF(Z290="½ НЕ ЗАШЛО",-W290/2,IF(Z290="ВОЗВРАТ",0,""))))))</f>
        <v/>
      </c>
      <c r="AB290" s="18" t="str">
        <f aca="false">IF(AND(K290="ВИРТУАЛЬНЫЙ ВЫБОР",OR(Z290="✅ ЗАШЛО",Z290="❌ НЕ ЗАШЛО",Z290="½ ЗАШЛО",Z290="½ НЕ ЗАШЛО",Z290="ВОЗВРАТ")),W290,"")</f>
        <v/>
      </c>
      <c r="AC290" s="15"/>
      <c r="AD290" s="16" t="str">
        <f aca="false">IF(OR(AC290="",P290=""),"",P290/AC290-1)</f>
        <v/>
      </c>
      <c r="AE290" s="19" t="str">
        <f aca="false">IF(AND(M290=0,OR(Z290="✅ ЗАШЛО",Z290="❌ НЕ ЗАШЛО"),L290&lt;&gt;""),(L290-IF(Z290="✅ ЗАШЛО",1,0))^2,"")</f>
        <v/>
      </c>
      <c r="AF290" s="15"/>
      <c r="AG290" s="15"/>
      <c r="AH290" s="13"/>
      <c r="AI290" s="13"/>
      <c r="AJ290" s="13"/>
      <c r="AK290" s="20" t="str">
        <f aca="false">IF(AH290="","",IF(ABS(AH290+AI290+AJ290-1)&lt;0.000001,"OK","ОШИБКА"))</f>
        <v/>
      </c>
      <c r="AL290" s="13"/>
      <c r="AM290" s="12"/>
      <c r="AN290" s="12"/>
      <c r="AO290" s="12"/>
      <c r="AP290" s="12"/>
      <c r="AQ290" s="18" t="str">
        <f aca="false">IF(A290="","",N(AQ289)+N(AA290))</f>
        <v/>
      </c>
      <c r="AR290" s="18" t="str">
        <f aca="false">IF(AQ290="","",MAX(0,MAX($AQ$8:AQ290))-AQ290)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3"/>
      <c r="M291" s="13"/>
      <c r="N291" s="13"/>
      <c r="O291" s="14" t="str">
        <f aca="false">IF(OR(L291="",L291=0),"",(1-M291)/L291)</f>
        <v/>
      </c>
      <c r="P291" s="15"/>
      <c r="Q291" s="12"/>
      <c r="R291" s="12"/>
      <c r="S291" s="13"/>
      <c r="T291" s="16" t="str">
        <f aca="false">IF(OR(S291="",L291=""),"",L291/(1-M291)-S291)</f>
        <v/>
      </c>
      <c r="U291" s="16" t="str">
        <f aca="false">IF(OR(L291="",P291=""),"",L291*(P291-1)-N291)</f>
        <v/>
      </c>
      <c r="V291" s="13"/>
      <c r="W291" s="17"/>
      <c r="X291" s="12"/>
      <c r="Y291" s="12"/>
      <c r="Z291" s="12"/>
      <c r="AA291" s="18" t="str">
        <f aca="false">IF(K291&lt;&gt;"ВИРТУАЛЬНЫЙ ВЫБОР","",IF(Z291="✅ ЗАШЛО",W291*(P291-1),IF(Z291="❌ НЕ ЗАШЛО",-W291,IF(Z291="½ ЗАШЛО",W291*(P291-1)/2,IF(Z291="½ НЕ ЗАШЛО",-W291/2,IF(Z291="ВОЗВРАТ",0,""))))))</f>
        <v/>
      </c>
      <c r="AB291" s="18" t="str">
        <f aca="false">IF(AND(K291="ВИРТУАЛЬНЫЙ ВЫБОР",OR(Z291="✅ ЗАШЛО",Z291="❌ НЕ ЗАШЛО",Z291="½ ЗАШЛО",Z291="½ НЕ ЗАШЛО",Z291="ВОЗВРАТ")),W291,"")</f>
        <v/>
      </c>
      <c r="AC291" s="15"/>
      <c r="AD291" s="16" t="str">
        <f aca="false">IF(OR(AC291="",P291=""),"",P291/AC291-1)</f>
        <v/>
      </c>
      <c r="AE291" s="19" t="str">
        <f aca="false">IF(AND(M291=0,OR(Z291="✅ ЗАШЛО",Z291="❌ НЕ ЗАШЛО"),L291&lt;&gt;""),(L291-IF(Z291="✅ ЗАШЛО",1,0))^2,"")</f>
        <v/>
      </c>
      <c r="AF291" s="15"/>
      <c r="AG291" s="15"/>
      <c r="AH291" s="13"/>
      <c r="AI291" s="13"/>
      <c r="AJ291" s="13"/>
      <c r="AK291" s="20" t="str">
        <f aca="false">IF(AH291="","",IF(ABS(AH291+AI291+AJ291-1)&lt;0.000001,"OK","ОШИБКА"))</f>
        <v/>
      </c>
      <c r="AL291" s="13"/>
      <c r="AM291" s="12"/>
      <c r="AN291" s="12"/>
      <c r="AO291" s="12"/>
      <c r="AP291" s="12"/>
      <c r="AQ291" s="18" t="str">
        <f aca="false">IF(A291="","",N(AQ290)+N(AA291))</f>
        <v/>
      </c>
      <c r="AR291" s="18" t="str">
        <f aca="false">IF(AQ291="","",MAX(0,MAX($AQ$8:AQ291))-AQ291)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3"/>
      <c r="M292" s="13"/>
      <c r="N292" s="13"/>
      <c r="O292" s="14" t="str">
        <f aca="false">IF(OR(L292="",L292=0),"",(1-M292)/L292)</f>
        <v/>
      </c>
      <c r="P292" s="15"/>
      <c r="Q292" s="12"/>
      <c r="R292" s="12"/>
      <c r="S292" s="13"/>
      <c r="T292" s="16" t="str">
        <f aca="false">IF(OR(S292="",L292=""),"",L292/(1-M292)-S292)</f>
        <v/>
      </c>
      <c r="U292" s="16" t="str">
        <f aca="false">IF(OR(L292="",P292=""),"",L292*(P292-1)-N292)</f>
        <v/>
      </c>
      <c r="V292" s="13"/>
      <c r="W292" s="17"/>
      <c r="X292" s="12"/>
      <c r="Y292" s="12"/>
      <c r="Z292" s="12"/>
      <c r="AA292" s="18" t="str">
        <f aca="false">IF(K292&lt;&gt;"ВИРТУАЛЬНЫЙ ВЫБОР","",IF(Z292="✅ ЗАШЛО",W292*(P292-1),IF(Z292="❌ НЕ ЗАШЛО",-W292,IF(Z292="½ ЗАШЛО",W292*(P292-1)/2,IF(Z292="½ НЕ ЗАШЛО",-W292/2,IF(Z292="ВОЗВРАТ",0,""))))))</f>
        <v/>
      </c>
      <c r="AB292" s="18" t="str">
        <f aca="false">IF(AND(K292="ВИРТУАЛЬНЫЙ ВЫБОР",OR(Z292="✅ ЗАШЛО",Z292="❌ НЕ ЗАШЛО",Z292="½ ЗАШЛО",Z292="½ НЕ ЗАШЛО",Z292="ВОЗВРАТ")),W292,"")</f>
        <v/>
      </c>
      <c r="AC292" s="15"/>
      <c r="AD292" s="16" t="str">
        <f aca="false">IF(OR(AC292="",P292=""),"",P292/AC292-1)</f>
        <v/>
      </c>
      <c r="AE292" s="19" t="str">
        <f aca="false">IF(AND(M292=0,OR(Z292="✅ ЗАШЛО",Z292="❌ НЕ ЗАШЛО"),L292&lt;&gt;""),(L292-IF(Z292="✅ ЗАШЛО",1,0))^2,"")</f>
        <v/>
      </c>
      <c r="AF292" s="15"/>
      <c r="AG292" s="15"/>
      <c r="AH292" s="13"/>
      <c r="AI292" s="13"/>
      <c r="AJ292" s="13"/>
      <c r="AK292" s="20" t="str">
        <f aca="false">IF(AH292="","",IF(ABS(AH292+AI292+AJ292-1)&lt;0.000001,"OK","ОШИБКА"))</f>
        <v/>
      </c>
      <c r="AL292" s="13"/>
      <c r="AM292" s="12"/>
      <c r="AN292" s="12"/>
      <c r="AO292" s="12"/>
      <c r="AP292" s="12"/>
      <c r="AQ292" s="18" t="str">
        <f aca="false">IF(A292="","",N(AQ291)+N(AA292))</f>
        <v/>
      </c>
      <c r="AR292" s="18" t="str">
        <f aca="false">IF(AQ292="","",MAX(0,MAX($AQ$8:AQ292))-AQ292)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3"/>
      <c r="M293" s="13"/>
      <c r="N293" s="13"/>
      <c r="O293" s="14" t="str">
        <f aca="false">IF(OR(L293="",L293=0),"",(1-M293)/L293)</f>
        <v/>
      </c>
      <c r="P293" s="15"/>
      <c r="Q293" s="12"/>
      <c r="R293" s="12"/>
      <c r="S293" s="13"/>
      <c r="T293" s="16" t="str">
        <f aca="false">IF(OR(S293="",L293=""),"",L293/(1-M293)-S293)</f>
        <v/>
      </c>
      <c r="U293" s="16" t="str">
        <f aca="false">IF(OR(L293="",P293=""),"",L293*(P293-1)-N293)</f>
        <v/>
      </c>
      <c r="V293" s="13"/>
      <c r="W293" s="17"/>
      <c r="X293" s="12"/>
      <c r="Y293" s="12"/>
      <c r="Z293" s="12"/>
      <c r="AA293" s="18" t="str">
        <f aca="false">IF(K293&lt;&gt;"ВИРТУАЛЬНЫЙ ВЫБОР","",IF(Z293="✅ ЗАШЛО",W293*(P293-1),IF(Z293="❌ НЕ ЗАШЛО",-W293,IF(Z293="½ ЗАШЛО",W293*(P293-1)/2,IF(Z293="½ НЕ ЗАШЛО",-W293/2,IF(Z293="ВОЗВРАТ",0,""))))))</f>
        <v/>
      </c>
      <c r="AB293" s="18" t="str">
        <f aca="false">IF(AND(K293="ВИРТУАЛЬНЫЙ ВЫБОР",OR(Z293="✅ ЗАШЛО",Z293="❌ НЕ ЗАШЛО",Z293="½ ЗАШЛО",Z293="½ НЕ ЗАШЛО",Z293="ВОЗВРАТ")),W293,"")</f>
        <v/>
      </c>
      <c r="AC293" s="15"/>
      <c r="AD293" s="16" t="str">
        <f aca="false">IF(OR(AC293="",P293=""),"",P293/AC293-1)</f>
        <v/>
      </c>
      <c r="AE293" s="19" t="str">
        <f aca="false">IF(AND(M293=0,OR(Z293="✅ ЗАШЛО",Z293="❌ НЕ ЗАШЛО"),L293&lt;&gt;""),(L293-IF(Z293="✅ ЗАШЛО",1,0))^2,"")</f>
        <v/>
      </c>
      <c r="AF293" s="15"/>
      <c r="AG293" s="15"/>
      <c r="AH293" s="13"/>
      <c r="AI293" s="13"/>
      <c r="AJ293" s="13"/>
      <c r="AK293" s="20" t="str">
        <f aca="false">IF(AH293="","",IF(ABS(AH293+AI293+AJ293-1)&lt;0.000001,"OK","ОШИБКА"))</f>
        <v/>
      </c>
      <c r="AL293" s="13"/>
      <c r="AM293" s="12"/>
      <c r="AN293" s="12"/>
      <c r="AO293" s="12"/>
      <c r="AP293" s="12"/>
      <c r="AQ293" s="18" t="str">
        <f aca="false">IF(A293="","",N(AQ292)+N(AA293))</f>
        <v/>
      </c>
      <c r="AR293" s="18" t="str">
        <f aca="false">IF(AQ293="","",MAX(0,MAX($AQ$8:AQ293))-AQ293)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3"/>
      <c r="M294" s="13"/>
      <c r="N294" s="13"/>
      <c r="O294" s="14" t="str">
        <f aca="false">IF(OR(L294="",L294=0),"",(1-M294)/L294)</f>
        <v/>
      </c>
      <c r="P294" s="15"/>
      <c r="Q294" s="12"/>
      <c r="R294" s="12"/>
      <c r="S294" s="13"/>
      <c r="T294" s="16" t="str">
        <f aca="false">IF(OR(S294="",L294=""),"",L294/(1-M294)-S294)</f>
        <v/>
      </c>
      <c r="U294" s="16" t="str">
        <f aca="false">IF(OR(L294="",P294=""),"",L294*(P294-1)-N294)</f>
        <v/>
      </c>
      <c r="V294" s="13"/>
      <c r="W294" s="17"/>
      <c r="X294" s="12"/>
      <c r="Y294" s="12"/>
      <c r="Z294" s="12"/>
      <c r="AA294" s="18" t="str">
        <f aca="false">IF(K294&lt;&gt;"ВИРТУАЛЬНЫЙ ВЫБОР","",IF(Z294="✅ ЗАШЛО",W294*(P294-1),IF(Z294="❌ НЕ ЗАШЛО",-W294,IF(Z294="½ ЗАШЛО",W294*(P294-1)/2,IF(Z294="½ НЕ ЗАШЛО",-W294/2,IF(Z294="ВОЗВРАТ",0,""))))))</f>
        <v/>
      </c>
      <c r="AB294" s="18" t="str">
        <f aca="false">IF(AND(K294="ВИРТУАЛЬНЫЙ ВЫБОР",OR(Z294="✅ ЗАШЛО",Z294="❌ НЕ ЗАШЛО",Z294="½ ЗАШЛО",Z294="½ НЕ ЗАШЛО",Z294="ВОЗВРАТ")),W294,"")</f>
        <v/>
      </c>
      <c r="AC294" s="15"/>
      <c r="AD294" s="16" t="str">
        <f aca="false">IF(OR(AC294="",P294=""),"",P294/AC294-1)</f>
        <v/>
      </c>
      <c r="AE294" s="19" t="str">
        <f aca="false">IF(AND(M294=0,OR(Z294="✅ ЗАШЛО",Z294="❌ НЕ ЗАШЛО"),L294&lt;&gt;""),(L294-IF(Z294="✅ ЗАШЛО",1,0))^2,"")</f>
        <v/>
      </c>
      <c r="AF294" s="15"/>
      <c r="AG294" s="15"/>
      <c r="AH294" s="13"/>
      <c r="AI294" s="13"/>
      <c r="AJ294" s="13"/>
      <c r="AK294" s="20" t="str">
        <f aca="false">IF(AH294="","",IF(ABS(AH294+AI294+AJ294-1)&lt;0.000001,"OK","ОШИБКА"))</f>
        <v/>
      </c>
      <c r="AL294" s="13"/>
      <c r="AM294" s="12"/>
      <c r="AN294" s="12"/>
      <c r="AO294" s="12"/>
      <c r="AP294" s="12"/>
      <c r="AQ294" s="18" t="str">
        <f aca="false">IF(A294="","",N(AQ293)+N(AA294))</f>
        <v/>
      </c>
      <c r="AR294" s="18" t="str">
        <f aca="false">IF(AQ294="","",MAX(0,MAX($AQ$8:AQ294))-AQ294)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3"/>
      <c r="M295" s="13"/>
      <c r="N295" s="13"/>
      <c r="O295" s="14" t="str">
        <f aca="false">IF(OR(L295="",L295=0),"",(1-M295)/L295)</f>
        <v/>
      </c>
      <c r="P295" s="15"/>
      <c r="Q295" s="12"/>
      <c r="R295" s="12"/>
      <c r="S295" s="13"/>
      <c r="T295" s="16" t="str">
        <f aca="false">IF(OR(S295="",L295=""),"",L295/(1-M295)-S295)</f>
        <v/>
      </c>
      <c r="U295" s="16" t="str">
        <f aca="false">IF(OR(L295="",P295=""),"",L295*(P295-1)-N295)</f>
        <v/>
      </c>
      <c r="V295" s="13"/>
      <c r="W295" s="17"/>
      <c r="X295" s="12"/>
      <c r="Y295" s="12"/>
      <c r="Z295" s="12"/>
      <c r="AA295" s="18" t="str">
        <f aca="false">IF(K295&lt;&gt;"ВИРТУАЛЬНЫЙ ВЫБОР","",IF(Z295="✅ ЗАШЛО",W295*(P295-1),IF(Z295="❌ НЕ ЗАШЛО",-W295,IF(Z295="½ ЗАШЛО",W295*(P295-1)/2,IF(Z295="½ НЕ ЗАШЛО",-W295/2,IF(Z295="ВОЗВРАТ",0,""))))))</f>
        <v/>
      </c>
      <c r="AB295" s="18" t="str">
        <f aca="false">IF(AND(K295="ВИРТУАЛЬНЫЙ ВЫБОР",OR(Z295="✅ ЗАШЛО",Z295="❌ НЕ ЗАШЛО",Z295="½ ЗАШЛО",Z295="½ НЕ ЗАШЛО",Z295="ВОЗВРАТ")),W295,"")</f>
        <v/>
      </c>
      <c r="AC295" s="15"/>
      <c r="AD295" s="16" t="str">
        <f aca="false">IF(OR(AC295="",P295=""),"",P295/AC295-1)</f>
        <v/>
      </c>
      <c r="AE295" s="19" t="str">
        <f aca="false">IF(AND(M295=0,OR(Z295="✅ ЗАШЛО",Z295="❌ НЕ ЗАШЛО"),L295&lt;&gt;""),(L295-IF(Z295="✅ ЗАШЛО",1,0))^2,"")</f>
        <v/>
      </c>
      <c r="AF295" s="15"/>
      <c r="AG295" s="15"/>
      <c r="AH295" s="13"/>
      <c r="AI295" s="13"/>
      <c r="AJ295" s="13"/>
      <c r="AK295" s="20" t="str">
        <f aca="false">IF(AH295="","",IF(ABS(AH295+AI295+AJ295-1)&lt;0.000001,"OK","ОШИБКА"))</f>
        <v/>
      </c>
      <c r="AL295" s="13"/>
      <c r="AM295" s="12"/>
      <c r="AN295" s="12"/>
      <c r="AO295" s="12"/>
      <c r="AP295" s="12"/>
      <c r="AQ295" s="18" t="str">
        <f aca="false">IF(A295="","",N(AQ294)+N(AA295))</f>
        <v/>
      </c>
      <c r="AR295" s="18" t="str">
        <f aca="false">IF(AQ295="","",MAX(0,MAX($AQ$8:AQ295))-AQ295)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3"/>
      <c r="M296" s="13"/>
      <c r="N296" s="13"/>
      <c r="O296" s="14" t="str">
        <f aca="false">IF(OR(L296="",L296=0),"",(1-M296)/L296)</f>
        <v/>
      </c>
      <c r="P296" s="15"/>
      <c r="Q296" s="12"/>
      <c r="R296" s="12"/>
      <c r="S296" s="13"/>
      <c r="T296" s="16" t="str">
        <f aca="false">IF(OR(S296="",L296=""),"",L296/(1-M296)-S296)</f>
        <v/>
      </c>
      <c r="U296" s="16" t="str">
        <f aca="false">IF(OR(L296="",P296=""),"",L296*(P296-1)-N296)</f>
        <v/>
      </c>
      <c r="V296" s="13"/>
      <c r="W296" s="17"/>
      <c r="X296" s="12"/>
      <c r="Y296" s="12"/>
      <c r="Z296" s="12"/>
      <c r="AA296" s="18" t="str">
        <f aca="false">IF(K296&lt;&gt;"ВИРТУАЛЬНЫЙ ВЫБОР","",IF(Z296="✅ ЗАШЛО",W296*(P296-1),IF(Z296="❌ НЕ ЗАШЛО",-W296,IF(Z296="½ ЗАШЛО",W296*(P296-1)/2,IF(Z296="½ НЕ ЗАШЛО",-W296/2,IF(Z296="ВОЗВРАТ",0,""))))))</f>
        <v/>
      </c>
      <c r="AB296" s="18" t="str">
        <f aca="false">IF(AND(K296="ВИРТУАЛЬНЫЙ ВЫБОР",OR(Z296="✅ ЗАШЛО",Z296="❌ НЕ ЗАШЛО",Z296="½ ЗАШЛО",Z296="½ НЕ ЗАШЛО",Z296="ВОЗВРАТ")),W296,"")</f>
        <v/>
      </c>
      <c r="AC296" s="15"/>
      <c r="AD296" s="16" t="str">
        <f aca="false">IF(OR(AC296="",P296=""),"",P296/AC296-1)</f>
        <v/>
      </c>
      <c r="AE296" s="19" t="str">
        <f aca="false">IF(AND(M296=0,OR(Z296="✅ ЗАШЛО",Z296="❌ НЕ ЗАШЛО"),L296&lt;&gt;""),(L296-IF(Z296="✅ ЗАШЛО",1,0))^2,"")</f>
        <v/>
      </c>
      <c r="AF296" s="15"/>
      <c r="AG296" s="15"/>
      <c r="AH296" s="13"/>
      <c r="AI296" s="13"/>
      <c r="AJ296" s="13"/>
      <c r="AK296" s="20" t="str">
        <f aca="false">IF(AH296="","",IF(ABS(AH296+AI296+AJ296-1)&lt;0.000001,"OK","ОШИБКА"))</f>
        <v/>
      </c>
      <c r="AL296" s="13"/>
      <c r="AM296" s="12"/>
      <c r="AN296" s="12"/>
      <c r="AO296" s="12"/>
      <c r="AP296" s="12"/>
      <c r="AQ296" s="18" t="str">
        <f aca="false">IF(A296="","",N(AQ295)+N(AA296))</f>
        <v/>
      </c>
      <c r="AR296" s="18" t="str">
        <f aca="false">IF(AQ296="","",MAX(0,MAX($AQ$8:AQ296))-AQ296)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3"/>
      <c r="M297" s="13"/>
      <c r="N297" s="13"/>
      <c r="O297" s="14" t="str">
        <f aca="false">IF(OR(L297="",L297=0),"",(1-M297)/L297)</f>
        <v/>
      </c>
      <c r="P297" s="15"/>
      <c r="Q297" s="12"/>
      <c r="R297" s="12"/>
      <c r="S297" s="13"/>
      <c r="T297" s="16" t="str">
        <f aca="false">IF(OR(S297="",L297=""),"",L297/(1-M297)-S297)</f>
        <v/>
      </c>
      <c r="U297" s="16" t="str">
        <f aca="false">IF(OR(L297="",P297=""),"",L297*(P297-1)-N297)</f>
        <v/>
      </c>
      <c r="V297" s="13"/>
      <c r="W297" s="17"/>
      <c r="X297" s="12"/>
      <c r="Y297" s="12"/>
      <c r="Z297" s="12"/>
      <c r="AA297" s="18" t="str">
        <f aca="false">IF(K297&lt;&gt;"ВИРТУАЛЬНЫЙ ВЫБОР","",IF(Z297="✅ ЗАШЛО",W297*(P297-1),IF(Z297="❌ НЕ ЗАШЛО",-W297,IF(Z297="½ ЗАШЛО",W297*(P297-1)/2,IF(Z297="½ НЕ ЗАШЛО",-W297/2,IF(Z297="ВОЗВРАТ",0,""))))))</f>
        <v/>
      </c>
      <c r="AB297" s="18" t="str">
        <f aca="false">IF(AND(K297="ВИРТУАЛЬНЫЙ ВЫБОР",OR(Z297="✅ ЗАШЛО",Z297="❌ НЕ ЗАШЛО",Z297="½ ЗАШЛО",Z297="½ НЕ ЗАШЛО",Z297="ВОЗВРАТ")),W297,"")</f>
        <v/>
      </c>
      <c r="AC297" s="15"/>
      <c r="AD297" s="16" t="str">
        <f aca="false">IF(OR(AC297="",P297=""),"",P297/AC297-1)</f>
        <v/>
      </c>
      <c r="AE297" s="19" t="str">
        <f aca="false">IF(AND(M297=0,OR(Z297="✅ ЗАШЛО",Z297="❌ НЕ ЗАШЛО"),L297&lt;&gt;""),(L297-IF(Z297="✅ ЗАШЛО",1,0))^2,"")</f>
        <v/>
      </c>
      <c r="AF297" s="15"/>
      <c r="AG297" s="15"/>
      <c r="AH297" s="13"/>
      <c r="AI297" s="13"/>
      <c r="AJ297" s="13"/>
      <c r="AK297" s="20" t="str">
        <f aca="false">IF(AH297="","",IF(ABS(AH297+AI297+AJ297-1)&lt;0.000001,"OK","ОШИБКА"))</f>
        <v/>
      </c>
      <c r="AL297" s="13"/>
      <c r="AM297" s="12"/>
      <c r="AN297" s="12"/>
      <c r="AO297" s="12"/>
      <c r="AP297" s="12"/>
      <c r="AQ297" s="18" t="str">
        <f aca="false">IF(A297="","",N(AQ296)+N(AA297))</f>
        <v/>
      </c>
      <c r="AR297" s="18" t="str">
        <f aca="false">IF(AQ297="","",MAX(0,MAX($AQ$8:AQ297))-AQ297)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3"/>
      <c r="M298" s="13"/>
      <c r="N298" s="13"/>
      <c r="O298" s="14" t="str">
        <f aca="false">IF(OR(L298="",L298=0),"",(1-M298)/L298)</f>
        <v/>
      </c>
      <c r="P298" s="15"/>
      <c r="Q298" s="12"/>
      <c r="R298" s="12"/>
      <c r="S298" s="13"/>
      <c r="T298" s="16" t="str">
        <f aca="false">IF(OR(S298="",L298=""),"",L298/(1-M298)-S298)</f>
        <v/>
      </c>
      <c r="U298" s="16" t="str">
        <f aca="false">IF(OR(L298="",P298=""),"",L298*(P298-1)-N298)</f>
        <v/>
      </c>
      <c r="V298" s="13"/>
      <c r="W298" s="17"/>
      <c r="X298" s="12"/>
      <c r="Y298" s="12"/>
      <c r="Z298" s="12"/>
      <c r="AA298" s="18" t="str">
        <f aca="false">IF(K298&lt;&gt;"ВИРТУАЛЬНЫЙ ВЫБОР","",IF(Z298="✅ ЗАШЛО",W298*(P298-1),IF(Z298="❌ НЕ ЗАШЛО",-W298,IF(Z298="½ ЗАШЛО",W298*(P298-1)/2,IF(Z298="½ НЕ ЗАШЛО",-W298/2,IF(Z298="ВОЗВРАТ",0,""))))))</f>
        <v/>
      </c>
      <c r="AB298" s="18" t="str">
        <f aca="false">IF(AND(K298="ВИРТУАЛЬНЫЙ ВЫБОР",OR(Z298="✅ ЗАШЛО",Z298="❌ НЕ ЗАШЛО",Z298="½ ЗАШЛО",Z298="½ НЕ ЗАШЛО",Z298="ВОЗВРАТ")),W298,"")</f>
        <v/>
      </c>
      <c r="AC298" s="15"/>
      <c r="AD298" s="16" t="str">
        <f aca="false">IF(OR(AC298="",P298=""),"",P298/AC298-1)</f>
        <v/>
      </c>
      <c r="AE298" s="19" t="str">
        <f aca="false">IF(AND(M298=0,OR(Z298="✅ ЗАШЛО",Z298="❌ НЕ ЗАШЛО"),L298&lt;&gt;""),(L298-IF(Z298="✅ ЗАШЛО",1,0))^2,"")</f>
        <v/>
      </c>
      <c r="AF298" s="15"/>
      <c r="AG298" s="15"/>
      <c r="AH298" s="13"/>
      <c r="AI298" s="13"/>
      <c r="AJ298" s="13"/>
      <c r="AK298" s="20" t="str">
        <f aca="false">IF(AH298="","",IF(ABS(AH298+AI298+AJ298-1)&lt;0.000001,"OK","ОШИБКА"))</f>
        <v/>
      </c>
      <c r="AL298" s="13"/>
      <c r="AM298" s="12"/>
      <c r="AN298" s="12"/>
      <c r="AO298" s="12"/>
      <c r="AP298" s="12"/>
      <c r="AQ298" s="18" t="str">
        <f aca="false">IF(A298="","",N(AQ297)+N(AA298))</f>
        <v/>
      </c>
      <c r="AR298" s="18" t="str">
        <f aca="false">IF(AQ298="","",MAX(0,MAX($AQ$8:AQ298))-AQ298)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3"/>
      <c r="M299" s="13"/>
      <c r="N299" s="13"/>
      <c r="O299" s="14" t="str">
        <f aca="false">IF(OR(L299="",L299=0),"",(1-M299)/L299)</f>
        <v/>
      </c>
      <c r="P299" s="15"/>
      <c r="Q299" s="12"/>
      <c r="R299" s="12"/>
      <c r="S299" s="13"/>
      <c r="T299" s="16" t="str">
        <f aca="false">IF(OR(S299="",L299=""),"",L299/(1-M299)-S299)</f>
        <v/>
      </c>
      <c r="U299" s="16" t="str">
        <f aca="false">IF(OR(L299="",P299=""),"",L299*(P299-1)-N299)</f>
        <v/>
      </c>
      <c r="V299" s="13"/>
      <c r="W299" s="17"/>
      <c r="X299" s="12"/>
      <c r="Y299" s="12"/>
      <c r="Z299" s="12"/>
      <c r="AA299" s="18" t="str">
        <f aca="false">IF(K299&lt;&gt;"ВИРТУАЛЬНЫЙ ВЫБОР","",IF(Z299="✅ ЗАШЛО",W299*(P299-1),IF(Z299="❌ НЕ ЗАШЛО",-W299,IF(Z299="½ ЗАШЛО",W299*(P299-1)/2,IF(Z299="½ НЕ ЗАШЛО",-W299/2,IF(Z299="ВОЗВРАТ",0,""))))))</f>
        <v/>
      </c>
      <c r="AB299" s="18" t="str">
        <f aca="false">IF(AND(K299="ВИРТУАЛЬНЫЙ ВЫБОР",OR(Z299="✅ ЗАШЛО",Z299="❌ НЕ ЗАШЛО",Z299="½ ЗАШЛО",Z299="½ НЕ ЗАШЛО",Z299="ВОЗВРАТ")),W299,"")</f>
        <v/>
      </c>
      <c r="AC299" s="15"/>
      <c r="AD299" s="16" t="str">
        <f aca="false">IF(OR(AC299="",P299=""),"",P299/AC299-1)</f>
        <v/>
      </c>
      <c r="AE299" s="19" t="str">
        <f aca="false">IF(AND(M299=0,OR(Z299="✅ ЗАШЛО",Z299="❌ НЕ ЗАШЛО"),L299&lt;&gt;""),(L299-IF(Z299="✅ ЗАШЛО",1,0))^2,"")</f>
        <v/>
      </c>
      <c r="AF299" s="15"/>
      <c r="AG299" s="15"/>
      <c r="AH299" s="13"/>
      <c r="AI299" s="13"/>
      <c r="AJ299" s="13"/>
      <c r="AK299" s="20" t="str">
        <f aca="false">IF(AH299="","",IF(ABS(AH299+AI299+AJ299-1)&lt;0.000001,"OK","ОШИБКА"))</f>
        <v/>
      </c>
      <c r="AL299" s="13"/>
      <c r="AM299" s="12"/>
      <c r="AN299" s="12"/>
      <c r="AO299" s="12"/>
      <c r="AP299" s="12"/>
      <c r="AQ299" s="18" t="str">
        <f aca="false">IF(A299="","",N(AQ298)+N(AA299))</f>
        <v/>
      </c>
      <c r="AR299" s="18" t="str">
        <f aca="false">IF(AQ299="","",MAX(0,MAX($AQ$8:AQ299))-AQ299)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3"/>
      <c r="M300" s="13"/>
      <c r="N300" s="13"/>
      <c r="O300" s="14" t="str">
        <f aca="false">IF(OR(L300="",L300=0),"",(1-M300)/L300)</f>
        <v/>
      </c>
      <c r="P300" s="15"/>
      <c r="Q300" s="12"/>
      <c r="R300" s="12"/>
      <c r="S300" s="13"/>
      <c r="T300" s="16" t="str">
        <f aca="false">IF(OR(S300="",L300=""),"",L300/(1-M300)-S300)</f>
        <v/>
      </c>
      <c r="U300" s="16" t="str">
        <f aca="false">IF(OR(L300="",P300=""),"",L300*(P300-1)-N300)</f>
        <v/>
      </c>
      <c r="V300" s="13"/>
      <c r="W300" s="17"/>
      <c r="X300" s="12"/>
      <c r="Y300" s="12"/>
      <c r="Z300" s="12"/>
      <c r="AA300" s="18" t="str">
        <f aca="false">IF(K300&lt;&gt;"ВИРТУАЛЬНЫЙ ВЫБОР","",IF(Z300="✅ ЗАШЛО",W300*(P300-1),IF(Z300="❌ НЕ ЗАШЛО",-W300,IF(Z300="½ ЗАШЛО",W300*(P300-1)/2,IF(Z300="½ НЕ ЗАШЛО",-W300/2,IF(Z300="ВОЗВРАТ",0,""))))))</f>
        <v/>
      </c>
      <c r="AB300" s="18" t="str">
        <f aca="false">IF(AND(K300="ВИРТУАЛЬНЫЙ ВЫБОР",OR(Z300="✅ ЗАШЛО",Z300="❌ НЕ ЗАШЛО",Z300="½ ЗАШЛО",Z300="½ НЕ ЗАШЛО",Z300="ВОЗВРАТ")),W300,"")</f>
        <v/>
      </c>
      <c r="AC300" s="15"/>
      <c r="AD300" s="16" t="str">
        <f aca="false">IF(OR(AC300="",P300=""),"",P300/AC300-1)</f>
        <v/>
      </c>
      <c r="AE300" s="19" t="str">
        <f aca="false">IF(AND(M300=0,OR(Z300="✅ ЗАШЛО",Z300="❌ НЕ ЗАШЛО"),L300&lt;&gt;""),(L300-IF(Z300="✅ ЗАШЛО",1,0))^2,"")</f>
        <v/>
      </c>
      <c r="AF300" s="15"/>
      <c r="AG300" s="15"/>
      <c r="AH300" s="13"/>
      <c r="AI300" s="13"/>
      <c r="AJ300" s="13"/>
      <c r="AK300" s="20" t="str">
        <f aca="false">IF(AH300="","",IF(ABS(AH300+AI300+AJ300-1)&lt;0.000001,"OK","ОШИБКА"))</f>
        <v/>
      </c>
      <c r="AL300" s="13"/>
      <c r="AM300" s="12"/>
      <c r="AN300" s="12"/>
      <c r="AO300" s="12"/>
      <c r="AP300" s="12"/>
      <c r="AQ300" s="18" t="str">
        <f aca="false">IF(A300="","",N(AQ299)+N(AA300))</f>
        <v/>
      </c>
      <c r="AR300" s="18" t="str">
        <f aca="false">IF(AQ300="","",MAX(0,MAX($AQ$8:AQ300))-AQ300)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3"/>
      <c r="M301" s="13"/>
      <c r="N301" s="13"/>
      <c r="O301" s="14" t="str">
        <f aca="false">IF(OR(L301="",L301=0),"",(1-M301)/L301)</f>
        <v/>
      </c>
      <c r="P301" s="15"/>
      <c r="Q301" s="12"/>
      <c r="R301" s="12"/>
      <c r="S301" s="13"/>
      <c r="T301" s="16" t="str">
        <f aca="false">IF(OR(S301="",L301=""),"",L301/(1-M301)-S301)</f>
        <v/>
      </c>
      <c r="U301" s="16" t="str">
        <f aca="false">IF(OR(L301="",P301=""),"",L301*(P301-1)-N301)</f>
        <v/>
      </c>
      <c r="V301" s="13"/>
      <c r="W301" s="17"/>
      <c r="X301" s="12"/>
      <c r="Y301" s="12"/>
      <c r="Z301" s="12"/>
      <c r="AA301" s="18" t="str">
        <f aca="false">IF(K301&lt;&gt;"ВИРТУАЛЬНЫЙ ВЫБОР","",IF(Z301="✅ ЗАШЛО",W301*(P301-1),IF(Z301="❌ НЕ ЗАШЛО",-W301,IF(Z301="½ ЗАШЛО",W301*(P301-1)/2,IF(Z301="½ НЕ ЗАШЛО",-W301/2,IF(Z301="ВОЗВРАТ",0,""))))))</f>
        <v/>
      </c>
      <c r="AB301" s="18" t="str">
        <f aca="false">IF(AND(K301="ВИРТУАЛЬНЫЙ ВЫБОР",OR(Z301="✅ ЗАШЛО",Z301="❌ НЕ ЗАШЛО",Z301="½ ЗАШЛО",Z301="½ НЕ ЗАШЛО",Z301="ВОЗВРАТ")),W301,"")</f>
        <v/>
      </c>
      <c r="AC301" s="15"/>
      <c r="AD301" s="16" t="str">
        <f aca="false">IF(OR(AC301="",P301=""),"",P301/AC301-1)</f>
        <v/>
      </c>
      <c r="AE301" s="19" t="str">
        <f aca="false">IF(AND(M301=0,OR(Z301="✅ ЗАШЛО",Z301="❌ НЕ ЗАШЛО"),L301&lt;&gt;""),(L301-IF(Z301="✅ ЗАШЛО",1,0))^2,"")</f>
        <v/>
      </c>
      <c r="AF301" s="15"/>
      <c r="AG301" s="15"/>
      <c r="AH301" s="13"/>
      <c r="AI301" s="13"/>
      <c r="AJ301" s="13"/>
      <c r="AK301" s="20" t="str">
        <f aca="false">IF(AH301="","",IF(ABS(AH301+AI301+AJ301-1)&lt;0.000001,"OK","ОШИБКА"))</f>
        <v/>
      </c>
      <c r="AL301" s="13"/>
      <c r="AM301" s="12"/>
      <c r="AN301" s="12"/>
      <c r="AO301" s="12"/>
      <c r="AP301" s="12"/>
      <c r="AQ301" s="18" t="str">
        <f aca="false">IF(A301="","",N(AQ300)+N(AA301))</f>
        <v/>
      </c>
      <c r="AR301" s="18" t="str">
        <f aca="false">IF(AQ301="","",MAX(0,MAX($AQ$8:AQ301))-AQ301)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3"/>
      <c r="M302" s="13"/>
      <c r="N302" s="13"/>
      <c r="O302" s="14" t="str">
        <f aca="false">IF(OR(L302="",L302=0),"",(1-M302)/L302)</f>
        <v/>
      </c>
      <c r="P302" s="15"/>
      <c r="Q302" s="12"/>
      <c r="R302" s="12"/>
      <c r="S302" s="13"/>
      <c r="T302" s="16" t="str">
        <f aca="false">IF(OR(S302="",L302=""),"",L302/(1-M302)-S302)</f>
        <v/>
      </c>
      <c r="U302" s="16" t="str">
        <f aca="false">IF(OR(L302="",P302=""),"",L302*(P302-1)-N302)</f>
        <v/>
      </c>
      <c r="V302" s="13"/>
      <c r="W302" s="17"/>
      <c r="X302" s="12"/>
      <c r="Y302" s="12"/>
      <c r="Z302" s="12"/>
      <c r="AA302" s="18" t="str">
        <f aca="false">IF(K302&lt;&gt;"ВИРТУАЛЬНЫЙ ВЫБОР","",IF(Z302="✅ ЗАШЛО",W302*(P302-1),IF(Z302="❌ НЕ ЗАШЛО",-W302,IF(Z302="½ ЗАШЛО",W302*(P302-1)/2,IF(Z302="½ НЕ ЗАШЛО",-W302/2,IF(Z302="ВОЗВРАТ",0,""))))))</f>
        <v/>
      </c>
      <c r="AB302" s="18" t="str">
        <f aca="false">IF(AND(K302="ВИРТУАЛЬНЫЙ ВЫБОР",OR(Z302="✅ ЗАШЛО",Z302="❌ НЕ ЗАШЛО",Z302="½ ЗАШЛО",Z302="½ НЕ ЗАШЛО",Z302="ВОЗВРАТ")),W302,"")</f>
        <v/>
      </c>
      <c r="AC302" s="15"/>
      <c r="AD302" s="16" t="str">
        <f aca="false">IF(OR(AC302="",P302=""),"",P302/AC302-1)</f>
        <v/>
      </c>
      <c r="AE302" s="19" t="str">
        <f aca="false">IF(AND(M302=0,OR(Z302="✅ ЗАШЛО",Z302="❌ НЕ ЗАШЛО"),L302&lt;&gt;""),(L302-IF(Z302="✅ ЗАШЛО",1,0))^2,"")</f>
        <v/>
      </c>
      <c r="AF302" s="15"/>
      <c r="AG302" s="15"/>
      <c r="AH302" s="13"/>
      <c r="AI302" s="13"/>
      <c r="AJ302" s="13"/>
      <c r="AK302" s="20" t="str">
        <f aca="false">IF(AH302="","",IF(ABS(AH302+AI302+AJ302-1)&lt;0.000001,"OK","ОШИБКА"))</f>
        <v/>
      </c>
      <c r="AL302" s="13"/>
      <c r="AM302" s="12"/>
      <c r="AN302" s="12"/>
      <c r="AO302" s="12"/>
      <c r="AP302" s="12"/>
      <c r="AQ302" s="18" t="str">
        <f aca="false">IF(A302="","",N(AQ301)+N(AA302))</f>
        <v/>
      </c>
      <c r="AR302" s="18" t="str">
        <f aca="false">IF(AQ302="","",MAX(0,MAX($AQ$8:AQ302))-AQ302)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3"/>
      <c r="M303" s="13"/>
      <c r="N303" s="13"/>
      <c r="O303" s="14" t="str">
        <f aca="false">IF(OR(L303="",L303=0),"",(1-M303)/L303)</f>
        <v/>
      </c>
      <c r="P303" s="15"/>
      <c r="Q303" s="12"/>
      <c r="R303" s="12"/>
      <c r="S303" s="13"/>
      <c r="T303" s="16" t="str">
        <f aca="false">IF(OR(S303="",L303=""),"",L303/(1-M303)-S303)</f>
        <v/>
      </c>
      <c r="U303" s="16" t="str">
        <f aca="false">IF(OR(L303="",P303=""),"",L303*(P303-1)-N303)</f>
        <v/>
      </c>
      <c r="V303" s="13"/>
      <c r="W303" s="17"/>
      <c r="X303" s="12"/>
      <c r="Y303" s="12"/>
      <c r="Z303" s="12"/>
      <c r="AA303" s="18" t="str">
        <f aca="false">IF(K303&lt;&gt;"ВИРТУАЛЬНЫЙ ВЫБОР","",IF(Z303="✅ ЗАШЛО",W303*(P303-1),IF(Z303="❌ НЕ ЗАШЛО",-W303,IF(Z303="½ ЗАШЛО",W303*(P303-1)/2,IF(Z303="½ НЕ ЗАШЛО",-W303/2,IF(Z303="ВОЗВРАТ",0,""))))))</f>
        <v/>
      </c>
      <c r="AB303" s="18" t="str">
        <f aca="false">IF(AND(K303="ВИРТУАЛЬНЫЙ ВЫБОР",OR(Z303="✅ ЗАШЛО",Z303="❌ НЕ ЗАШЛО",Z303="½ ЗАШЛО",Z303="½ НЕ ЗАШЛО",Z303="ВОЗВРАТ")),W303,"")</f>
        <v/>
      </c>
      <c r="AC303" s="15"/>
      <c r="AD303" s="16" t="str">
        <f aca="false">IF(OR(AC303="",P303=""),"",P303/AC303-1)</f>
        <v/>
      </c>
      <c r="AE303" s="19" t="str">
        <f aca="false">IF(AND(M303=0,OR(Z303="✅ ЗАШЛО",Z303="❌ НЕ ЗАШЛО"),L303&lt;&gt;""),(L303-IF(Z303="✅ ЗАШЛО",1,0))^2,"")</f>
        <v/>
      </c>
      <c r="AF303" s="15"/>
      <c r="AG303" s="15"/>
      <c r="AH303" s="13"/>
      <c r="AI303" s="13"/>
      <c r="AJ303" s="13"/>
      <c r="AK303" s="20" t="str">
        <f aca="false">IF(AH303="","",IF(ABS(AH303+AI303+AJ303-1)&lt;0.000001,"OK","ОШИБКА"))</f>
        <v/>
      </c>
      <c r="AL303" s="13"/>
      <c r="AM303" s="12"/>
      <c r="AN303" s="12"/>
      <c r="AO303" s="12"/>
      <c r="AP303" s="12"/>
      <c r="AQ303" s="18" t="str">
        <f aca="false">IF(A303="","",N(AQ302)+N(AA303))</f>
        <v/>
      </c>
      <c r="AR303" s="18" t="str">
        <f aca="false">IF(AQ303="","",MAX(0,MAX($AQ$8:AQ303))-AQ303)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3"/>
      <c r="M304" s="13"/>
      <c r="N304" s="13"/>
      <c r="O304" s="14" t="str">
        <f aca="false">IF(OR(L304="",L304=0),"",(1-M304)/L304)</f>
        <v/>
      </c>
      <c r="P304" s="15"/>
      <c r="Q304" s="12"/>
      <c r="R304" s="12"/>
      <c r="S304" s="13"/>
      <c r="T304" s="16" t="str">
        <f aca="false">IF(OR(S304="",L304=""),"",L304/(1-M304)-S304)</f>
        <v/>
      </c>
      <c r="U304" s="16" t="str">
        <f aca="false">IF(OR(L304="",P304=""),"",L304*(P304-1)-N304)</f>
        <v/>
      </c>
      <c r="V304" s="13"/>
      <c r="W304" s="17"/>
      <c r="X304" s="12"/>
      <c r="Y304" s="12"/>
      <c r="Z304" s="12"/>
      <c r="AA304" s="18" t="str">
        <f aca="false">IF(K304&lt;&gt;"ВИРТУАЛЬНЫЙ ВЫБОР","",IF(Z304="✅ ЗАШЛО",W304*(P304-1),IF(Z304="❌ НЕ ЗАШЛО",-W304,IF(Z304="½ ЗАШЛО",W304*(P304-1)/2,IF(Z304="½ НЕ ЗАШЛО",-W304/2,IF(Z304="ВОЗВРАТ",0,""))))))</f>
        <v/>
      </c>
      <c r="AB304" s="18" t="str">
        <f aca="false">IF(AND(K304="ВИРТУАЛЬНЫЙ ВЫБОР",OR(Z304="✅ ЗАШЛО",Z304="❌ НЕ ЗАШЛО",Z304="½ ЗАШЛО",Z304="½ НЕ ЗАШЛО",Z304="ВОЗВРАТ")),W304,"")</f>
        <v/>
      </c>
      <c r="AC304" s="15"/>
      <c r="AD304" s="16" t="str">
        <f aca="false">IF(OR(AC304="",P304=""),"",P304/AC304-1)</f>
        <v/>
      </c>
      <c r="AE304" s="19" t="str">
        <f aca="false">IF(AND(M304=0,OR(Z304="✅ ЗАШЛО",Z304="❌ НЕ ЗАШЛО"),L304&lt;&gt;""),(L304-IF(Z304="✅ ЗАШЛО",1,0))^2,"")</f>
        <v/>
      </c>
      <c r="AF304" s="15"/>
      <c r="AG304" s="15"/>
      <c r="AH304" s="13"/>
      <c r="AI304" s="13"/>
      <c r="AJ304" s="13"/>
      <c r="AK304" s="20" t="str">
        <f aca="false">IF(AH304="","",IF(ABS(AH304+AI304+AJ304-1)&lt;0.000001,"OK","ОШИБКА"))</f>
        <v/>
      </c>
      <c r="AL304" s="13"/>
      <c r="AM304" s="12"/>
      <c r="AN304" s="12"/>
      <c r="AO304" s="12"/>
      <c r="AP304" s="12"/>
      <c r="AQ304" s="18" t="str">
        <f aca="false">IF(A304="","",N(AQ303)+N(AA304))</f>
        <v/>
      </c>
      <c r="AR304" s="18" t="str">
        <f aca="false">IF(AQ304="","",MAX(0,MAX($AQ$8:AQ304))-AQ304)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3"/>
      <c r="M305" s="13"/>
      <c r="N305" s="13"/>
      <c r="O305" s="14" t="str">
        <f aca="false">IF(OR(L305="",L305=0),"",(1-M305)/L305)</f>
        <v/>
      </c>
      <c r="P305" s="15"/>
      <c r="Q305" s="12"/>
      <c r="R305" s="12"/>
      <c r="S305" s="13"/>
      <c r="T305" s="16" t="str">
        <f aca="false">IF(OR(S305="",L305=""),"",L305/(1-M305)-S305)</f>
        <v/>
      </c>
      <c r="U305" s="16" t="str">
        <f aca="false">IF(OR(L305="",P305=""),"",L305*(P305-1)-N305)</f>
        <v/>
      </c>
      <c r="V305" s="13"/>
      <c r="W305" s="17"/>
      <c r="X305" s="12"/>
      <c r="Y305" s="12"/>
      <c r="Z305" s="12"/>
      <c r="AA305" s="18" t="str">
        <f aca="false">IF(K305&lt;&gt;"ВИРТУАЛЬНЫЙ ВЫБОР","",IF(Z305="✅ ЗАШЛО",W305*(P305-1),IF(Z305="❌ НЕ ЗАШЛО",-W305,IF(Z305="½ ЗАШЛО",W305*(P305-1)/2,IF(Z305="½ НЕ ЗАШЛО",-W305/2,IF(Z305="ВОЗВРАТ",0,""))))))</f>
        <v/>
      </c>
      <c r="AB305" s="18" t="str">
        <f aca="false">IF(AND(K305="ВИРТУАЛЬНЫЙ ВЫБОР",OR(Z305="✅ ЗАШЛО",Z305="❌ НЕ ЗАШЛО",Z305="½ ЗАШЛО",Z305="½ НЕ ЗАШЛО",Z305="ВОЗВРАТ")),W305,"")</f>
        <v/>
      </c>
      <c r="AC305" s="15"/>
      <c r="AD305" s="16" t="str">
        <f aca="false">IF(OR(AC305="",P305=""),"",P305/AC305-1)</f>
        <v/>
      </c>
      <c r="AE305" s="19" t="str">
        <f aca="false">IF(AND(M305=0,OR(Z305="✅ ЗАШЛО",Z305="❌ НЕ ЗАШЛО"),L305&lt;&gt;""),(L305-IF(Z305="✅ ЗАШЛО",1,0))^2,"")</f>
        <v/>
      </c>
      <c r="AF305" s="15"/>
      <c r="AG305" s="15"/>
      <c r="AH305" s="13"/>
      <c r="AI305" s="13"/>
      <c r="AJ305" s="13"/>
      <c r="AK305" s="20" t="str">
        <f aca="false">IF(AH305="","",IF(ABS(AH305+AI305+AJ305-1)&lt;0.000001,"OK","ОШИБКА"))</f>
        <v/>
      </c>
      <c r="AL305" s="13"/>
      <c r="AM305" s="12"/>
      <c r="AN305" s="12"/>
      <c r="AO305" s="12"/>
      <c r="AP305" s="12"/>
      <c r="AQ305" s="18" t="str">
        <f aca="false">IF(A305="","",N(AQ304)+N(AA305))</f>
        <v/>
      </c>
      <c r="AR305" s="18" t="str">
        <f aca="false">IF(AQ305="","",MAX(0,MAX($AQ$8:AQ305))-AQ305)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3"/>
      <c r="M306" s="13"/>
      <c r="N306" s="13"/>
      <c r="O306" s="14" t="str">
        <f aca="false">IF(OR(L306="",L306=0),"",(1-M306)/L306)</f>
        <v/>
      </c>
      <c r="P306" s="15"/>
      <c r="Q306" s="12"/>
      <c r="R306" s="12"/>
      <c r="S306" s="13"/>
      <c r="T306" s="16" t="str">
        <f aca="false">IF(OR(S306="",L306=""),"",L306/(1-M306)-S306)</f>
        <v/>
      </c>
      <c r="U306" s="16" t="str">
        <f aca="false">IF(OR(L306="",P306=""),"",L306*(P306-1)-N306)</f>
        <v/>
      </c>
      <c r="V306" s="13"/>
      <c r="W306" s="17"/>
      <c r="X306" s="12"/>
      <c r="Y306" s="12"/>
      <c r="Z306" s="12"/>
      <c r="AA306" s="18" t="str">
        <f aca="false">IF(K306&lt;&gt;"ВИРТУАЛЬНЫЙ ВЫБОР","",IF(Z306="✅ ЗАШЛО",W306*(P306-1),IF(Z306="❌ НЕ ЗАШЛО",-W306,IF(Z306="½ ЗАШЛО",W306*(P306-1)/2,IF(Z306="½ НЕ ЗАШЛО",-W306/2,IF(Z306="ВОЗВРАТ",0,""))))))</f>
        <v/>
      </c>
      <c r="AB306" s="18" t="str">
        <f aca="false">IF(AND(K306="ВИРТУАЛЬНЫЙ ВЫБОР",OR(Z306="✅ ЗАШЛО",Z306="❌ НЕ ЗАШЛО",Z306="½ ЗАШЛО",Z306="½ НЕ ЗАШЛО",Z306="ВОЗВРАТ")),W306,"")</f>
        <v/>
      </c>
      <c r="AC306" s="15"/>
      <c r="AD306" s="16" t="str">
        <f aca="false">IF(OR(AC306="",P306=""),"",P306/AC306-1)</f>
        <v/>
      </c>
      <c r="AE306" s="19" t="str">
        <f aca="false">IF(AND(M306=0,OR(Z306="✅ ЗАШЛО",Z306="❌ НЕ ЗАШЛО"),L306&lt;&gt;""),(L306-IF(Z306="✅ ЗАШЛО",1,0))^2,"")</f>
        <v/>
      </c>
      <c r="AF306" s="15"/>
      <c r="AG306" s="15"/>
      <c r="AH306" s="13"/>
      <c r="AI306" s="13"/>
      <c r="AJ306" s="13"/>
      <c r="AK306" s="20" t="str">
        <f aca="false">IF(AH306="","",IF(ABS(AH306+AI306+AJ306-1)&lt;0.000001,"OK","ОШИБКА"))</f>
        <v/>
      </c>
      <c r="AL306" s="13"/>
      <c r="AM306" s="12"/>
      <c r="AN306" s="12"/>
      <c r="AO306" s="12"/>
      <c r="AP306" s="12"/>
      <c r="AQ306" s="18" t="str">
        <f aca="false">IF(A306="","",N(AQ305)+N(AA306))</f>
        <v/>
      </c>
      <c r="AR306" s="18" t="str">
        <f aca="false">IF(AQ306="","",MAX(0,MAX($AQ$8:AQ306))-AQ306)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3"/>
      <c r="M307" s="13"/>
      <c r="N307" s="13"/>
      <c r="O307" s="14" t="str">
        <f aca="false">IF(OR(L307="",L307=0),"",(1-M307)/L307)</f>
        <v/>
      </c>
      <c r="P307" s="15"/>
      <c r="Q307" s="12"/>
      <c r="R307" s="12"/>
      <c r="S307" s="13"/>
      <c r="T307" s="16" t="str">
        <f aca="false">IF(OR(S307="",L307=""),"",L307/(1-M307)-S307)</f>
        <v/>
      </c>
      <c r="U307" s="16" t="str">
        <f aca="false">IF(OR(L307="",P307=""),"",L307*(P307-1)-N307)</f>
        <v/>
      </c>
      <c r="V307" s="13"/>
      <c r="W307" s="17"/>
      <c r="X307" s="12"/>
      <c r="Y307" s="12"/>
      <c r="Z307" s="12"/>
      <c r="AA307" s="18" t="str">
        <f aca="false">IF(K307&lt;&gt;"ВИРТУАЛЬНЫЙ ВЫБОР","",IF(Z307="✅ ЗАШЛО",W307*(P307-1),IF(Z307="❌ НЕ ЗАШЛО",-W307,IF(Z307="½ ЗАШЛО",W307*(P307-1)/2,IF(Z307="½ НЕ ЗАШЛО",-W307/2,IF(Z307="ВОЗВРАТ",0,""))))))</f>
        <v/>
      </c>
      <c r="AB307" s="18" t="str">
        <f aca="false">IF(AND(K307="ВИРТУАЛЬНЫЙ ВЫБОР",OR(Z307="✅ ЗАШЛО",Z307="❌ НЕ ЗАШЛО",Z307="½ ЗАШЛО",Z307="½ НЕ ЗАШЛО",Z307="ВОЗВРАТ")),W307,"")</f>
        <v/>
      </c>
      <c r="AC307" s="15"/>
      <c r="AD307" s="16" t="str">
        <f aca="false">IF(OR(AC307="",P307=""),"",P307/AC307-1)</f>
        <v/>
      </c>
      <c r="AE307" s="19" t="str">
        <f aca="false">IF(AND(M307=0,OR(Z307="✅ ЗАШЛО",Z307="❌ НЕ ЗАШЛО"),L307&lt;&gt;""),(L307-IF(Z307="✅ ЗАШЛО",1,0))^2,"")</f>
        <v/>
      </c>
      <c r="AF307" s="15"/>
      <c r="AG307" s="15"/>
      <c r="AH307" s="13"/>
      <c r="AI307" s="13"/>
      <c r="AJ307" s="13"/>
      <c r="AK307" s="20" t="str">
        <f aca="false">IF(AH307="","",IF(ABS(AH307+AI307+AJ307-1)&lt;0.000001,"OK","ОШИБКА"))</f>
        <v/>
      </c>
      <c r="AL307" s="13"/>
      <c r="AM307" s="12"/>
      <c r="AN307" s="12"/>
      <c r="AO307" s="12"/>
      <c r="AP307" s="12"/>
      <c r="AQ307" s="18" t="str">
        <f aca="false">IF(A307="","",N(AQ306)+N(AA307))</f>
        <v/>
      </c>
      <c r="AR307" s="18" t="str">
        <f aca="false">IF(AQ307="","",MAX(0,MAX($AQ$8:AQ307))-AQ307)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3"/>
      <c r="M308" s="13"/>
      <c r="N308" s="13"/>
      <c r="O308" s="14" t="str">
        <f aca="false">IF(OR(L308="",L308=0),"",(1-M308)/L308)</f>
        <v/>
      </c>
      <c r="P308" s="15"/>
      <c r="Q308" s="12"/>
      <c r="R308" s="12"/>
      <c r="S308" s="13"/>
      <c r="T308" s="16" t="str">
        <f aca="false">IF(OR(S308="",L308=""),"",L308/(1-M308)-S308)</f>
        <v/>
      </c>
      <c r="U308" s="16" t="str">
        <f aca="false">IF(OR(L308="",P308=""),"",L308*(P308-1)-N308)</f>
        <v/>
      </c>
      <c r="V308" s="13"/>
      <c r="W308" s="17"/>
      <c r="X308" s="12"/>
      <c r="Y308" s="12"/>
      <c r="Z308" s="12"/>
      <c r="AA308" s="18" t="str">
        <f aca="false">IF(K308&lt;&gt;"ВИРТУАЛЬНЫЙ ВЫБОР","",IF(Z308="✅ ЗАШЛО",W308*(P308-1),IF(Z308="❌ НЕ ЗАШЛО",-W308,IF(Z308="½ ЗАШЛО",W308*(P308-1)/2,IF(Z308="½ НЕ ЗАШЛО",-W308/2,IF(Z308="ВОЗВРАТ",0,""))))))</f>
        <v/>
      </c>
      <c r="AB308" s="18" t="str">
        <f aca="false">IF(AND(K308="ВИРТУАЛЬНЫЙ ВЫБОР",OR(Z308="✅ ЗАШЛО",Z308="❌ НЕ ЗАШЛО",Z308="½ ЗАШЛО",Z308="½ НЕ ЗАШЛО",Z308="ВОЗВРАТ")),W308,"")</f>
        <v/>
      </c>
      <c r="AC308" s="15"/>
      <c r="AD308" s="16" t="str">
        <f aca="false">IF(OR(AC308="",P308=""),"",P308/AC308-1)</f>
        <v/>
      </c>
      <c r="AE308" s="19" t="str">
        <f aca="false">IF(AND(M308=0,OR(Z308="✅ ЗАШЛО",Z308="❌ НЕ ЗАШЛО"),L308&lt;&gt;""),(L308-IF(Z308="✅ ЗАШЛО",1,0))^2,"")</f>
        <v/>
      </c>
      <c r="AF308" s="15"/>
      <c r="AG308" s="15"/>
      <c r="AH308" s="13"/>
      <c r="AI308" s="13"/>
      <c r="AJ308" s="13"/>
      <c r="AK308" s="20" t="str">
        <f aca="false">IF(AH308="","",IF(ABS(AH308+AI308+AJ308-1)&lt;0.000001,"OK","ОШИБКА"))</f>
        <v/>
      </c>
      <c r="AL308" s="13"/>
      <c r="AM308" s="12"/>
      <c r="AN308" s="12"/>
      <c r="AO308" s="12"/>
      <c r="AP308" s="12"/>
      <c r="AQ308" s="18" t="str">
        <f aca="false">IF(A308="","",N(AQ307)+N(AA308))</f>
        <v/>
      </c>
      <c r="AR308" s="18" t="str">
        <f aca="false">IF(AQ308="","",MAX(0,MAX($AQ$8:AQ308))-AQ308)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3"/>
      <c r="M309" s="13"/>
      <c r="N309" s="13"/>
      <c r="O309" s="14" t="str">
        <f aca="false">IF(OR(L309="",L309=0),"",(1-M309)/L309)</f>
        <v/>
      </c>
      <c r="P309" s="15"/>
      <c r="Q309" s="12"/>
      <c r="R309" s="12"/>
      <c r="S309" s="13"/>
      <c r="T309" s="16" t="str">
        <f aca="false">IF(OR(S309="",L309=""),"",L309/(1-M309)-S309)</f>
        <v/>
      </c>
      <c r="U309" s="16" t="str">
        <f aca="false">IF(OR(L309="",P309=""),"",L309*(P309-1)-N309)</f>
        <v/>
      </c>
      <c r="V309" s="13"/>
      <c r="W309" s="17"/>
      <c r="X309" s="12"/>
      <c r="Y309" s="12"/>
      <c r="Z309" s="12"/>
      <c r="AA309" s="18" t="str">
        <f aca="false">IF(K309&lt;&gt;"ВИРТУАЛЬНЫЙ ВЫБОР","",IF(Z309="✅ ЗАШЛО",W309*(P309-1),IF(Z309="❌ НЕ ЗАШЛО",-W309,IF(Z309="½ ЗАШЛО",W309*(P309-1)/2,IF(Z309="½ НЕ ЗАШЛО",-W309/2,IF(Z309="ВОЗВРАТ",0,""))))))</f>
        <v/>
      </c>
      <c r="AB309" s="18" t="str">
        <f aca="false">IF(AND(K309="ВИРТУАЛЬНЫЙ ВЫБОР",OR(Z309="✅ ЗАШЛО",Z309="❌ НЕ ЗАШЛО",Z309="½ ЗАШЛО",Z309="½ НЕ ЗАШЛО",Z309="ВОЗВРАТ")),W309,"")</f>
        <v/>
      </c>
      <c r="AC309" s="15"/>
      <c r="AD309" s="16" t="str">
        <f aca="false">IF(OR(AC309="",P309=""),"",P309/AC309-1)</f>
        <v/>
      </c>
      <c r="AE309" s="19" t="str">
        <f aca="false">IF(AND(M309=0,OR(Z309="✅ ЗАШЛО",Z309="❌ НЕ ЗАШЛО"),L309&lt;&gt;""),(L309-IF(Z309="✅ ЗАШЛО",1,0))^2,"")</f>
        <v/>
      </c>
      <c r="AF309" s="15"/>
      <c r="AG309" s="15"/>
      <c r="AH309" s="13"/>
      <c r="AI309" s="13"/>
      <c r="AJ309" s="13"/>
      <c r="AK309" s="20" t="str">
        <f aca="false">IF(AH309="","",IF(ABS(AH309+AI309+AJ309-1)&lt;0.000001,"OK","ОШИБКА"))</f>
        <v/>
      </c>
      <c r="AL309" s="13"/>
      <c r="AM309" s="12"/>
      <c r="AN309" s="12"/>
      <c r="AO309" s="12"/>
      <c r="AP309" s="12"/>
      <c r="AQ309" s="18" t="str">
        <f aca="false">IF(A309="","",N(AQ308)+N(AA309))</f>
        <v/>
      </c>
      <c r="AR309" s="18" t="str">
        <f aca="false">IF(AQ309="","",MAX(0,MAX($AQ$8:AQ309))-AQ309)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3"/>
      <c r="M310" s="13"/>
      <c r="N310" s="13"/>
      <c r="O310" s="14" t="str">
        <f aca="false">IF(OR(L310="",L310=0),"",(1-M310)/L310)</f>
        <v/>
      </c>
      <c r="P310" s="15"/>
      <c r="Q310" s="12"/>
      <c r="R310" s="12"/>
      <c r="S310" s="13"/>
      <c r="T310" s="16" t="str">
        <f aca="false">IF(OR(S310="",L310=""),"",L310/(1-M310)-S310)</f>
        <v/>
      </c>
      <c r="U310" s="16" t="str">
        <f aca="false">IF(OR(L310="",P310=""),"",L310*(P310-1)-N310)</f>
        <v/>
      </c>
      <c r="V310" s="13"/>
      <c r="W310" s="17"/>
      <c r="X310" s="12"/>
      <c r="Y310" s="12"/>
      <c r="Z310" s="12"/>
      <c r="AA310" s="18" t="str">
        <f aca="false">IF(K310&lt;&gt;"ВИРТУАЛЬНЫЙ ВЫБОР","",IF(Z310="✅ ЗАШЛО",W310*(P310-1),IF(Z310="❌ НЕ ЗАШЛО",-W310,IF(Z310="½ ЗАШЛО",W310*(P310-1)/2,IF(Z310="½ НЕ ЗАШЛО",-W310/2,IF(Z310="ВОЗВРАТ",0,""))))))</f>
        <v/>
      </c>
      <c r="AB310" s="18" t="str">
        <f aca="false">IF(AND(K310="ВИРТУАЛЬНЫЙ ВЫБОР",OR(Z310="✅ ЗАШЛО",Z310="❌ НЕ ЗАШЛО",Z310="½ ЗАШЛО",Z310="½ НЕ ЗАШЛО",Z310="ВОЗВРАТ")),W310,"")</f>
        <v/>
      </c>
      <c r="AC310" s="15"/>
      <c r="AD310" s="16" t="str">
        <f aca="false">IF(OR(AC310="",P310=""),"",P310/AC310-1)</f>
        <v/>
      </c>
      <c r="AE310" s="19" t="str">
        <f aca="false">IF(AND(M310=0,OR(Z310="✅ ЗАШЛО",Z310="❌ НЕ ЗАШЛО"),L310&lt;&gt;""),(L310-IF(Z310="✅ ЗАШЛО",1,0))^2,"")</f>
        <v/>
      </c>
      <c r="AF310" s="15"/>
      <c r="AG310" s="15"/>
      <c r="AH310" s="13"/>
      <c r="AI310" s="13"/>
      <c r="AJ310" s="13"/>
      <c r="AK310" s="20" t="str">
        <f aca="false">IF(AH310="","",IF(ABS(AH310+AI310+AJ310-1)&lt;0.000001,"OK","ОШИБКА"))</f>
        <v/>
      </c>
      <c r="AL310" s="13"/>
      <c r="AM310" s="12"/>
      <c r="AN310" s="12"/>
      <c r="AO310" s="12"/>
      <c r="AP310" s="12"/>
      <c r="AQ310" s="18" t="str">
        <f aca="false">IF(A310="","",N(AQ309)+N(AA310))</f>
        <v/>
      </c>
      <c r="AR310" s="18" t="str">
        <f aca="false">IF(AQ310="","",MAX(0,MAX($AQ$8:AQ310))-AQ310)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3"/>
      <c r="M311" s="13"/>
      <c r="N311" s="13"/>
      <c r="O311" s="14" t="str">
        <f aca="false">IF(OR(L311="",L311=0),"",(1-M311)/L311)</f>
        <v/>
      </c>
      <c r="P311" s="15"/>
      <c r="Q311" s="12"/>
      <c r="R311" s="12"/>
      <c r="S311" s="13"/>
      <c r="T311" s="16" t="str">
        <f aca="false">IF(OR(S311="",L311=""),"",L311/(1-M311)-S311)</f>
        <v/>
      </c>
      <c r="U311" s="16" t="str">
        <f aca="false">IF(OR(L311="",P311=""),"",L311*(P311-1)-N311)</f>
        <v/>
      </c>
      <c r="V311" s="13"/>
      <c r="W311" s="17"/>
      <c r="X311" s="12"/>
      <c r="Y311" s="12"/>
      <c r="Z311" s="12"/>
      <c r="AA311" s="18" t="str">
        <f aca="false">IF(K311&lt;&gt;"ВИРТУАЛЬНЫЙ ВЫБОР","",IF(Z311="✅ ЗАШЛО",W311*(P311-1),IF(Z311="❌ НЕ ЗАШЛО",-W311,IF(Z311="½ ЗАШЛО",W311*(P311-1)/2,IF(Z311="½ НЕ ЗАШЛО",-W311/2,IF(Z311="ВОЗВРАТ",0,""))))))</f>
        <v/>
      </c>
      <c r="AB311" s="18" t="str">
        <f aca="false">IF(AND(K311="ВИРТУАЛЬНЫЙ ВЫБОР",OR(Z311="✅ ЗАШЛО",Z311="❌ НЕ ЗАШЛО",Z311="½ ЗАШЛО",Z311="½ НЕ ЗАШЛО",Z311="ВОЗВРАТ")),W311,"")</f>
        <v/>
      </c>
      <c r="AC311" s="15"/>
      <c r="AD311" s="16" t="str">
        <f aca="false">IF(OR(AC311="",P311=""),"",P311/AC311-1)</f>
        <v/>
      </c>
      <c r="AE311" s="19" t="str">
        <f aca="false">IF(AND(M311=0,OR(Z311="✅ ЗАШЛО",Z311="❌ НЕ ЗАШЛО"),L311&lt;&gt;""),(L311-IF(Z311="✅ ЗАШЛО",1,0))^2,"")</f>
        <v/>
      </c>
      <c r="AF311" s="15"/>
      <c r="AG311" s="15"/>
      <c r="AH311" s="13"/>
      <c r="AI311" s="13"/>
      <c r="AJ311" s="13"/>
      <c r="AK311" s="20" t="str">
        <f aca="false">IF(AH311="","",IF(ABS(AH311+AI311+AJ311-1)&lt;0.000001,"OK","ОШИБКА"))</f>
        <v/>
      </c>
      <c r="AL311" s="13"/>
      <c r="AM311" s="12"/>
      <c r="AN311" s="12"/>
      <c r="AO311" s="12"/>
      <c r="AP311" s="12"/>
      <c r="AQ311" s="18" t="str">
        <f aca="false">IF(A311="","",N(AQ310)+N(AA311))</f>
        <v/>
      </c>
      <c r="AR311" s="18" t="str">
        <f aca="false">IF(AQ311="","",MAX(0,MAX($AQ$8:AQ311))-AQ311)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3"/>
      <c r="M312" s="13"/>
      <c r="N312" s="13"/>
      <c r="O312" s="14" t="str">
        <f aca="false">IF(OR(L312="",L312=0),"",(1-M312)/L312)</f>
        <v/>
      </c>
      <c r="P312" s="15"/>
      <c r="Q312" s="12"/>
      <c r="R312" s="12"/>
      <c r="S312" s="13"/>
      <c r="T312" s="16" t="str">
        <f aca="false">IF(OR(S312="",L312=""),"",L312/(1-M312)-S312)</f>
        <v/>
      </c>
      <c r="U312" s="16" t="str">
        <f aca="false">IF(OR(L312="",P312=""),"",L312*(P312-1)-N312)</f>
        <v/>
      </c>
      <c r="V312" s="13"/>
      <c r="W312" s="17"/>
      <c r="X312" s="12"/>
      <c r="Y312" s="12"/>
      <c r="Z312" s="12"/>
      <c r="AA312" s="18" t="str">
        <f aca="false">IF(K312&lt;&gt;"ВИРТУАЛЬНЫЙ ВЫБОР","",IF(Z312="✅ ЗАШЛО",W312*(P312-1),IF(Z312="❌ НЕ ЗАШЛО",-W312,IF(Z312="½ ЗАШЛО",W312*(P312-1)/2,IF(Z312="½ НЕ ЗАШЛО",-W312/2,IF(Z312="ВОЗВРАТ",0,""))))))</f>
        <v/>
      </c>
      <c r="AB312" s="18" t="str">
        <f aca="false">IF(AND(K312="ВИРТУАЛЬНЫЙ ВЫБОР",OR(Z312="✅ ЗАШЛО",Z312="❌ НЕ ЗАШЛО",Z312="½ ЗАШЛО",Z312="½ НЕ ЗАШЛО",Z312="ВОЗВРАТ")),W312,"")</f>
        <v/>
      </c>
      <c r="AC312" s="15"/>
      <c r="AD312" s="16" t="str">
        <f aca="false">IF(OR(AC312="",P312=""),"",P312/AC312-1)</f>
        <v/>
      </c>
      <c r="AE312" s="19" t="str">
        <f aca="false">IF(AND(M312=0,OR(Z312="✅ ЗАШЛО",Z312="❌ НЕ ЗАШЛО"),L312&lt;&gt;""),(L312-IF(Z312="✅ ЗАШЛО",1,0))^2,"")</f>
        <v/>
      </c>
      <c r="AF312" s="15"/>
      <c r="AG312" s="15"/>
      <c r="AH312" s="13"/>
      <c r="AI312" s="13"/>
      <c r="AJ312" s="13"/>
      <c r="AK312" s="20" t="str">
        <f aca="false">IF(AH312="","",IF(ABS(AH312+AI312+AJ312-1)&lt;0.000001,"OK","ОШИБКА"))</f>
        <v/>
      </c>
      <c r="AL312" s="13"/>
      <c r="AM312" s="12"/>
      <c r="AN312" s="12"/>
      <c r="AO312" s="12"/>
      <c r="AP312" s="12"/>
      <c r="AQ312" s="18" t="str">
        <f aca="false">IF(A312="","",N(AQ311)+N(AA312))</f>
        <v/>
      </c>
      <c r="AR312" s="18" t="str">
        <f aca="false">IF(AQ312="","",MAX(0,MAX($AQ$8:AQ312))-AQ312)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3"/>
      <c r="M313" s="13"/>
      <c r="N313" s="13"/>
      <c r="O313" s="14" t="str">
        <f aca="false">IF(OR(L313="",L313=0),"",(1-M313)/L313)</f>
        <v/>
      </c>
      <c r="P313" s="15"/>
      <c r="Q313" s="12"/>
      <c r="R313" s="12"/>
      <c r="S313" s="13"/>
      <c r="T313" s="16" t="str">
        <f aca="false">IF(OR(S313="",L313=""),"",L313/(1-M313)-S313)</f>
        <v/>
      </c>
      <c r="U313" s="16" t="str">
        <f aca="false">IF(OR(L313="",P313=""),"",L313*(P313-1)-N313)</f>
        <v/>
      </c>
      <c r="V313" s="13"/>
      <c r="W313" s="17"/>
      <c r="X313" s="12"/>
      <c r="Y313" s="12"/>
      <c r="Z313" s="12"/>
      <c r="AA313" s="18" t="str">
        <f aca="false">IF(K313&lt;&gt;"ВИРТУАЛЬНЫЙ ВЫБОР","",IF(Z313="✅ ЗАШЛО",W313*(P313-1),IF(Z313="❌ НЕ ЗАШЛО",-W313,IF(Z313="½ ЗАШЛО",W313*(P313-1)/2,IF(Z313="½ НЕ ЗАШЛО",-W313/2,IF(Z313="ВОЗВРАТ",0,""))))))</f>
        <v/>
      </c>
      <c r="AB313" s="18" t="str">
        <f aca="false">IF(AND(K313="ВИРТУАЛЬНЫЙ ВЫБОР",OR(Z313="✅ ЗАШЛО",Z313="❌ НЕ ЗАШЛО",Z313="½ ЗАШЛО",Z313="½ НЕ ЗАШЛО",Z313="ВОЗВРАТ")),W313,"")</f>
        <v/>
      </c>
      <c r="AC313" s="15"/>
      <c r="AD313" s="16" t="str">
        <f aca="false">IF(OR(AC313="",P313=""),"",P313/AC313-1)</f>
        <v/>
      </c>
      <c r="AE313" s="19" t="str">
        <f aca="false">IF(AND(M313=0,OR(Z313="✅ ЗАШЛО",Z313="❌ НЕ ЗАШЛО"),L313&lt;&gt;""),(L313-IF(Z313="✅ ЗАШЛО",1,0))^2,"")</f>
        <v/>
      </c>
      <c r="AF313" s="15"/>
      <c r="AG313" s="15"/>
      <c r="AH313" s="13"/>
      <c r="AI313" s="13"/>
      <c r="AJ313" s="13"/>
      <c r="AK313" s="20" t="str">
        <f aca="false">IF(AH313="","",IF(ABS(AH313+AI313+AJ313-1)&lt;0.000001,"OK","ОШИБКА"))</f>
        <v/>
      </c>
      <c r="AL313" s="13"/>
      <c r="AM313" s="12"/>
      <c r="AN313" s="12"/>
      <c r="AO313" s="12"/>
      <c r="AP313" s="12"/>
      <c r="AQ313" s="18" t="str">
        <f aca="false">IF(A313="","",N(AQ312)+N(AA313))</f>
        <v/>
      </c>
      <c r="AR313" s="18" t="str">
        <f aca="false">IF(AQ313="","",MAX(0,MAX($AQ$8:AQ313))-AQ313)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3"/>
      <c r="M314" s="13"/>
      <c r="N314" s="13"/>
      <c r="O314" s="14" t="str">
        <f aca="false">IF(OR(L314="",L314=0),"",(1-M314)/L314)</f>
        <v/>
      </c>
      <c r="P314" s="15"/>
      <c r="Q314" s="12"/>
      <c r="R314" s="12"/>
      <c r="S314" s="13"/>
      <c r="T314" s="16" t="str">
        <f aca="false">IF(OR(S314="",L314=""),"",L314/(1-M314)-S314)</f>
        <v/>
      </c>
      <c r="U314" s="16" t="str">
        <f aca="false">IF(OR(L314="",P314=""),"",L314*(P314-1)-N314)</f>
        <v/>
      </c>
      <c r="V314" s="13"/>
      <c r="W314" s="17"/>
      <c r="X314" s="12"/>
      <c r="Y314" s="12"/>
      <c r="Z314" s="12"/>
      <c r="AA314" s="18" t="str">
        <f aca="false">IF(K314&lt;&gt;"ВИРТУАЛЬНЫЙ ВЫБОР","",IF(Z314="✅ ЗАШЛО",W314*(P314-1),IF(Z314="❌ НЕ ЗАШЛО",-W314,IF(Z314="½ ЗАШЛО",W314*(P314-1)/2,IF(Z314="½ НЕ ЗАШЛО",-W314/2,IF(Z314="ВОЗВРАТ",0,""))))))</f>
        <v/>
      </c>
      <c r="AB314" s="18" t="str">
        <f aca="false">IF(AND(K314="ВИРТУАЛЬНЫЙ ВЫБОР",OR(Z314="✅ ЗАШЛО",Z314="❌ НЕ ЗАШЛО",Z314="½ ЗАШЛО",Z314="½ НЕ ЗАШЛО",Z314="ВОЗВРАТ")),W314,"")</f>
        <v/>
      </c>
      <c r="AC314" s="15"/>
      <c r="AD314" s="16" t="str">
        <f aca="false">IF(OR(AC314="",P314=""),"",P314/AC314-1)</f>
        <v/>
      </c>
      <c r="AE314" s="19" t="str">
        <f aca="false">IF(AND(M314=0,OR(Z314="✅ ЗАШЛО",Z314="❌ НЕ ЗАШЛО"),L314&lt;&gt;""),(L314-IF(Z314="✅ ЗАШЛО",1,0))^2,"")</f>
        <v/>
      </c>
      <c r="AF314" s="15"/>
      <c r="AG314" s="15"/>
      <c r="AH314" s="13"/>
      <c r="AI314" s="13"/>
      <c r="AJ314" s="13"/>
      <c r="AK314" s="20" t="str">
        <f aca="false">IF(AH314="","",IF(ABS(AH314+AI314+AJ314-1)&lt;0.000001,"OK","ОШИБКА"))</f>
        <v/>
      </c>
      <c r="AL314" s="13"/>
      <c r="AM314" s="12"/>
      <c r="AN314" s="12"/>
      <c r="AO314" s="12"/>
      <c r="AP314" s="12"/>
      <c r="AQ314" s="18" t="str">
        <f aca="false">IF(A314="","",N(AQ313)+N(AA314))</f>
        <v/>
      </c>
      <c r="AR314" s="18" t="str">
        <f aca="false">IF(AQ314="","",MAX(0,MAX($AQ$8:AQ314))-AQ314)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3"/>
      <c r="M315" s="13"/>
      <c r="N315" s="13"/>
      <c r="O315" s="14" t="str">
        <f aca="false">IF(OR(L315="",L315=0),"",(1-M315)/L315)</f>
        <v/>
      </c>
      <c r="P315" s="15"/>
      <c r="Q315" s="12"/>
      <c r="R315" s="12"/>
      <c r="S315" s="13"/>
      <c r="T315" s="16" t="str">
        <f aca="false">IF(OR(S315="",L315=""),"",L315/(1-M315)-S315)</f>
        <v/>
      </c>
      <c r="U315" s="16" t="str">
        <f aca="false">IF(OR(L315="",P315=""),"",L315*(P315-1)-N315)</f>
        <v/>
      </c>
      <c r="V315" s="13"/>
      <c r="W315" s="17"/>
      <c r="X315" s="12"/>
      <c r="Y315" s="12"/>
      <c r="Z315" s="12"/>
      <c r="AA315" s="18" t="str">
        <f aca="false">IF(K315&lt;&gt;"ВИРТУАЛЬНЫЙ ВЫБОР","",IF(Z315="✅ ЗАШЛО",W315*(P315-1),IF(Z315="❌ НЕ ЗАШЛО",-W315,IF(Z315="½ ЗАШЛО",W315*(P315-1)/2,IF(Z315="½ НЕ ЗАШЛО",-W315/2,IF(Z315="ВОЗВРАТ",0,""))))))</f>
        <v/>
      </c>
      <c r="AB315" s="18" t="str">
        <f aca="false">IF(AND(K315="ВИРТУАЛЬНЫЙ ВЫБОР",OR(Z315="✅ ЗАШЛО",Z315="❌ НЕ ЗАШЛО",Z315="½ ЗАШЛО",Z315="½ НЕ ЗАШЛО",Z315="ВОЗВРАТ")),W315,"")</f>
        <v/>
      </c>
      <c r="AC315" s="15"/>
      <c r="AD315" s="16" t="str">
        <f aca="false">IF(OR(AC315="",P315=""),"",P315/AC315-1)</f>
        <v/>
      </c>
      <c r="AE315" s="19" t="str">
        <f aca="false">IF(AND(M315=0,OR(Z315="✅ ЗАШЛО",Z315="❌ НЕ ЗАШЛО"),L315&lt;&gt;""),(L315-IF(Z315="✅ ЗАШЛО",1,0))^2,"")</f>
        <v/>
      </c>
      <c r="AF315" s="15"/>
      <c r="AG315" s="15"/>
      <c r="AH315" s="13"/>
      <c r="AI315" s="13"/>
      <c r="AJ315" s="13"/>
      <c r="AK315" s="20" t="str">
        <f aca="false">IF(AH315="","",IF(ABS(AH315+AI315+AJ315-1)&lt;0.000001,"OK","ОШИБКА"))</f>
        <v/>
      </c>
      <c r="AL315" s="13"/>
      <c r="AM315" s="12"/>
      <c r="AN315" s="12"/>
      <c r="AO315" s="12"/>
      <c r="AP315" s="12"/>
      <c r="AQ315" s="18" t="str">
        <f aca="false">IF(A315="","",N(AQ314)+N(AA315))</f>
        <v/>
      </c>
      <c r="AR315" s="18" t="str">
        <f aca="false">IF(AQ315="","",MAX(0,MAX($AQ$8:AQ315))-AQ315)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3"/>
      <c r="M316" s="13"/>
      <c r="N316" s="13"/>
      <c r="O316" s="14" t="str">
        <f aca="false">IF(OR(L316="",L316=0),"",(1-M316)/L316)</f>
        <v/>
      </c>
      <c r="P316" s="15"/>
      <c r="Q316" s="12"/>
      <c r="R316" s="12"/>
      <c r="S316" s="13"/>
      <c r="T316" s="16" t="str">
        <f aca="false">IF(OR(S316="",L316=""),"",L316/(1-M316)-S316)</f>
        <v/>
      </c>
      <c r="U316" s="16" t="str">
        <f aca="false">IF(OR(L316="",P316=""),"",L316*(P316-1)-N316)</f>
        <v/>
      </c>
      <c r="V316" s="13"/>
      <c r="W316" s="17"/>
      <c r="X316" s="12"/>
      <c r="Y316" s="12"/>
      <c r="Z316" s="12"/>
      <c r="AA316" s="18" t="str">
        <f aca="false">IF(K316&lt;&gt;"ВИРТУАЛЬНЫЙ ВЫБОР","",IF(Z316="✅ ЗАШЛО",W316*(P316-1),IF(Z316="❌ НЕ ЗАШЛО",-W316,IF(Z316="½ ЗАШЛО",W316*(P316-1)/2,IF(Z316="½ НЕ ЗАШЛО",-W316/2,IF(Z316="ВОЗВРАТ",0,""))))))</f>
        <v/>
      </c>
      <c r="AB316" s="18" t="str">
        <f aca="false">IF(AND(K316="ВИРТУАЛЬНЫЙ ВЫБОР",OR(Z316="✅ ЗАШЛО",Z316="❌ НЕ ЗАШЛО",Z316="½ ЗАШЛО",Z316="½ НЕ ЗАШЛО",Z316="ВОЗВРАТ")),W316,"")</f>
        <v/>
      </c>
      <c r="AC316" s="15"/>
      <c r="AD316" s="16" t="str">
        <f aca="false">IF(OR(AC316="",P316=""),"",P316/AC316-1)</f>
        <v/>
      </c>
      <c r="AE316" s="19" t="str">
        <f aca="false">IF(AND(M316=0,OR(Z316="✅ ЗАШЛО",Z316="❌ НЕ ЗАШЛО"),L316&lt;&gt;""),(L316-IF(Z316="✅ ЗАШЛО",1,0))^2,"")</f>
        <v/>
      </c>
      <c r="AF316" s="15"/>
      <c r="AG316" s="15"/>
      <c r="AH316" s="13"/>
      <c r="AI316" s="13"/>
      <c r="AJ316" s="13"/>
      <c r="AK316" s="20" t="str">
        <f aca="false">IF(AH316="","",IF(ABS(AH316+AI316+AJ316-1)&lt;0.000001,"OK","ОШИБКА"))</f>
        <v/>
      </c>
      <c r="AL316" s="13"/>
      <c r="AM316" s="12"/>
      <c r="AN316" s="12"/>
      <c r="AO316" s="12"/>
      <c r="AP316" s="12"/>
      <c r="AQ316" s="18" t="str">
        <f aca="false">IF(A316="","",N(AQ315)+N(AA316))</f>
        <v/>
      </c>
      <c r="AR316" s="18" t="str">
        <f aca="false">IF(AQ316="","",MAX(0,MAX($AQ$8:AQ316))-AQ316)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3"/>
      <c r="M317" s="13"/>
      <c r="N317" s="13"/>
      <c r="O317" s="14" t="str">
        <f aca="false">IF(OR(L317="",L317=0),"",(1-M317)/L317)</f>
        <v/>
      </c>
      <c r="P317" s="15"/>
      <c r="Q317" s="12"/>
      <c r="R317" s="12"/>
      <c r="S317" s="13"/>
      <c r="T317" s="16" t="str">
        <f aca="false">IF(OR(S317="",L317=""),"",L317/(1-M317)-S317)</f>
        <v/>
      </c>
      <c r="U317" s="16" t="str">
        <f aca="false">IF(OR(L317="",P317=""),"",L317*(P317-1)-N317)</f>
        <v/>
      </c>
      <c r="V317" s="13"/>
      <c r="W317" s="17"/>
      <c r="X317" s="12"/>
      <c r="Y317" s="12"/>
      <c r="Z317" s="12"/>
      <c r="AA317" s="18" t="str">
        <f aca="false">IF(K317&lt;&gt;"ВИРТУАЛЬНЫЙ ВЫБОР","",IF(Z317="✅ ЗАШЛО",W317*(P317-1),IF(Z317="❌ НЕ ЗАШЛО",-W317,IF(Z317="½ ЗАШЛО",W317*(P317-1)/2,IF(Z317="½ НЕ ЗАШЛО",-W317/2,IF(Z317="ВОЗВРАТ",0,""))))))</f>
        <v/>
      </c>
      <c r="AB317" s="18" t="str">
        <f aca="false">IF(AND(K317="ВИРТУАЛЬНЫЙ ВЫБОР",OR(Z317="✅ ЗАШЛО",Z317="❌ НЕ ЗАШЛО",Z317="½ ЗАШЛО",Z317="½ НЕ ЗАШЛО",Z317="ВОЗВРАТ")),W317,"")</f>
        <v/>
      </c>
      <c r="AC317" s="15"/>
      <c r="AD317" s="16" t="str">
        <f aca="false">IF(OR(AC317="",P317=""),"",P317/AC317-1)</f>
        <v/>
      </c>
      <c r="AE317" s="19" t="str">
        <f aca="false">IF(AND(M317=0,OR(Z317="✅ ЗАШЛО",Z317="❌ НЕ ЗАШЛО"),L317&lt;&gt;""),(L317-IF(Z317="✅ ЗАШЛО",1,0))^2,"")</f>
        <v/>
      </c>
      <c r="AF317" s="15"/>
      <c r="AG317" s="15"/>
      <c r="AH317" s="13"/>
      <c r="AI317" s="13"/>
      <c r="AJ317" s="13"/>
      <c r="AK317" s="20" t="str">
        <f aca="false">IF(AH317="","",IF(ABS(AH317+AI317+AJ317-1)&lt;0.000001,"OK","ОШИБКА"))</f>
        <v/>
      </c>
      <c r="AL317" s="13"/>
      <c r="AM317" s="12"/>
      <c r="AN317" s="12"/>
      <c r="AO317" s="12"/>
      <c r="AP317" s="12"/>
      <c r="AQ317" s="18" t="str">
        <f aca="false">IF(A317="","",N(AQ316)+N(AA317))</f>
        <v/>
      </c>
      <c r="AR317" s="18" t="str">
        <f aca="false">IF(AQ317="","",MAX(0,MAX($AQ$8:AQ317))-AQ317)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3"/>
      <c r="M318" s="13"/>
      <c r="N318" s="13"/>
      <c r="O318" s="14" t="str">
        <f aca="false">IF(OR(L318="",L318=0),"",(1-M318)/L318)</f>
        <v/>
      </c>
      <c r="P318" s="15"/>
      <c r="Q318" s="12"/>
      <c r="R318" s="12"/>
      <c r="S318" s="13"/>
      <c r="T318" s="16" t="str">
        <f aca="false">IF(OR(S318="",L318=""),"",L318/(1-M318)-S318)</f>
        <v/>
      </c>
      <c r="U318" s="16" t="str">
        <f aca="false">IF(OR(L318="",P318=""),"",L318*(P318-1)-N318)</f>
        <v/>
      </c>
      <c r="V318" s="13"/>
      <c r="W318" s="17"/>
      <c r="X318" s="12"/>
      <c r="Y318" s="12"/>
      <c r="Z318" s="12"/>
      <c r="AA318" s="18" t="str">
        <f aca="false">IF(K318&lt;&gt;"ВИРТУАЛЬНЫЙ ВЫБОР","",IF(Z318="✅ ЗАШЛО",W318*(P318-1),IF(Z318="❌ НЕ ЗАШЛО",-W318,IF(Z318="½ ЗАШЛО",W318*(P318-1)/2,IF(Z318="½ НЕ ЗАШЛО",-W318/2,IF(Z318="ВОЗВРАТ",0,""))))))</f>
        <v/>
      </c>
      <c r="AB318" s="18" t="str">
        <f aca="false">IF(AND(K318="ВИРТУАЛЬНЫЙ ВЫБОР",OR(Z318="✅ ЗАШЛО",Z318="❌ НЕ ЗАШЛО",Z318="½ ЗАШЛО",Z318="½ НЕ ЗАШЛО",Z318="ВОЗВРАТ")),W318,"")</f>
        <v/>
      </c>
      <c r="AC318" s="15"/>
      <c r="AD318" s="16" t="str">
        <f aca="false">IF(OR(AC318="",P318=""),"",P318/AC318-1)</f>
        <v/>
      </c>
      <c r="AE318" s="19" t="str">
        <f aca="false">IF(AND(M318=0,OR(Z318="✅ ЗАШЛО",Z318="❌ НЕ ЗАШЛО"),L318&lt;&gt;""),(L318-IF(Z318="✅ ЗАШЛО",1,0))^2,"")</f>
        <v/>
      </c>
      <c r="AF318" s="15"/>
      <c r="AG318" s="15"/>
      <c r="AH318" s="13"/>
      <c r="AI318" s="13"/>
      <c r="AJ318" s="13"/>
      <c r="AK318" s="20" t="str">
        <f aca="false">IF(AH318="","",IF(ABS(AH318+AI318+AJ318-1)&lt;0.000001,"OK","ОШИБКА"))</f>
        <v/>
      </c>
      <c r="AL318" s="13"/>
      <c r="AM318" s="12"/>
      <c r="AN318" s="12"/>
      <c r="AO318" s="12"/>
      <c r="AP318" s="12"/>
      <c r="AQ318" s="18" t="str">
        <f aca="false">IF(A318="","",N(AQ317)+N(AA318))</f>
        <v/>
      </c>
      <c r="AR318" s="18" t="str">
        <f aca="false">IF(AQ318="","",MAX(0,MAX($AQ$8:AQ318))-AQ318)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3"/>
      <c r="M319" s="13"/>
      <c r="N319" s="13"/>
      <c r="O319" s="14" t="str">
        <f aca="false">IF(OR(L319="",L319=0),"",(1-M319)/L319)</f>
        <v/>
      </c>
      <c r="P319" s="15"/>
      <c r="Q319" s="12"/>
      <c r="R319" s="12"/>
      <c r="S319" s="13"/>
      <c r="T319" s="16" t="str">
        <f aca="false">IF(OR(S319="",L319=""),"",L319/(1-M319)-S319)</f>
        <v/>
      </c>
      <c r="U319" s="16" t="str">
        <f aca="false">IF(OR(L319="",P319=""),"",L319*(P319-1)-N319)</f>
        <v/>
      </c>
      <c r="V319" s="13"/>
      <c r="W319" s="17"/>
      <c r="X319" s="12"/>
      <c r="Y319" s="12"/>
      <c r="Z319" s="12"/>
      <c r="AA319" s="18" t="str">
        <f aca="false">IF(K319&lt;&gt;"ВИРТУАЛЬНЫЙ ВЫБОР","",IF(Z319="✅ ЗАШЛО",W319*(P319-1),IF(Z319="❌ НЕ ЗАШЛО",-W319,IF(Z319="½ ЗАШЛО",W319*(P319-1)/2,IF(Z319="½ НЕ ЗАШЛО",-W319/2,IF(Z319="ВОЗВРАТ",0,""))))))</f>
        <v/>
      </c>
      <c r="AB319" s="18" t="str">
        <f aca="false">IF(AND(K319="ВИРТУАЛЬНЫЙ ВЫБОР",OR(Z319="✅ ЗАШЛО",Z319="❌ НЕ ЗАШЛО",Z319="½ ЗАШЛО",Z319="½ НЕ ЗАШЛО",Z319="ВОЗВРАТ")),W319,"")</f>
        <v/>
      </c>
      <c r="AC319" s="15"/>
      <c r="AD319" s="16" t="str">
        <f aca="false">IF(OR(AC319="",P319=""),"",P319/AC319-1)</f>
        <v/>
      </c>
      <c r="AE319" s="19" t="str">
        <f aca="false">IF(AND(M319=0,OR(Z319="✅ ЗАШЛО",Z319="❌ НЕ ЗАШЛО"),L319&lt;&gt;""),(L319-IF(Z319="✅ ЗАШЛО",1,0))^2,"")</f>
        <v/>
      </c>
      <c r="AF319" s="15"/>
      <c r="AG319" s="15"/>
      <c r="AH319" s="13"/>
      <c r="AI319" s="13"/>
      <c r="AJ319" s="13"/>
      <c r="AK319" s="20" t="str">
        <f aca="false">IF(AH319="","",IF(ABS(AH319+AI319+AJ319-1)&lt;0.000001,"OK","ОШИБКА"))</f>
        <v/>
      </c>
      <c r="AL319" s="13"/>
      <c r="AM319" s="12"/>
      <c r="AN319" s="12"/>
      <c r="AO319" s="12"/>
      <c r="AP319" s="12"/>
      <c r="AQ319" s="18" t="str">
        <f aca="false">IF(A319="","",N(AQ318)+N(AA319))</f>
        <v/>
      </c>
      <c r="AR319" s="18" t="str">
        <f aca="false">IF(AQ319="","",MAX(0,MAX($AQ$8:AQ319))-AQ319)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3"/>
      <c r="M320" s="13"/>
      <c r="N320" s="13"/>
      <c r="O320" s="14" t="str">
        <f aca="false">IF(OR(L320="",L320=0),"",(1-M320)/L320)</f>
        <v/>
      </c>
      <c r="P320" s="15"/>
      <c r="Q320" s="12"/>
      <c r="R320" s="12"/>
      <c r="S320" s="13"/>
      <c r="T320" s="16" t="str">
        <f aca="false">IF(OR(S320="",L320=""),"",L320/(1-M320)-S320)</f>
        <v/>
      </c>
      <c r="U320" s="16" t="str">
        <f aca="false">IF(OR(L320="",P320=""),"",L320*(P320-1)-N320)</f>
        <v/>
      </c>
      <c r="V320" s="13"/>
      <c r="W320" s="17"/>
      <c r="X320" s="12"/>
      <c r="Y320" s="12"/>
      <c r="Z320" s="12"/>
      <c r="AA320" s="18" t="str">
        <f aca="false">IF(K320&lt;&gt;"ВИРТУАЛЬНЫЙ ВЫБОР","",IF(Z320="✅ ЗАШЛО",W320*(P320-1),IF(Z320="❌ НЕ ЗАШЛО",-W320,IF(Z320="½ ЗАШЛО",W320*(P320-1)/2,IF(Z320="½ НЕ ЗАШЛО",-W320/2,IF(Z320="ВОЗВРАТ",0,""))))))</f>
        <v/>
      </c>
      <c r="AB320" s="18" t="str">
        <f aca="false">IF(AND(K320="ВИРТУАЛЬНЫЙ ВЫБОР",OR(Z320="✅ ЗАШЛО",Z320="❌ НЕ ЗАШЛО",Z320="½ ЗАШЛО",Z320="½ НЕ ЗАШЛО",Z320="ВОЗВРАТ")),W320,"")</f>
        <v/>
      </c>
      <c r="AC320" s="15"/>
      <c r="AD320" s="16" t="str">
        <f aca="false">IF(OR(AC320="",P320=""),"",P320/AC320-1)</f>
        <v/>
      </c>
      <c r="AE320" s="19" t="str">
        <f aca="false">IF(AND(M320=0,OR(Z320="✅ ЗАШЛО",Z320="❌ НЕ ЗАШЛО"),L320&lt;&gt;""),(L320-IF(Z320="✅ ЗАШЛО",1,0))^2,"")</f>
        <v/>
      </c>
      <c r="AF320" s="15"/>
      <c r="AG320" s="15"/>
      <c r="AH320" s="13"/>
      <c r="AI320" s="13"/>
      <c r="AJ320" s="13"/>
      <c r="AK320" s="20" t="str">
        <f aca="false">IF(AH320="","",IF(ABS(AH320+AI320+AJ320-1)&lt;0.000001,"OK","ОШИБКА"))</f>
        <v/>
      </c>
      <c r="AL320" s="13"/>
      <c r="AM320" s="12"/>
      <c r="AN320" s="12"/>
      <c r="AO320" s="12"/>
      <c r="AP320" s="12"/>
      <c r="AQ320" s="18" t="str">
        <f aca="false">IF(A320="","",N(AQ319)+N(AA320))</f>
        <v/>
      </c>
      <c r="AR320" s="18" t="str">
        <f aca="false">IF(AQ320="","",MAX(0,MAX($AQ$8:AQ320))-AQ320)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3"/>
      <c r="M321" s="13"/>
      <c r="N321" s="13"/>
      <c r="O321" s="14" t="str">
        <f aca="false">IF(OR(L321="",L321=0),"",(1-M321)/L321)</f>
        <v/>
      </c>
      <c r="P321" s="15"/>
      <c r="Q321" s="12"/>
      <c r="R321" s="12"/>
      <c r="S321" s="13"/>
      <c r="T321" s="16" t="str">
        <f aca="false">IF(OR(S321="",L321=""),"",L321/(1-M321)-S321)</f>
        <v/>
      </c>
      <c r="U321" s="16" t="str">
        <f aca="false">IF(OR(L321="",P321=""),"",L321*(P321-1)-N321)</f>
        <v/>
      </c>
      <c r="V321" s="13"/>
      <c r="W321" s="17"/>
      <c r="X321" s="12"/>
      <c r="Y321" s="12"/>
      <c r="Z321" s="12"/>
      <c r="AA321" s="18" t="str">
        <f aca="false">IF(K321&lt;&gt;"ВИРТУАЛЬНЫЙ ВЫБОР","",IF(Z321="✅ ЗАШЛО",W321*(P321-1),IF(Z321="❌ НЕ ЗАШЛО",-W321,IF(Z321="½ ЗАШЛО",W321*(P321-1)/2,IF(Z321="½ НЕ ЗАШЛО",-W321/2,IF(Z321="ВОЗВРАТ",0,""))))))</f>
        <v/>
      </c>
      <c r="AB321" s="18" t="str">
        <f aca="false">IF(AND(K321="ВИРТУАЛЬНЫЙ ВЫБОР",OR(Z321="✅ ЗАШЛО",Z321="❌ НЕ ЗАШЛО",Z321="½ ЗАШЛО",Z321="½ НЕ ЗАШЛО",Z321="ВОЗВРАТ")),W321,"")</f>
        <v/>
      </c>
      <c r="AC321" s="15"/>
      <c r="AD321" s="16" t="str">
        <f aca="false">IF(OR(AC321="",P321=""),"",P321/AC321-1)</f>
        <v/>
      </c>
      <c r="AE321" s="19" t="str">
        <f aca="false">IF(AND(M321=0,OR(Z321="✅ ЗАШЛО",Z321="❌ НЕ ЗАШЛО"),L321&lt;&gt;""),(L321-IF(Z321="✅ ЗАШЛО",1,0))^2,"")</f>
        <v/>
      </c>
      <c r="AF321" s="15"/>
      <c r="AG321" s="15"/>
      <c r="AH321" s="13"/>
      <c r="AI321" s="13"/>
      <c r="AJ321" s="13"/>
      <c r="AK321" s="20" t="str">
        <f aca="false">IF(AH321="","",IF(ABS(AH321+AI321+AJ321-1)&lt;0.000001,"OK","ОШИБКА"))</f>
        <v/>
      </c>
      <c r="AL321" s="13"/>
      <c r="AM321" s="12"/>
      <c r="AN321" s="12"/>
      <c r="AO321" s="12"/>
      <c r="AP321" s="12"/>
      <c r="AQ321" s="18" t="str">
        <f aca="false">IF(A321="","",N(AQ320)+N(AA321))</f>
        <v/>
      </c>
      <c r="AR321" s="18" t="str">
        <f aca="false">IF(AQ321="","",MAX(0,MAX($AQ$8:AQ321))-AQ321)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3"/>
      <c r="M322" s="13"/>
      <c r="N322" s="13"/>
      <c r="O322" s="14" t="str">
        <f aca="false">IF(OR(L322="",L322=0),"",(1-M322)/L322)</f>
        <v/>
      </c>
      <c r="P322" s="15"/>
      <c r="Q322" s="12"/>
      <c r="R322" s="12"/>
      <c r="S322" s="13"/>
      <c r="T322" s="16" t="str">
        <f aca="false">IF(OR(S322="",L322=""),"",L322/(1-M322)-S322)</f>
        <v/>
      </c>
      <c r="U322" s="16" t="str">
        <f aca="false">IF(OR(L322="",P322=""),"",L322*(P322-1)-N322)</f>
        <v/>
      </c>
      <c r="V322" s="13"/>
      <c r="W322" s="17"/>
      <c r="X322" s="12"/>
      <c r="Y322" s="12"/>
      <c r="Z322" s="12"/>
      <c r="AA322" s="18" t="str">
        <f aca="false">IF(K322&lt;&gt;"ВИРТУАЛЬНЫЙ ВЫБОР","",IF(Z322="✅ ЗАШЛО",W322*(P322-1),IF(Z322="❌ НЕ ЗАШЛО",-W322,IF(Z322="½ ЗАШЛО",W322*(P322-1)/2,IF(Z322="½ НЕ ЗАШЛО",-W322/2,IF(Z322="ВОЗВРАТ",0,""))))))</f>
        <v/>
      </c>
      <c r="AB322" s="18" t="str">
        <f aca="false">IF(AND(K322="ВИРТУАЛЬНЫЙ ВЫБОР",OR(Z322="✅ ЗАШЛО",Z322="❌ НЕ ЗАШЛО",Z322="½ ЗАШЛО",Z322="½ НЕ ЗАШЛО",Z322="ВОЗВРАТ")),W322,"")</f>
        <v/>
      </c>
      <c r="AC322" s="15"/>
      <c r="AD322" s="16" t="str">
        <f aca="false">IF(OR(AC322="",P322=""),"",P322/AC322-1)</f>
        <v/>
      </c>
      <c r="AE322" s="19" t="str">
        <f aca="false">IF(AND(M322=0,OR(Z322="✅ ЗАШЛО",Z322="❌ НЕ ЗАШЛО"),L322&lt;&gt;""),(L322-IF(Z322="✅ ЗАШЛО",1,0))^2,"")</f>
        <v/>
      </c>
      <c r="AF322" s="15"/>
      <c r="AG322" s="15"/>
      <c r="AH322" s="13"/>
      <c r="AI322" s="13"/>
      <c r="AJ322" s="13"/>
      <c r="AK322" s="20" t="str">
        <f aca="false">IF(AH322="","",IF(ABS(AH322+AI322+AJ322-1)&lt;0.000001,"OK","ОШИБКА"))</f>
        <v/>
      </c>
      <c r="AL322" s="13"/>
      <c r="AM322" s="12"/>
      <c r="AN322" s="12"/>
      <c r="AO322" s="12"/>
      <c r="AP322" s="12"/>
      <c r="AQ322" s="18" t="str">
        <f aca="false">IF(A322="","",N(AQ321)+N(AA322))</f>
        <v/>
      </c>
      <c r="AR322" s="18" t="str">
        <f aca="false">IF(AQ322="","",MAX(0,MAX($AQ$8:AQ322))-AQ322)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3"/>
      <c r="M323" s="13"/>
      <c r="N323" s="13"/>
      <c r="O323" s="14" t="str">
        <f aca="false">IF(OR(L323="",L323=0),"",(1-M323)/L323)</f>
        <v/>
      </c>
      <c r="P323" s="15"/>
      <c r="Q323" s="12"/>
      <c r="R323" s="12"/>
      <c r="S323" s="13"/>
      <c r="T323" s="16" t="str">
        <f aca="false">IF(OR(S323="",L323=""),"",L323/(1-M323)-S323)</f>
        <v/>
      </c>
      <c r="U323" s="16" t="str">
        <f aca="false">IF(OR(L323="",P323=""),"",L323*(P323-1)-N323)</f>
        <v/>
      </c>
      <c r="V323" s="13"/>
      <c r="W323" s="17"/>
      <c r="X323" s="12"/>
      <c r="Y323" s="12"/>
      <c r="Z323" s="12"/>
      <c r="AA323" s="18" t="str">
        <f aca="false">IF(K323&lt;&gt;"ВИРТУАЛЬНЫЙ ВЫБОР","",IF(Z323="✅ ЗАШЛО",W323*(P323-1),IF(Z323="❌ НЕ ЗАШЛО",-W323,IF(Z323="½ ЗАШЛО",W323*(P323-1)/2,IF(Z323="½ НЕ ЗАШЛО",-W323/2,IF(Z323="ВОЗВРАТ",0,""))))))</f>
        <v/>
      </c>
      <c r="AB323" s="18" t="str">
        <f aca="false">IF(AND(K323="ВИРТУАЛЬНЫЙ ВЫБОР",OR(Z323="✅ ЗАШЛО",Z323="❌ НЕ ЗАШЛО",Z323="½ ЗАШЛО",Z323="½ НЕ ЗАШЛО",Z323="ВОЗВРАТ")),W323,"")</f>
        <v/>
      </c>
      <c r="AC323" s="15"/>
      <c r="AD323" s="16" t="str">
        <f aca="false">IF(OR(AC323="",P323=""),"",P323/AC323-1)</f>
        <v/>
      </c>
      <c r="AE323" s="19" t="str">
        <f aca="false">IF(AND(M323=0,OR(Z323="✅ ЗАШЛО",Z323="❌ НЕ ЗАШЛО"),L323&lt;&gt;""),(L323-IF(Z323="✅ ЗАШЛО",1,0))^2,"")</f>
        <v/>
      </c>
      <c r="AF323" s="15"/>
      <c r="AG323" s="15"/>
      <c r="AH323" s="13"/>
      <c r="AI323" s="13"/>
      <c r="AJ323" s="13"/>
      <c r="AK323" s="20" t="str">
        <f aca="false">IF(AH323="","",IF(ABS(AH323+AI323+AJ323-1)&lt;0.000001,"OK","ОШИБКА"))</f>
        <v/>
      </c>
      <c r="AL323" s="13"/>
      <c r="AM323" s="12"/>
      <c r="AN323" s="12"/>
      <c r="AO323" s="12"/>
      <c r="AP323" s="12"/>
      <c r="AQ323" s="18" t="str">
        <f aca="false">IF(A323="","",N(AQ322)+N(AA323))</f>
        <v/>
      </c>
      <c r="AR323" s="18" t="str">
        <f aca="false">IF(AQ323="","",MAX(0,MAX($AQ$8:AQ323))-AQ323)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3"/>
      <c r="M324" s="13"/>
      <c r="N324" s="13"/>
      <c r="O324" s="14" t="str">
        <f aca="false">IF(OR(L324="",L324=0),"",(1-M324)/L324)</f>
        <v/>
      </c>
      <c r="P324" s="15"/>
      <c r="Q324" s="12"/>
      <c r="R324" s="12"/>
      <c r="S324" s="13"/>
      <c r="T324" s="16" t="str">
        <f aca="false">IF(OR(S324="",L324=""),"",L324/(1-M324)-S324)</f>
        <v/>
      </c>
      <c r="U324" s="16" t="str">
        <f aca="false">IF(OR(L324="",P324=""),"",L324*(P324-1)-N324)</f>
        <v/>
      </c>
      <c r="V324" s="13"/>
      <c r="W324" s="17"/>
      <c r="X324" s="12"/>
      <c r="Y324" s="12"/>
      <c r="Z324" s="12"/>
      <c r="AA324" s="18" t="str">
        <f aca="false">IF(K324&lt;&gt;"ВИРТУАЛЬНЫЙ ВЫБОР","",IF(Z324="✅ ЗАШЛО",W324*(P324-1),IF(Z324="❌ НЕ ЗАШЛО",-W324,IF(Z324="½ ЗАШЛО",W324*(P324-1)/2,IF(Z324="½ НЕ ЗАШЛО",-W324/2,IF(Z324="ВОЗВРАТ",0,""))))))</f>
        <v/>
      </c>
      <c r="AB324" s="18" t="str">
        <f aca="false">IF(AND(K324="ВИРТУАЛЬНЫЙ ВЫБОР",OR(Z324="✅ ЗАШЛО",Z324="❌ НЕ ЗАШЛО",Z324="½ ЗАШЛО",Z324="½ НЕ ЗАШЛО",Z324="ВОЗВРАТ")),W324,"")</f>
        <v/>
      </c>
      <c r="AC324" s="15"/>
      <c r="AD324" s="16" t="str">
        <f aca="false">IF(OR(AC324="",P324=""),"",P324/AC324-1)</f>
        <v/>
      </c>
      <c r="AE324" s="19" t="str">
        <f aca="false">IF(AND(M324=0,OR(Z324="✅ ЗАШЛО",Z324="❌ НЕ ЗАШЛО"),L324&lt;&gt;""),(L324-IF(Z324="✅ ЗАШЛО",1,0))^2,"")</f>
        <v/>
      </c>
      <c r="AF324" s="15"/>
      <c r="AG324" s="15"/>
      <c r="AH324" s="13"/>
      <c r="AI324" s="13"/>
      <c r="AJ324" s="13"/>
      <c r="AK324" s="20" t="str">
        <f aca="false">IF(AH324="","",IF(ABS(AH324+AI324+AJ324-1)&lt;0.000001,"OK","ОШИБКА"))</f>
        <v/>
      </c>
      <c r="AL324" s="13"/>
      <c r="AM324" s="12"/>
      <c r="AN324" s="12"/>
      <c r="AO324" s="12"/>
      <c r="AP324" s="12"/>
      <c r="AQ324" s="18" t="str">
        <f aca="false">IF(A324="","",N(AQ323)+N(AA324))</f>
        <v/>
      </c>
      <c r="AR324" s="18" t="str">
        <f aca="false">IF(AQ324="","",MAX(0,MAX($AQ$8:AQ324))-AQ324)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3"/>
      <c r="M325" s="13"/>
      <c r="N325" s="13"/>
      <c r="O325" s="14" t="str">
        <f aca="false">IF(OR(L325="",L325=0),"",(1-M325)/L325)</f>
        <v/>
      </c>
      <c r="P325" s="15"/>
      <c r="Q325" s="12"/>
      <c r="R325" s="12"/>
      <c r="S325" s="13"/>
      <c r="T325" s="16" t="str">
        <f aca="false">IF(OR(S325="",L325=""),"",L325/(1-M325)-S325)</f>
        <v/>
      </c>
      <c r="U325" s="16" t="str">
        <f aca="false">IF(OR(L325="",P325=""),"",L325*(P325-1)-N325)</f>
        <v/>
      </c>
      <c r="V325" s="13"/>
      <c r="W325" s="17"/>
      <c r="X325" s="12"/>
      <c r="Y325" s="12"/>
      <c r="Z325" s="12"/>
      <c r="AA325" s="18" t="str">
        <f aca="false">IF(K325&lt;&gt;"ВИРТУАЛЬНЫЙ ВЫБОР","",IF(Z325="✅ ЗАШЛО",W325*(P325-1),IF(Z325="❌ НЕ ЗАШЛО",-W325,IF(Z325="½ ЗАШЛО",W325*(P325-1)/2,IF(Z325="½ НЕ ЗАШЛО",-W325/2,IF(Z325="ВОЗВРАТ",0,""))))))</f>
        <v/>
      </c>
      <c r="AB325" s="18" t="str">
        <f aca="false">IF(AND(K325="ВИРТУАЛЬНЫЙ ВЫБОР",OR(Z325="✅ ЗАШЛО",Z325="❌ НЕ ЗАШЛО",Z325="½ ЗАШЛО",Z325="½ НЕ ЗАШЛО",Z325="ВОЗВРАТ")),W325,"")</f>
        <v/>
      </c>
      <c r="AC325" s="15"/>
      <c r="AD325" s="16" t="str">
        <f aca="false">IF(OR(AC325="",P325=""),"",P325/AC325-1)</f>
        <v/>
      </c>
      <c r="AE325" s="19" t="str">
        <f aca="false">IF(AND(M325=0,OR(Z325="✅ ЗАШЛО",Z325="❌ НЕ ЗАШЛО"),L325&lt;&gt;""),(L325-IF(Z325="✅ ЗАШЛО",1,0))^2,"")</f>
        <v/>
      </c>
      <c r="AF325" s="15"/>
      <c r="AG325" s="15"/>
      <c r="AH325" s="13"/>
      <c r="AI325" s="13"/>
      <c r="AJ325" s="13"/>
      <c r="AK325" s="20" t="str">
        <f aca="false">IF(AH325="","",IF(ABS(AH325+AI325+AJ325-1)&lt;0.000001,"OK","ОШИБКА"))</f>
        <v/>
      </c>
      <c r="AL325" s="13"/>
      <c r="AM325" s="12"/>
      <c r="AN325" s="12"/>
      <c r="AO325" s="12"/>
      <c r="AP325" s="12"/>
      <c r="AQ325" s="18" t="str">
        <f aca="false">IF(A325="","",N(AQ324)+N(AA325))</f>
        <v/>
      </c>
      <c r="AR325" s="18" t="str">
        <f aca="false">IF(AQ325="","",MAX(0,MAX($AQ$8:AQ325))-AQ325)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3"/>
      <c r="M326" s="13"/>
      <c r="N326" s="13"/>
      <c r="O326" s="14" t="str">
        <f aca="false">IF(OR(L326="",L326=0),"",(1-M326)/L326)</f>
        <v/>
      </c>
      <c r="P326" s="15"/>
      <c r="Q326" s="12"/>
      <c r="R326" s="12"/>
      <c r="S326" s="13"/>
      <c r="T326" s="16" t="str">
        <f aca="false">IF(OR(S326="",L326=""),"",L326/(1-M326)-S326)</f>
        <v/>
      </c>
      <c r="U326" s="16" t="str">
        <f aca="false">IF(OR(L326="",P326=""),"",L326*(P326-1)-N326)</f>
        <v/>
      </c>
      <c r="V326" s="13"/>
      <c r="W326" s="17"/>
      <c r="X326" s="12"/>
      <c r="Y326" s="12"/>
      <c r="Z326" s="12"/>
      <c r="AA326" s="18" t="str">
        <f aca="false">IF(K326&lt;&gt;"ВИРТУАЛЬНЫЙ ВЫБОР","",IF(Z326="✅ ЗАШЛО",W326*(P326-1),IF(Z326="❌ НЕ ЗАШЛО",-W326,IF(Z326="½ ЗАШЛО",W326*(P326-1)/2,IF(Z326="½ НЕ ЗАШЛО",-W326/2,IF(Z326="ВОЗВРАТ",0,""))))))</f>
        <v/>
      </c>
      <c r="AB326" s="18" t="str">
        <f aca="false">IF(AND(K326="ВИРТУАЛЬНЫЙ ВЫБОР",OR(Z326="✅ ЗАШЛО",Z326="❌ НЕ ЗАШЛО",Z326="½ ЗАШЛО",Z326="½ НЕ ЗАШЛО",Z326="ВОЗВРАТ")),W326,"")</f>
        <v/>
      </c>
      <c r="AC326" s="15"/>
      <c r="AD326" s="16" t="str">
        <f aca="false">IF(OR(AC326="",P326=""),"",P326/AC326-1)</f>
        <v/>
      </c>
      <c r="AE326" s="19" t="str">
        <f aca="false">IF(AND(M326=0,OR(Z326="✅ ЗАШЛО",Z326="❌ НЕ ЗАШЛО"),L326&lt;&gt;""),(L326-IF(Z326="✅ ЗАШЛО",1,0))^2,"")</f>
        <v/>
      </c>
      <c r="AF326" s="15"/>
      <c r="AG326" s="15"/>
      <c r="AH326" s="13"/>
      <c r="AI326" s="13"/>
      <c r="AJ326" s="13"/>
      <c r="AK326" s="20" t="str">
        <f aca="false">IF(AH326="","",IF(ABS(AH326+AI326+AJ326-1)&lt;0.000001,"OK","ОШИБКА"))</f>
        <v/>
      </c>
      <c r="AL326" s="13"/>
      <c r="AM326" s="12"/>
      <c r="AN326" s="12"/>
      <c r="AO326" s="12"/>
      <c r="AP326" s="12"/>
      <c r="AQ326" s="18" t="str">
        <f aca="false">IF(A326="","",N(AQ325)+N(AA326))</f>
        <v/>
      </c>
      <c r="AR326" s="18" t="str">
        <f aca="false">IF(AQ326="","",MAX(0,MAX($AQ$8:AQ326))-AQ326)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3"/>
      <c r="M327" s="13"/>
      <c r="N327" s="13"/>
      <c r="O327" s="14" t="str">
        <f aca="false">IF(OR(L327="",L327=0),"",(1-M327)/L327)</f>
        <v/>
      </c>
      <c r="P327" s="15"/>
      <c r="Q327" s="12"/>
      <c r="R327" s="12"/>
      <c r="S327" s="13"/>
      <c r="T327" s="16" t="str">
        <f aca="false">IF(OR(S327="",L327=""),"",L327/(1-M327)-S327)</f>
        <v/>
      </c>
      <c r="U327" s="16" t="str">
        <f aca="false">IF(OR(L327="",P327=""),"",L327*(P327-1)-N327)</f>
        <v/>
      </c>
      <c r="V327" s="13"/>
      <c r="W327" s="17"/>
      <c r="X327" s="12"/>
      <c r="Y327" s="12"/>
      <c r="Z327" s="12"/>
      <c r="AA327" s="18" t="str">
        <f aca="false">IF(K327&lt;&gt;"ВИРТУАЛЬНЫЙ ВЫБОР","",IF(Z327="✅ ЗАШЛО",W327*(P327-1),IF(Z327="❌ НЕ ЗАШЛО",-W327,IF(Z327="½ ЗАШЛО",W327*(P327-1)/2,IF(Z327="½ НЕ ЗАШЛО",-W327/2,IF(Z327="ВОЗВРАТ",0,""))))))</f>
        <v/>
      </c>
      <c r="AB327" s="18" t="str">
        <f aca="false">IF(AND(K327="ВИРТУАЛЬНЫЙ ВЫБОР",OR(Z327="✅ ЗАШЛО",Z327="❌ НЕ ЗАШЛО",Z327="½ ЗАШЛО",Z327="½ НЕ ЗАШЛО",Z327="ВОЗВРАТ")),W327,"")</f>
        <v/>
      </c>
      <c r="AC327" s="15"/>
      <c r="AD327" s="16" t="str">
        <f aca="false">IF(OR(AC327="",P327=""),"",P327/AC327-1)</f>
        <v/>
      </c>
      <c r="AE327" s="19" t="str">
        <f aca="false">IF(AND(M327=0,OR(Z327="✅ ЗАШЛО",Z327="❌ НЕ ЗАШЛО"),L327&lt;&gt;""),(L327-IF(Z327="✅ ЗАШЛО",1,0))^2,"")</f>
        <v/>
      </c>
      <c r="AF327" s="15"/>
      <c r="AG327" s="15"/>
      <c r="AH327" s="13"/>
      <c r="AI327" s="13"/>
      <c r="AJ327" s="13"/>
      <c r="AK327" s="20" t="str">
        <f aca="false">IF(AH327="","",IF(ABS(AH327+AI327+AJ327-1)&lt;0.000001,"OK","ОШИБКА"))</f>
        <v/>
      </c>
      <c r="AL327" s="13"/>
      <c r="AM327" s="12"/>
      <c r="AN327" s="12"/>
      <c r="AO327" s="12"/>
      <c r="AP327" s="12"/>
      <c r="AQ327" s="18" t="str">
        <f aca="false">IF(A327="","",N(AQ326)+N(AA327))</f>
        <v/>
      </c>
      <c r="AR327" s="18" t="str">
        <f aca="false">IF(AQ327="","",MAX(0,MAX($AQ$8:AQ327))-AQ327)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3"/>
      <c r="M328" s="13"/>
      <c r="N328" s="13"/>
      <c r="O328" s="14" t="str">
        <f aca="false">IF(OR(L328="",L328=0),"",(1-M328)/L328)</f>
        <v/>
      </c>
      <c r="P328" s="15"/>
      <c r="Q328" s="12"/>
      <c r="R328" s="12"/>
      <c r="S328" s="13"/>
      <c r="T328" s="16" t="str">
        <f aca="false">IF(OR(S328="",L328=""),"",L328/(1-M328)-S328)</f>
        <v/>
      </c>
      <c r="U328" s="16" t="str">
        <f aca="false">IF(OR(L328="",P328=""),"",L328*(P328-1)-N328)</f>
        <v/>
      </c>
      <c r="V328" s="13"/>
      <c r="W328" s="17"/>
      <c r="X328" s="12"/>
      <c r="Y328" s="12"/>
      <c r="Z328" s="12"/>
      <c r="AA328" s="18" t="str">
        <f aca="false">IF(K328&lt;&gt;"ВИРТУАЛЬНЫЙ ВЫБОР","",IF(Z328="✅ ЗАШЛО",W328*(P328-1),IF(Z328="❌ НЕ ЗАШЛО",-W328,IF(Z328="½ ЗАШЛО",W328*(P328-1)/2,IF(Z328="½ НЕ ЗАШЛО",-W328/2,IF(Z328="ВОЗВРАТ",0,""))))))</f>
        <v/>
      </c>
      <c r="AB328" s="18" t="str">
        <f aca="false">IF(AND(K328="ВИРТУАЛЬНЫЙ ВЫБОР",OR(Z328="✅ ЗАШЛО",Z328="❌ НЕ ЗАШЛО",Z328="½ ЗАШЛО",Z328="½ НЕ ЗАШЛО",Z328="ВОЗВРАТ")),W328,"")</f>
        <v/>
      </c>
      <c r="AC328" s="15"/>
      <c r="AD328" s="16" t="str">
        <f aca="false">IF(OR(AC328="",P328=""),"",P328/AC328-1)</f>
        <v/>
      </c>
      <c r="AE328" s="19" t="str">
        <f aca="false">IF(AND(M328=0,OR(Z328="✅ ЗАШЛО",Z328="❌ НЕ ЗАШЛО"),L328&lt;&gt;""),(L328-IF(Z328="✅ ЗАШЛО",1,0))^2,"")</f>
        <v/>
      </c>
      <c r="AF328" s="15"/>
      <c r="AG328" s="15"/>
      <c r="AH328" s="13"/>
      <c r="AI328" s="13"/>
      <c r="AJ328" s="13"/>
      <c r="AK328" s="20" t="str">
        <f aca="false">IF(AH328="","",IF(ABS(AH328+AI328+AJ328-1)&lt;0.000001,"OK","ОШИБКА"))</f>
        <v/>
      </c>
      <c r="AL328" s="13"/>
      <c r="AM328" s="12"/>
      <c r="AN328" s="12"/>
      <c r="AO328" s="12"/>
      <c r="AP328" s="12"/>
      <c r="AQ328" s="18" t="str">
        <f aca="false">IF(A328="","",N(AQ327)+N(AA328))</f>
        <v/>
      </c>
      <c r="AR328" s="18" t="str">
        <f aca="false">IF(AQ328="","",MAX(0,MAX($AQ$8:AQ328))-AQ328)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3"/>
      <c r="M329" s="13"/>
      <c r="N329" s="13"/>
      <c r="O329" s="14" t="str">
        <f aca="false">IF(OR(L329="",L329=0),"",(1-M329)/L329)</f>
        <v/>
      </c>
      <c r="P329" s="15"/>
      <c r="Q329" s="12"/>
      <c r="R329" s="12"/>
      <c r="S329" s="13"/>
      <c r="T329" s="16" t="str">
        <f aca="false">IF(OR(S329="",L329=""),"",L329/(1-M329)-S329)</f>
        <v/>
      </c>
      <c r="U329" s="16" t="str">
        <f aca="false">IF(OR(L329="",P329=""),"",L329*(P329-1)-N329)</f>
        <v/>
      </c>
      <c r="V329" s="13"/>
      <c r="W329" s="17"/>
      <c r="X329" s="12"/>
      <c r="Y329" s="12"/>
      <c r="Z329" s="12"/>
      <c r="AA329" s="18" t="str">
        <f aca="false">IF(K329&lt;&gt;"ВИРТУАЛЬНЫЙ ВЫБОР","",IF(Z329="✅ ЗАШЛО",W329*(P329-1),IF(Z329="❌ НЕ ЗАШЛО",-W329,IF(Z329="½ ЗАШЛО",W329*(P329-1)/2,IF(Z329="½ НЕ ЗАШЛО",-W329/2,IF(Z329="ВОЗВРАТ",0,""))))))</f>
        <v/>
      </c>
      <c r="AB329" s="18" t="str">
        <f aca="false">IF(AND(K329="ВИРТУАЛЬНЫЙ ВЫБОР",OR(Z329="✅ ЗАШЛО",Z329="❌ НЕ ЗАШЛО",Z329="½ ЗАШЛО",Z329="½ НЕ ЗАШЛО",Z329="ВОЗВРАТ")),W329,"")</f>
        <v/>
      </c>
      <c r="AC329" s="15"/>
      <c r="AD329" s="16" t="str">
        <f aca="false">IF(OR(AC329="",P329=""),"",P329/AC329-1)</f>
        <v/>
      </c>
      <c r="AE329" s="19" t="str">
        <f aca="false">IF(AND(M329=0,OR(Z329="✅ ЗАШЛО",Z329="❌ НЕ ЗАШЛО"),L329&lt;&gt;""),(L329-IF(Z329="✅ ЗАШЛО",1,0))^2,"")</f>
        <v/>
      </c>
      <c r="AF329" s="15"/>
      <c r="AG329" s="15"/>
      <c r="AH329" s="13"/>
      <c r="AI329" s="13"/>
      <c r="AJ329" s="13"/>
      <c r="AK329" s="20" t="str">
        <f aca="false">IF(AH329="","",IF(ABS(AH329+AI329+AJ329-1)&lt;0.000001,"OK","ОШИБКА"))</f>
        <v/>
      </c>
      <c r="AL329" s="13"/>
      <c r="AM329" s="12"/>
      <c r="AN329" s="12"/>
      <c r="AO329" s="12"/>
      <c r="AP329" s="12"/>
      <c r="AQ329" s="18" t="str">
        <f aca="false">IF(A329="","",N(AQ328)+N(AA329))</f>
        <v/>
      </c>
      <c r="AR329" s="18" t="str">
        <f aca="false">IF(AQ329="","",MAX(0,MAX($AQ$8:AQ329))-AQ329)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3"/>
      <c r="M330" s="13"/>
      <c r="N330" s="13"/>
      <c r="O330" s="14" t="str">
        <f aca="false">IF(OR(L330="",L330=0),"",(1-M330)/L330)</f>
        <v/>
      </c>
      <c r="P330" s="15"/>
      <c r="Q330" s="12"/>
      <c r="R330" s="12"/>
      <c r="S330" s="13"/>
      <c r="T330" s="16" t="str">
        <f aca="false">IF(OR(S330="",L330=""),"",L330/(1-M330)-S330)</f>
        <v/>
      </c>
      <c r="U330" s="16" t="str">
        <f aca="false">IF(OR(L330="",P330=""),"",L330*(P330-1)-N330)</f>
        <v/>
      </c>
      <c r="V330" s="13"/>
      <c r="W330" s="17"/>
      <c r="X330" s="12"/>
      <c r="Y330" s="12"/>
      <c r="Z330" s="12"/>
      <c r="AA330" s="18" t="str">
        <f aca="false">IF(K330&lt;&gt;"ВИРТУАЛЬНЫЙ ВЫБОР","",IF(Z330="✅ ЗАШЛО",W330*(P330-1),IF(Z330="❌ НЕ ЗАШЛО",-W330,IF(Z330="½ ЗАШЛО",W330*(P330-1)/2,IF(Z330="½ НЕ ЗАШЛО",-W330/2,IF(Z330="ВОЗВРАТ",0,""))))))</f>
        <v/>
      </c>
      <c r="AB330" s="18" t="str">
        <f aca="false">IF(AND(K330="ВИРТУАЛЬНЫЙ ВЫБОР",OR(Z330="✅ ЗАШЛО",Z330="❌ НЕ ЗАШЛО",Z330="½ ЗАШЛО",Z330="½ НЕ ЗАШЛО",Z330="ВОЗВРАТ")),W330,"")</f>
        <v/>
      </c>
      <c r="AC330" s="15"/>
      <c r="AD330" s="16" t="str">
        <f aca="false">IF(OR(AC330="",P330=""),"",P330/AC330-1)</f>
        <v/>
      </c>
      <c r="AE330" s="19" t="str">
        <f aca="false">IF(AND(M330=0,OR(Z330="✅ ЗАШЛО",Z330="❌ НЕ ЗАШЛО"),L330&lt;&gt;""),(L330-IF(Z330="✅ ЗАШЛО",1,0))^2,"")</f>
        <v/>
      </c>
      <c r="AF330" s="15"/>
      <c r="AG330" s="15"/>
      <c r="AH330" s="13"/>
      <c r="AI330" s="13"/>
      <c r="AJ330" s="13"/>
      <c r="AK330" s="20" t="str">
        <f aca="false">IF(AH330="","",IF(ABS(AH330+AI330+AJ330-1)&lt;0.000001,"OK","ОШИБКА"))</f>
        <v/>
      </c>
      <c r="AL330" s="13"/>
      <c r="AM330" s="12"/>
      <c r="AN330" s="12"/>
      <c r="AO330" s="12"/>
      <c r="AP330" s="12"/>
      <c r="AQ330" s="18" t="str">
        <f aca="false">IF(A330="","",N(AQ329)+N(AA330))</f>
        <v/>
      </c>
      <c r="AR330" s="18" t="str">
        <f aca="false">IF(AQ330="","",MAX(0,MAX($AQ$8:AQ330))-AQ330)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3"/>
      <c r="M331" s="13"/>
      <c r="N331" s="13"/>
      <c r="O331" s="14" t="str">
        <f aca="false">IF(OR(L331="",L331=0),"",(1-M331)/L331)</f>
        <v/>
      </c>
      <c r="P331" s="15"/>
      <c r="Q331" s="12"/>
      <c r="R331" s="12"/>
      <c r="S331" s="13"/>
      <c r="T331" s="16" t="str">
        <f aca="false">IF(OR(S331="",L331=""),"",L331/(1-M331)-S331)</f>
        <v/>
      </c>
      <c r="U331" s="16" t="str">
        <f aca="false">IF(OR(L331="",P331=""),"",L331*(P331-1)-N331)</f>
        <v/>
      </c>
      <c r="V331" s="13"/>
      <c r="W331" s="17"/>
      <c r="X331" s="12"/>
      <c r="Y331" s="12"/>
      <c r="Z331" s="12"/>
      <c r="AA331" s="18" t="str">
        <f aca="false">IF(K331&lt;&gt;"ВИРТУАЛЬНЫЙ ВЫБОР","",IF(Z331="✅ ЗАШЛО",W331*(P331-1),IF(Z331="❌ НЕ ЗАШЛО",-W331,IF(Z331="½ ЗАШЛО",W331*(P331-1)/2,IF(Z331="½ НЕ ЗАШЛО",-W331/2,IF(Z331="ВОЗВРАТ",0,""))))))</f>
        <v/>
      </c>
      <c r="AB331" s="18" t="str">
        <f aca="false">IF(AND(K331="ВИРТУАЛЬНЫЙ ВЫБОР",OR(Z331="✅ ЗАШЛО",Z331="❌ НЕ ЗАШЛО",Z331="½ ЗАШЛО",Z331="½ НЕ ЗАШЛО",Z331="ВОЗВРАТ")),W331,"")</f>
        <v/>
      </c>
      <c r="AC331" s="15"/>
      <c r="AD331" s="16" t="str">
        <f aca="false">IF(OR(AC331="",P331=""),"",P331/AC331-1)</f>
        <v/>
      </c>
      <c r="AE331" s="19" t="str">
        <f aca="false">IF(AND(M331=0,OR(Z331="✅ ЗАШЛО",Z331="❌ НЕ ЗАШЛО"),L331&lt;&gt;""),(L331-IF(Z331="✅ ЗАШЛО",1,0))^2,"")</f>
        <v/>
      </c>
      <c r="AF331" s="15"/>
      <c r="AG331" s="15"/>
      <c r="AH331" s="13"/>
      <c r="AI331" s="13"/>
      <c r="AJ331" s="13"/>
      <c r="AK331" s="20" t="str">
        <f aca="false">IF(AH331="","",IF(ABS(AH331+AI331+AJ331-1)&lt;0.000001,"OK","ОШИБКА"))</f>
        <v/>
      </c>
      <c r="AL331" s="13"/>
      <c r="AM331" s="12"/>
      <c r="AN331" s="12"/>
      <c r="AO331" s="12"/>
      <c r="AP331" s="12"/>
      <c r="AQ331" s="18" t="str">
        <f aca="false">IF(A331="","",N(AQ330)+N(AA331))</f>
        <v/>
      </c>
      <c r="AR331" s="18" t="str">
        <f aca="false">IF(AQ331="","",MAX(0,MAX($AQ$8:AQ331))-AQ331)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3"/>
      <c r="M332" s="13"/>
      <c r="N332" s="13"/>
      <c r="O332" s="14" t="str">
        <f aca="false">IF(OR(L332="",L332=0),"",(1-M332)/L332)</f>
        <v/>
      </c>
      <c r="P332" s="15"/>
      <c r="Q332" s="12"/>
      <c r="R332" s="12"/>
      <c r="S332" s="13"/>
      <c r="T332" s="16" t="str">
        <f aca="false">IF(OR(S332="",L332=""),"",L332/(1-M332)-S332)</f>
        <v/>
      </c>
      <c r="U332" s="16" t="str">
        <f aca="false">IF(OR(L332="",P332=""),"",L332*(P332-1)-N332)</f>
        <v/>
      </c>
      <c r="V332" s="13"/>
      <c r="W332" s="17"/>
      <c r="X332" s="12"/>
      <c r="Y332" s="12"/>
      <c r="Z332" s="12"/>
      <c r="AA332" s="18" t="str">
        <f aca="false">IF(K332&lt;&gt;"ВИРТУАЛЬНЫЙ ВЫБОР","",IF(Z332="✅ ЗАШЛО",W332*(P332-1),IF(Z332="❌ НЕ ЗАШЛО",-W332,IF(Z332="½ ЗАШЛО",W332*(P332-1)/2,IF(Z332="½ НЕ ЗАШЛО",-W332/2,IF(Z332="ВОЗВРАТ",0,""))))))</f>
        <v/>
      </c>
      <c r="AB332" s="18" t="str">
        <f aca="false">IF(AND(K332="ВИРТУАЛЬНЫЙ ВЫБОР",OR(Z332="✅ ЗАШЛО",Z332="❌ НЕ ЗАШЛО",Z332="½ ЗАШЛО",Z332="½ НЕ ЗАШЛО",Z332="ВОЗВРАТ")),W332,"")</f>
        <v/>
      </c>
      <c r="AC332" s="15"/>
      <c r="AD332" s="16" t="str">
        <f aca="false">IF(OR(AC332="",P332=""),"",P332/AC332-1)</f>
        <v/>
      </c>
      <c r="AE332" s="19" t="str">
        <f aca="false">IF(AND(M332=0,OR(Z332="✅ ЗАШЛО",Z332="❌ НЕ ЗАШЛО"),L332&lt;&gt;""),(L332-IF(Z332="✅ ЗАШЛО",1,0))^2,"")</f>
        <v/>
      </c>
      <c r="AF332" s="15"/>
      <c r="AG332" s="15"/>
      <c r="AH332" s="13"/>
      <c r="AI332" s="13"/>
      <c r="AJ332" s="13"/>
      <c r="AK332" s="20" t="str">
        <f aca="false">IF(AH332="","",IF(ABS(AH332+AI332+AJ332-1)&lt;0.000001,"OK","ОШИБКА"))</f>
        <v/>
      </c>
      <c r="AL332" s="13"/>
      <c r="AM332" s="12"/>
      <c r="AN332" s="12"/>
      <c r="AO332" s="12"/>
      <c r="AP332" s="12"/>
      <c r="AQ332" s="18" t="str">
        <f aca="false">IF(A332="","",N(AQ331)+N(AA332))</f>
        <v/>
      </c>
      <c r="AR332" s="18" t="str">
        <f aca="false">IF(AQ332="","",MAX(0,MAX($AQ$8:AQ332))-AQ332)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3"/>
      <c r="M333" s="13"/>
      <c r="N333" s="13"/>
      <c r="O333" s="14" t="str">
        <f aca="false">IF(OR(L333="",L333=0),"",(1-M333)/L333)</f>
        <v/>
      </c>
      <c r="P333" s="15"/>
      <c r="Q333" s="12"/>
      <c r="R333" s="12"/>
      <c r="S333" s="13"/>
      <c r="T333" s="16" t="str">
        <f aca="false">IF(OR(S333="",L333=""),"",L333/(1-M333)-S333)</f>
        <v/>
      </c>
      <c r="U333" s="16" t="str">
        <f aca="false">IF(OR(L333="",P333=""),"",L333*(P333-1)-N333)</f>
        <v/>
      </c>
      <c r="V333" s="13"/>
      <c r="W333" s="17"/>
      <c r="X333" s="12"/>
      <c r="Y333" s="12"/>
      <c r="Z333" s="12"/>
      <c r="AA333" s="18" t="str">
        <f aca="false">IF(K333&lt;&gt;"ВИРТУАЛЬНЫЙ ВЫБОР","",IF(Z333="✅ ЗАШЛО",W333*(P333-1),IF(Z333="❌ НЕ ЗАШЛО",-W333,IF(Z333="½ ЗАШЛО",W333*(P333-1)/2,IF(Z333="½ НЕ ЗАШЛО",-W333/2,IF(Z333="ВОЗВРАТ",0,""))))))</f>
        <v/>
      </c>
      <c r="AB333" s="18" t="str">
        <f aca="false">IF(AND(K333="ВИРТУАЛЬНЫЙ ВЫБОР",OR(Z333="✅ ЗАШЛО",Z333="❌ НЕ ЗАШЛО",Z333="½ ЗАШЛО",Z333="½ НЕ ЗАШЛО",Z333="ВОЗВРАТ")),W333,"")</f>
        <v/>
      </c>
      <c r="AC333" s="15"/>
      <c r="AD333" s="16" t="str">
        <f aca="false">IF(OR(AC333="",P333=""),"",P333/AC333-1)</f>
        <v/>
      </c>
      <c r="AE333" s="19" t="str">
        <f aca="false">IF(AND(M333=0,OR(Z333="✅ ЗАШЛО",Z333="❌ НЕ ЗАШЛО"),L333&lt;&gt;""),(L333-IF(Z333="✅ ЗАШЛО",1,0))^2,"")</f>
        <v/>
      </c>
      <c r="AF333" s="15"/>
      <c r="AG333" s="15"/>
      <c r="AH333" s="13"/>
      <c r="AI333" s="13"/>
      <c r="AJ333" s="13"/>
      <c r="AK333" s="20" t="str">
        <f aca="false">IF(AH333="","",IF(ABS(AH333+AI333+AJ333-1)&lt;0.000001,"OK","ОШИБКА"))</f>
        <v/>
      </c>
      <c r="AL333" s="13"/>
      <c r="AM333" s="12"/>
      <c r="AN333" s="12"/>
      <c r="AO333" s="12"/>
      <c r="AP333" s="12"/>
      <c r="AQ333" s="18" t="str">
        <f aca="false">IF(A333="","",N(AQ332)+N(AA333))</f>
        <v/>
      </c>
      <c r="AR333" s="18" t="str">
        <f aca="false">IF(AQ333="","",MAX(0,MAX($AQ$8:AQ333))-AQ333)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3"/>
      <c r="M334" s="13"/>
      <c r="N334" s="13"/>
      <c r="O334" s="14" t="str">
        <f aca="false">IF(OR(L334="",L334=0),"",(1-M334)/L334)</f>
        <v/>
      </c>
      <c r="P334" s="15"/>
      <c r="Q334" s="12"/>
      <c r="R334" s="12"/>
      <c r="S334" s="13"/>
      <c r="T334" s="16" t="str">
        <f aca="false">IF(OR(S334="",L334=""),"",L334/(1-M334)-S334)</f>
        <v/>
      </c>
      <c r="U334" s="16" t="str">
        <f aca="false">IF(OR(L334="",P334=""),"",L334*(P334-1)-N334)</f>
        <v/>
      </c>
      <c r="V334" s="13"/>
      <c r="W334" s="17"/>
      <c r="X334" s="12"/>
      <c r="Y334" s="12"/>
      <c r="Z334" s="12"/>
      <c r="AA334" s="18" t="str">
        <f aca="false">IF(K334&lt;&gt;"ВИРТУАЛЬНЫЙ ВЫБОР","",IF(Z334="✅ ЗАШЛО",W334*(P334-1),IF(Z334="❌ НЕ ЗАШЛО",-W334,IF(Z334="½ ЗАШЛО",W334*(P334-1)/2,IF(Z334="½ НЕ ЗАШЛО",-W334/2,IF(Z334="ВОЗВРАТ",0,""))))))</f>
        <v/>
      </c>
      <c r="AB334" s="18" t="str">
        <f aca="false">IF(AND(K334="ВИРТУАЛЬНЫЙ ВЫБОР",OR(Z334="✅ ЗАШЛО",Z334="❌ НЕ ЗАШЛО",Z334="½ ЗАШЛО",Z334="½ НЕ ЗАШЛО",Z334="ВОЗВРАТ")),W334,"")</f>
        <v/>
      </c>
      <c r="AC334" s="15"/>
      <c r="AD334" s="16" t="str">
        <f aca="false">IF(OR(AC334="",P334=""),"",P334/AC334-1)</f>
        <v/>
      </c>
      <c r="AE334" s="19" t="str">
        <f aca="false">IF(AND(M334=0,OR(Z334="✅ ЗАШЛО",Z334="❌ НЕ ЗАШЛО"),L334&lt;&gt;""),(L334-IF(Z334="✅ ЗАШЛО",1,0))^2,"")</f>
        <v/>
      </c>
      <c r="AF334" s="15"/>
      <c r="AG334" s="15"/>
      <c r="AH334" s="13"/>
      <c r="AI334" s="13"/>
      <c r="AJ334" s="13"/>
      <c r="AK334" s="20" t="str">
        <f aca="false">IF(AH334="","",IF(ABS(AH334+AI334+AJ334-1)&lt;0.000001,"OK","ОШИБКА"))</f>
        <v/>
      </c>
      <c r="AL334" s="13"/>
      <c r="AM334" s="12"/>
      <c r="AN334" s="12"/>
      <c r="AO334" s="12"/>
      <c r="AP334" s="12"/>
      <c r="AQ334" s="18" t="str">
        <f aca="false">IF(A334="","",N(AQ333)+N(AA334))</f>
        <v/>
      </c>
      <c r="AR334" s="18" t="str">
        <f aca="false">IF(AQ334="","",MAX(0,MAX($AQ$8:AQ334))-AQ334)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3"/>
      <c r="M335" s="13"/>
      <c r="N335" s="13"/>
      <c r="O335" s="14" t="str">
        <f aca="false">IF(OR(L335="",L335=0),"",(1-M335)/L335)</f>
        <v/>
      </c>
      <c r="P335" s="15"/>
      <c r="Q335" s="12"/>
      <c r="R335" s="12"/>
      <c r="S335" s="13"/>
      <c r="T335" s="16" t="str">
        <f aca="false">IF(OR(S335="",L335=""),"",L335/(1-M335)-S335)</f>
        <v/>
      </c>
      <c r="U335" s="16" t="str">
        <f aca="false">IF(OR(L335="",P335=""),"",L335*(P335-1)-N335)</f>
        <v/>
      </c>
      <c r="V335" s="13"/>
      <c r="W335" s="17"/>
      <c r="X335" s="12"/>
      <c r="Y335" s="12"/>
      <c r="Z335" s="12"/>
      <c r="AA335" s="18" t="str">
        <f aca="false">IF(K335&lt;&gt;"ВИРТУАЛЬНЫЙ ВЫБОР","",IF(Z335="✅ ЗАШЛО",W335*(P335-1),IF(Z335="❌ НЕ ЗАШЛО",-W335,IF(Z335="½ ЗАШЛО",W335*(P335-1)/2,IF(Z335="½ НЕ ЗАШЛО",-W335/2,IF(Z335="ВОЗВРАТ",0,""))))))</f>
        <v/>
      </c>
      <c r="AB335" s="18" t="str">
        <f aca="false">IF(AND(K335="ВИРТУАЛЬНЫЙ ВЫБОР",OR(Z335="✅ ЗАШЛО",Z335="❌ НЕ ЗАШЛО",Z335="½ ЗАШЛО",Z335="½ НЕ ЗАШЛО",Z335="ВОЗВРАТ")),W335,"")</f>
        <v/>
      </c>
      <c r="AC335" s="15"/>
      <c r="AD335" s="16" t="str">
        <f aca="false">IF(OR(AC335="",P335=""),"",P335/AC335-1)</f>
        <v/>
      </c>
      <c r="AE335" s="19" t="str">
        <f aca="false">IF(AND(M335=0,OR(Z335="✅ ЗАШЛО",Z335="❌ НЕ ЗАШЛО"),L335&lt;&gt;""),(L335-IF(Z335="✅ ЗАШЛО",1,0))^2,"")</f>
        <v/>
      </c>
      <c r="AF335" s="15"/>
      <c r="AG335" s="15"/>
      <c r="AH335" s="13"/>
      <c r="AI335" s="13"/>
      <c r="AJ335" s="13"/>
      <c r="AK335" s="20" t="str">
        <f aca="false">IF(AH335="","",IF(ABS(AH335+AI335+AJ335-1)&lt;0.000001,"OK","ОШИБКА"))</f>
        <v/>
      </c>
      <c r="AL335" s="13"/>
      <c r="AM335" s="12"/>
      <c r="AN335" s="12"/>
      <c r="AO335" s="12"/>
      <c r="AP335" s="12"/>
      <c r="AQ335" s="18" t="str">
        <f aca="false">IF(A335="","",N(AQ334)+N(AA335))</f>
        <v/>
      </c>
      <c r="AR335" s="18" t="str">
        <f aca="false">IF(AQ335="","",MAX(0,MAX($AQ$8:AQ335))-AQ335)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3"/>
      <c r="M336" s="13"/>
      <c r="N336" s="13"/>
      <c r="O336" s="14" t="str">
        <f aca="false">IF(OR(L336="",L336=0),"",(1-M336)/L336)</f>
        <v/>
      </c>
      <c r="P336" s="15"/>
      <c r="Q336" s="12"/>
      <c r="R336" s="12"/>
      <c r="S336" s="13"/>
      <c r="T336" s="16" t="str">
        <f aca="false">IF(OR(S336="",L336=""),"",L336/(1-M336)-S336)</f>
        <v/>
      </c>
      <c r="U336" s="16" t="str">
        <f aca="false">IF(OR(L336="",P336=""),"",L336*(P336-1)-N336)</f>
        <v/>
      </c>
      <c r="V336" s="13"/>
      <c r="W336" s="17"/>
      <c r="X336" s="12"/>
      <c r="Y336" s="12"/>
      <c r="Z336" s="12"/>
      <c r="AA336" s="18" t="str">
        <f aca="false">IF(K336&lt;&gt;"ВИРТУАЛЬНЫЙ ВЫБОР","",IF(Z336="✅ ЗАШЛО",W336*(P336-1),IF(Z336="❌ НЕ ЗАШЛО",-W336,IF(Z336="½ ЗАШЛО",W336*(P336-1)/2,IF(Z336="½ НЕ ЗАШЛО",-W336/2,IF(Z336="ВОЗВРАТ",0,""))))))</f>
        <v/>
      </c>
      <c r="AB336" s="18" t="str">
        <f aca="false">IF(AND(K336="ВИРТУАЛЬНЫЙ ВЫБОР",OR(Z336="✅ ЗАШЛО",Z336="❌ НЕ ЗАШЛО",Z336="½ ЗАШЛО",Z336="½ НЕ ЗАШЛО",Z336="ВОЗВРАТ")),W336,"")</f>
        <v/>
      </c>
      <c r="AC336" s="15"/>
      <c r="AD336" s="16" t="str">
        <f aca="false">IF(OR(AC336="",P336=""),"",P336/AC336-1)</f>
        <v/>
      </c>
      <c r="AE336" s="19" t="str">
        <f aca="false">IF(AND(M336=0,OR(Z336="✅ ЗАШЛО",Z336="❌ НЕ ЗАШЛО"),L336&lt;&gt;""),(L336-IF(Z336="✅ ЗАШЛО",1,0))^2,"")</f>
        <v/>
      </c>
      <c r="AF336" s="15"/>
      <c r="AG336" s="15"/>
      <c r="AH336" s="13"/>
      <c r="AI336" s="13"/>
      <c r="AJ336" s="13"/>
      <c r="AK336" s="20" t="str">
        <f aca="false">IF(AH336="","",IF(ABS(AH336+AI336+AJ336-1)&lt;0.000001,"OK","ОШИБКА"))</f>
        <v/>
      </c>
      <c r="AL336" s="13"/>
      <c r="AM336" s="12"/>
      <c r="AN336" s="12"/>
      <c r="AO336" s="12"/>
      <c r="AP336" s="12"/>
      <c r="AQ336" s="18" t="str">
        <f aca="false">IF(A336="","",N(AQ335)+N(AA336))</f>
        <v/>
      </c>
      <c r="AR336" s="18" t="str">
        <f aca="false">IF(AQ336="","",MAX(0,MAX($AQ$8:AQ336))-AQ336)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3"/>
      <c r="M337" s="13"/>
      <c r="N337" s="13"/>
      <c r="O337" s="14" t="str">
        <f aca="false">IF(OR(L337="",L337=0),"",(1-M337)/L337)</f>
        <v/>
      </c>
      <c r="P337" s="15"/>
      <c r="Q337" s="12"/>
      <c r="R337" s="12"/>
      <c r="S337" s="13"/>
      <c r="T337" s="16" t="str">
        <f aca="false">IF(OR(S337="",L337=""),"",L337/(1-M337)-S337)</f>
        <v/>
      </c>
      <c r="U337" s="16" t="str">
        <f aca="false">IF(OR(L337="",P337=""),"",L337*(P337-1)-N337)</f>
        <v/>
      </c>
      <c r="V337" s="13"/>
      <c r="W337" s="17"/>
      <c r="X337" s="12"/>
      <c r="Y337" s="12"/>
      <c r="Z337" s="12"/>
      <c r="AA337" s="18" t="str">
        <f aca="false">IF(K337&lt;&gt;"ВИРТУАЛЬНЫЙ ВЫБОР","",IF(Z337="✅ ЗАШЛО",W337*(P337-1),IF(Z337="❌ НЕ ЗАШЛО",-W337,IF(Z337="½ ЗАШЛО",W337*(P337-1)/2,IF(Z337="½ НЕ ЗАШЛО",-W337/2,IF(Z337="ВОЗВРАТ",0,""))))))</f>
        <v/>
      </c>
      <c r="AB337" s="18" t="str">
        <f aca="false">IF(AND(K337="ВИРТУАЛЬНЫЙ ВЫБОР",OR(Z337="✅ ЗАШЛО",Z337="❌ НЕ ЗАШЛО",Z337="½ ЗАШЛО",Z337="½ НЕ ЗАШЛО",Z337="ВОЗВРАТ")),W337,"")</f>
        <v/>
      </c>
      <c r="AC337" s="15"/>
      <c r="AD337" s="16" t="str">
        <f aca="false">IF(OR(AC337="",P337=""),"",P337/AC337-1)</f>
        <v/>
      </c>
      <c r="AE337" s="19" t="str">
        <f aca="false">IF(AND(M337=0,OR(Z337="✅ ЗАШЛО",Z337="❌ НЕ ЗАШЛО"),L337&lt;&gt;""),(L337-IF(Z337="✅ ЗАШЛО",1,0))^2,"")</f>
        <v/>
      </c>
      <c r="AF337" s="15"/>
      <c r="AG337" s="15"/>
      <c r="AH337" s="13"/>
      <c r="AI337" s="13"/>
      <c r="AJ337" s="13"/>
      <c r="AK337" s="20" t="str">
        <f aca="false">IF(AH337="","",IF(ABS(AH337+AI337+AJ337-1)&lt;0.000001,"OK","ОШИБКА"))</f>
        <v/>
      </c>
      <c r="AL337" s="13"/>
      <c r="AM337" s="12"/>
      <c r="AN337" s="12"/>
      <c r="AO337" s="12"/>
      <c r="AP337" s="12"/>
      <c r="AQ337" s="18" t="str">
        <f aca="false">IF(A337="","",N(AQ336)+N(AA337))</f>
        <v/>
      </c>
      <c r="AR337" s="18" t="str">
        <f aca="false">IF(AQ337="","",MAX(0,MAX($AQ$8:AQ337))-AQ337)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3"/>
      <c r="M338" s="13"/>
      <c r="N338" s="13"/>
      <c r="O338" s="14" t="str">
        <f aca="false">IF(OR(L338="",L338=0),"",(1-M338)/L338)</f>
        <v/>
      </c>
      <c r="P338" s="15"/>
      <c r="Q338" s="12"/>
      <c r="R338" s="12"/>
      <c r="S338" s="13"/>
      <c r="T338" s="16" t="str">
        <f aca="false">IF(OR(S338="",L338=""),"",L338/(1-M338)-S338)</f>
        <v/>
      </c>
      <c r="U338" s="16" t="str">
        <f aca="false">IF(OR(L338="",P338=""),"",L338*(P338-1)-N338)</f>
        <v/>
      </c>
      <c r="V338" s="13"/>
      <c r="W338" s="17"/>
      <c r="X338" s="12"/>
      <c r="Y338" s="12"/>
      <c r="Z338" s="12"/>
      <c r="AA338" s="18" t="str">
        <f aca="false">IF(K338&lt;&gt;"ВИРТУАЛЬНЫЙ ВЫБОР","",IF(Z338="✅ ЗАШЛО",W338*(P338-1),IF(Z338="❌ НЕ ЗАШЛО",-W338,IF(Z338="½ ЗАШЛО",W338*(P338-1)/2,IF(Z338="½ НЕ ЗАШЛО",-W338/2,IF(Z338="ВОЗВРАТ",0,""))))))</f>
        <v/>
      </c>
      <c r="AB338" s="18" t="str">
        <f aca="false">IF(AND(K338="ВИРТУАЛЬНЫЙ ВЫБОР",OR(Z338="✅ ЗАШЛО",Z338="❌ НЕ ЗАШЛО",Z338="½ ЗАШЛО",Z338="½ НЕ ЗАШЛО",Z338="ВОЗВРАТ")),W338,"")</f>
        <v/>
      </c>
      <c r="AC338" s="15"/>
      <c r="AD338" s="16" t="str">
        <f aca="false">IF(OR(AC338="",P338=""),"",P338/AC338-1)</f>
        <v/>
      </c>
      <c r="AE338" s="19" t="str">
        <f aca="false">IF(AND(M338=0,OR(Z338="✅ ЗАШЛО",Z338="❌ НЕ ЗАШЛО"),L338&lt;&gt;""),(L338-IF(Z338="✅ ЗАШЛО",1,0))^2,"")</f>
        <v/>
      </c>
      <c r="AF338" s="15"/>
      <c r="AG338" s="15"/>
      <c r="AH338" s="13"/>
      <c r="AI338" s="13"/>
      <c r="AJ338" s="13"/>
      <c r="AK338" s="20" t="str">
        <f aca="false">IF(AH338="","",IF(ABS(AH338+AI338+AJ338-1)&lt;0.000001,"OK","ОШИБКА"))</f>
        <v/>
      </c>
      <c r="AL338" s="13"/>
      <c r="AM338" s="12"/>
      <c r="AN338" s="12"/>
      <c r="AO338" s="12"/>
      <c r="AP338" s="12"/>
      <c r="AQ338" s="18" t="str">
        <f aca="false">IF(A338="","",N(AQ337)+N(AA338))</f>
        <v/>
      </c>
      <c r="AR338" s="18" t="str">
        <f aca="false">IF(AQ338="","",MAX(0,MAX($AQ$8:AQ338))-AQ338)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3"/>
      <c r="M339" s="13"/>
      <c r="N339" s="13"/>
      <c r="O339" s="14" t="str">
        <f aca="false">IF(OR(L339="",L339=0),"",(1-M339)/L339)</f>
        <v/>
      </c>
      <c r="P339" s="15"/>
      <c r="Q339" s="12"/>
      <c r="R339" s="12"/>
      <c r="S339" s="13"/>
      <c r="T339" s="16" t="str">
        <f aca="false">IF(OR(S339="",L339=""),"",L339/(1-M339)-S339)</f>
        <v/>
      </c>
      <c r="U339" s="16" t="str">
        <f aca="false">IF(OR(L339="",P339=""),"",L339*(P339-1)-N339)</f>
        <v/>
      </c>
      <c r="V339" s="13"/>
      <c r="W339" s="17"/>
      <c r="X339" s="12"/>
      <c r="Y339" s="12"/>
      <c r="Z339" s="12"/>
      <c r="AA339" s="18" t="str">
        <f aca="false">IF(K339&lt;&gt;"ВИРТУАЛЬНЫЙ ВЫБОР","",IF(Z339="✅ ЗАШЛО",W339*(P339-1),IF(Z339="❌ НЕ ЗАШЛО",-W339,IF(Z339="½ ЗАШЛО",W339*(P339-1)/2,IF(Z339="½ НЕ ЗАШЛО",-W339/2,IF(Z339="ВОЗВРАТ",0,""))))))</f>
        <v/>
      </c>
      <c r="AB339" s="18" t="str">
        <f aca="false">IF(AND(K339="ВИРТУАЛЬНЫЙ ВЫБОР",OR(Z339="✅ ЗАШЛО",Z339="❌ НЕ ЗАШЛО",Z339="½ ЗАШЛО",Z339="½ НЕ ЗАШЛО",Z339="ВОЗВРАТ")),W339,"")</f>
        <v/>
      </c>
      <c r="AC339" s="15"/>
      <c r="AD339" s="16" t="str">
        <f aca="false">IF(OR(AC339="",P339=""),"",P339/AC339-1)</f>
        <v/>
      </c>
      <c r="AE339" s="19" t="str">
        <f aca="false">IF(AND(M339=0,OR(Z339="✅ ЗАШЛО",Z339="❌ НЕ ЗАШЛО"),L339&lt;&gt;""),(L339-IF(Z339="✅ ЗАШЛО",1,0))^2,"")</f>
        <v/>
      </c>
      <c r="AF339" s="15"/>
      <c r="AG339" s="15"/>
      <c r="AH339" s="13"/>
      <c r="AI339" s="13"/>
      <c r="AJ339" s="13"/>
      <c r="AK339" s="20" t="str">
        <f aca="false">IF(AH339="","",IF(ABS(AH339+AI339+AJ339-1)&lt;0.000001,"OK","ОШИБКА"))</f>
        <v/>
      </c>
      <c r="AL339" s="13"/>
      <c r="AM339" s="12"/>
      <c r="AN339" s="12"/>
      <c r="AO339" s="12"/>
      <c r="AP339" s="12"/>
      <c r="AQ339" s="18" t="str">
        <f aca="false">IF(A339="","",N(AQ338)+N(AA339))</f>
        <v/>
      </c>
      <c r="AR339" s="18" t="str">
        <f aca="false">IF(AQ339="","",MAX(0,MAX($AQ$8:AQ339))-AQ339)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3"/>
      <c r="M340" s="13"/>
      <c r="N340" s="13"/>
      <c r="O340" s="14" t="str">
        <f aca="false">IF(OR(L340="",L340=0),"",(1-M340)/L340)</f>
        <v/>
      </c>
      <c r="P340" s="15"/>
      <c r="Q340" s="12"/>
      <c r="R340" s="12"/>
      <c r="S340" s="13"/>
      <c r="T340" s="16" t="str">
        <f aca="false">IF(OR(S340="",L340=""),"",L340/(1-M340)-S340)</f>
        <v/>
      </c>
      <c r="U340" s="16" t="str">
        <f aca="false">IF(OR(L340="",P340=""),"",L340*(P340-1)-N340)</f>
        <v/>
      </c>
      <c r="V340" s="13"/>
      <c r="W340" s="17"/>
      <c r="X340" s="12"/>
      <c r="Y340" s="12"/>
      <c r="Z340" s="12"/>
      <c r="AA340" s="18" t="str">
        <f aca="false">IF(K340&lt;&gt;"ВИРТУАЛЬНЫЙ ВЫБОР","",IF(Z340="✅ ЗАШЛО",W340*(P340-1),IF(Z340="❌ НЕ ЗАШЛО",-W340,IF(Z340="½ ЗАШЛО",W340*(P340-1)/2,IF(Z340="½ НЕ ЗАШЛО",-W340/2,IF(Z340="ВОЗВРАТ",0,""))))))</f>
        <v/>
      </c>
      <c r="AB340" s="18" t="str">
        <f aca="false">IF(AND(K340="ВИРТУАЛЬНЫЙ ВЫБОР",OR(Z340="✅ ЗАШЛО",Z340="❌ НЕ ЗАШЛО",Z340="½ ЗАШЛО",Z340="½ НЕ ЗАШЛО",Z340="ВОЗВРАТ")),W340,"")</f>
        <v/>
      </c>
      <c r="AC340" s="15"/>
      <c r="AD340" s="16" t="str">
        <f aca="false">IF(OR(AC340="",P340=""),"",P340/AC340-1)</f>
        <v/>
      </c>
      <c r="AE340" s="19" t="str">
        <f aca="false">IF(AND(M340=0,OR(Z340="✅ ЗАШЛО",Z340="❌ НЕ ЗАШЛО"),L340&lt;&gt;""),(L340-IF(Z340="✅ ЗАШЛО",1,0))^2,"")</f>
        <v/>
      </c>
      <c r="AF340" s="15"/>
      <c r="AG340" s="15"/>
      <c r="AH340" s="13"/>
      <c r="AI340" s="13"/>
      <c r="AJ340" s="13"/>
      <c r="AK340" s="20" t="str">
        <f aca="false">IF(AH340="","",IF(ABS(AH340+AI340+AJ340-1)&lt;0.000001,"OK","ОШИБКА"))</f>
        <v/>
      </c>
      <c r="AL340" s="13"/>
      <c r="AM340" s="12"/>
      <c r="AN340" s="12"/>
      <c r="AO340" s="12"/>
      <c r="AP340" s="12"/>
      <c r="AQ340" s="18" t="str">
        <f aca="false">IF(A340="","",N(AQ339)+N(AA340))</f>
        <v/>
      </c>
      <c r="AR340" s="18" t="str">
        <f aca="false">IF(AQ340="","",MAX(0,MAX($AQ$8:AQ340))-AQ340)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3"/>
      <c r="M341" s="13"/>
      <c r="N341" s="13"/>
      <c r="O341" s="14" t="str">
        <f aca="false">IF(OR(L341="",L341=0),"",(1-M341)/L341)</f>
        <v/>
      </c>
      <c r="P341" s="15"/>
      <c r="Q341" s="12"/>
      <c r="R341" s="12"/>
      <c r="S341" s="13"/>
      <c r="T341" s="16" t="str">
        <f aca="false">IF(OR(S341="",L341=""),"",L341/(1-M341)-S341)</f>
        <v/>
      </c>
      <c r="U341" s="16" t="str">
        <f aca="false">IF(OR(L341="",P341=""),"",L341*(P341-1)-N341)</f>
        <v/>
      </c>
      <c r="V341" s="13"/>
      <c r="W341" s="17"/>
      <c r="X341" s="12"/>
      <c r="Y341" s="12"/>
      <c r="Z341" s="12"/>
      <c r="AA341" s="18" t="str">
        <f aca="false">IF(K341&lt;&gt;"ВИРТУАЛЬНЫЙ ВЫБОР","",IF(Z341="✅ ЗАШЛО",W341*(P341-1),IF(Z341="❌ НЕ ЗАШЛО",-W341,IF(Z341="½ ЗАШЛО",W341*(P341-1)/2,IF(Z341="½ НЕ ЗАШЛО",-W341/2,IF(Z341="ВОЗВРАТ",0,""))))))</f>
        <v/>
      </c>
      <c r="AB341" s="18" t="str">
        <f aca="false">IF(AND(K341="ВИРТУАЛЬНЫЙ ВЫБОР",OR(Z341="✅ ЗАШЛО",Z341="❌ НЕ ЗАШЛО",Z341="½ ЗАШЛО",Z341="½ НЕ ЗАШЛО",Z341="ВОЗВРАТ")),W341,"")</f>
        <v/>
      </c>
      <c r="AC341" s="15"/>
      <c r="AD341" s="16" t="str">
        <f aca="false">IF(OR(AC341="",P341=""),"",P341/AC341-1)</f>
        <v/>
      </c>
      <c r="AE341" s="19" t="str">
        <f aca="false">IF(AND(M341=0,OR(Z341="✅ ЗАШЛО",Z341="❌ НЕ ЗАШЛО"),L341&lt;&gt;""),(L341-IF(Z341="✅ ЗАШЛО",1,0))^2,"")</f>
        <v/>
      </c>
      <c r="AF341" s="15"/>
      <c r="AG341" s="15"/>
      <c r="AH341" s="13"/>
      <c r="AI341" s="13"/>
      <c r="AJ341" s="13"/>
      <c r="AK341" s="20" t="str">
        <f aca="false">IF(AH341="","",IF(ABS(AH341+AI341+AJ341-1)&lt;0.000001,"OK","ОШИБКА"))</f>
        <v/>
      </c>
      <c r="AL341" s="13"/>
      <c r="AM341" s="12"/>
      <c r="AN341" s="12"/>
      <c r="AO341" s="12"/>
      <c r="AP341" s="12"/>
      <c r="AQ341" s="18" t="str">
        <f aca="false">IF(A341="","",N(AQ340)+N(AA341))</f>
        <v/>
      </c>
      <c r="AR341" s="18" t="str">
        <f aca="false">IF(AQ341="","",MAX(0,MAX($AQ$8:AQ341))-AQ341)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3"/>
      <c r="M342" s="13"/>
      <c r="N342" s="13"/>
      <c r="O342" s="14" t="str">
        <f aca="false">IF(OR(L342="",L342=0),"",(1-M342)/L342)</f>
        <v/>
      </c>
      <c r="P342" s="15"/>
      <c r="Q342" s="12"/>
      <c r="R342" s="12"/>
      <c r="S342" s="13"/>
      <c r="T342" s="16" t="str">
        <f aca="false">IF(OR(S342="",L342=""),"",L342/(1-M342)-S342)</f>
        <v/>
      </c>
      <c r="U342" s="16" t="str">
        <f aca="false">IF(OR(L342="",P342=""),"",L342*(P342-1)-N342)</f>
        <v/>
      </c>
      <c r="V342" s="13"/>
      <c r="W342" s="17"/>
      <c r="X342" s="12"/>
      <c r="Y342" s="12"/>
      <c r="Z342" s="12"/>
      <c r="AA342" s="18" t="str">
        <f aca="false">IF(K342&lt;&gt;"ВИРТУАЛЬНЫЙ ВЫБОР","",IF(Z342="✅ ЗАШЛО",W342*(P342-1),IF(Z342="❌ НЕ ЗАШЛО",-W342,IF(Z342="½ ЗАШЛО",W342*(P342-1)/2,IF(Z342="½ НЕ ЗАШЛО",-W342/2,IF(Z342="ВОЗВРАТ",0,""))))))</f>
        <v/>
      </c>
      <c r="AB342" s="18" t="str">
        <f aca="false">IF(AND(K342="ВИРТУАЛЬНЫЙ ВЫБОР",OR(Z342="✅ ЗАШЛО",Z342="❌ НЕ ЗАШЛО",Z342="½ ЗАШЛО",Z342="½ НЕ ЗАШЛО",Z342="ВОЗВРАТ")),W342,"")</f>
        <v/>
      </c>
      <c r="AC342" s="15"/>
      <c r="AD342" s="16" t="str">
        <f aca="false">IF(OR(AC342="",P342=""),"",P342/AC342-1)</f>
        <v/>
      </c>
      <c r="AE342" s="19" t="str">
        <f aca="false">IF(AND(M342=0,OR(Z342="✅ ЗАШЛО",Z342="❌ НЕ ЗАШЛО"),L342&lt;&gt;""),(L342-IF(Z342="✅ ЗАШЛО",1,0))^2,"")</f>
        <v/>
      </c>
      <c r="AF342" s="15"/>
      <c r="AG342" s="15"/>
      <c r="AH342" s="13"/>
      <c r="AI342" s="13"/>
      <c r="AJ342" s="13"/>
      <c r="AK342" s="20" t="str">
        <f aca="false">IF(AH342="","",IF(ABS(AH342+AI342+AJ342-1)&lt;0.000001,"OK","ОШИБКА"))</f>
        <v/>
      </c>
      <c r="AL342" s="13"/>
      <c r="AM342" s="12"/>
      <c r="AN342" s="12"/>
      <c r="AO342" s="12"/>
      <c r="AP342" s="12"/>
      <c r="AQ342" s="18" t="str">
        <f aca="false">IF(A342="","",N(AQ341)+N(AA342))</f>
        <v/>
      </c>
      <c r="AR342" s="18" t="str">
        <f aca="false">IF(AQ342="","",MAX(0,MAX($AQ$8:AQ342))-AQ342)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3"/>
      <c r="M343" s="13"/>
      <c r="N343" s="13"/>
      <c r="O343" s="14" t="str">
        <f aca="false">IF(OR(L343="",L343=0),"",(1-M343)/L343)</f>
        <v/>
      </c>
      <c r="P343" s="15"/>
      <c r="Q343" s="12"/>
      <c r="R343" s="12"/>
      <c r="S343" s="13"/>
      <c r="T343" s="16" t="str">
        <f aca="false">IF(OR(S343="",L343=""),"",L343/(1-M343)-S343)</f>
        <v/>
      </c>
      <c r="U343" s="16" t="str">
        <f aca="false">IF(OR(L343="",P343=""),"",L343*(P343-1)-N343)</f>
        <v/>
      </c>
      <c r="V343" s="13"/>
      <c r="W343" s="17"/>
      <c r="X343" s="12"/>
      <c r="Y343" s="12"/>
      <c r="Z343" s="12"/>
      <c r="AA343" s="18" t="str">
        <f aca="false">IF(K343&lt;&gt;"ВИРТУАЛЬНЫЙ ВЫБОР","",IF(Z343="✅ ЗАШЛО",W343*(P343-1),IF(Z343="❌ НЕ ЗАШЛО",-W343,IF(Z343="½ ЗАШЛО",W343*(P343-1)/2,IF(Z343="½ НЕ ЗАШЛО",-W343/2,IF(Z343="ВОЗВРАТ",0,""))))))</f>
        <v/>
      </c>
      <c r="AB343" s="18" t="str">
        <f aca="false">IF(AND(K343="ВИРТУАЛЬНЫЙ ВЫБОР",OR(Z343="✅ ЗАШЛО",Z343="❌ НЕ ЗАШЛО",Z343="½ ЗАШЛО",Z343="½ НЕ ЗАШЛО",Z343="ВОЗВРАТ")),W343,"")</f>
        <v/>
      </c>
      <c r="AC343" s="15"/>
      <c r="AD343" s="16" t="str">
        <f aca="false">IF(OR(AC343="",P343=""),"",P343/AC343-1)</f>
        <v/>
      </c>
      <c r="AE343" s="19" t="str">
        <f aca="false">IF(AND(M343=0,OR(Z343="✅ ЗАШЛО",Z343="❌ НЕ ЗАШЛО"),L343&lt;&gt;""),(L343-IF(Z343="✅ ЗАШЛО",1,0))^2,"")</f>
        <v/>
      </c>
      <c r="AF343" s="15"/>
      <c r="AG343" s="15"/>
      <c r="AH343" s="13"/>
      <c r="AI343" s="13"/>
      <c r="AJ343" s="13"/>
      <c r="AK343" s="20" t="str">
        <f aca="false">IF(AH343="","",IF(ABS(AH343+AI343+AJ343-1)&lt;0.000001,"OK","ОШИБКА"))</f>
        <v/>
      </c>
      <c r="AL343" s="13"/>
      <c r="AM343" s="12"/>
      <c r="AN343" s="12"/>
      <c r="AO343" s="12"/>
      <c r="AP343" s="12"/>
      <c r="AQ343" s="18" t="str">
        <f aca="false">IF(A343="","",N(AQ342)+N(AA343))</f>
        <v/>
      </c>
      <c r="AR343" s="18" t="str">
        <f aca="false">IF(AQ343="","",MAX(0,MAX($AQ$8:AQ343))-AQ343)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3"/>
      <c r="M344" s="13"/>
      <c r="N344" s="13"/>
      <c r="O344" s="14" t="str">
        <f aca="false">IF(OR(L344="",L344=0),"",(1-M344)/L344)</f>
        <v/>
      </c>
      <c r="P344" s="15"/>
      <c r="Q344" s="12"/>
      <c r="R344" s="12"/>
      <c r="S344" s="13"/>
      <c r="T344" s="16" t="str">
        <f aca="false">IF(OR(S344="",L344=""),"",L344/(1-M344)-S344)</f>
        <v/>
      </c>
      <c r="U344" s="16" t="str">
        <f aca="false">IF(OR(L344="",P344=""),"",L344*(P344-1)-N344)</f>
        <v/>
      </c>
      <c r="V344" s="13"/>
      <c r="W344" s="17"/>
      <c r="X344" s="12"/>
      <c r="Y344" s="12"/>
      <c r="Z344" s="12"/>
      <c r="AA344" s="18" t="str">
        <f aca="false">IF(K344&lt;&gt;"ВИРТУАЛЬНЫЙ ВЫБОР","",IF(Z344="✅ ЗАШЛО",W344*(P344-1),IF(Z344="❌ НЕ ЗАШЛО",-W344,IF(Z344="½ ЗАШЛО",W344*(P344-1)/2,IF(Z344="½ НЕ ЗАШЛО",-W344/2,IF(Z344="ВОЗВРАТ",0,""))))))</f>
        <v/>
      </c>
      <c r="AB344" s="18" t="str">
        <f aca="false">IF(AND(K344="ВИРТУАЛЬНЫЙ ВЫБОР",OR(Z344="✅ ЗАШЛО",Z344="❌ НЕ ЗАШЛО",Z344="½ ЗАШЛО",Z344="½ НЕ ЗАШЛО",Z344="ВОЗВРАТ")),W344,"")</f>
        <v/>
      </c>
      <c r="AC344" s="15"/>
      <c r="AD344" s="16" t="str">
        <f aca="false">IF(OR(AC344="",P344=""),"",P344/AC344-1)</f>
        <v/>
      </c>
      <c r="AE344" s="19" t="str">
        <f aca="false">IF(AND(M344=0,OR(Z344="✅ ЗАШЛО",Z344="❌ НЕ ЗАШЛО"),L344&lt;&gt;""),(L344-IF(Z344="✅ ЗАШЛО",1,0))^2,"")</f>
        <v/>
      </c>
      <c r="AF344" s="15"/>
      <c r="AG344" s="15"/>
      <c r="AH344" s="13"/>
      <c r="AI344" s="13"/>
      <c r="AJ344" s="13"/>
      <c r="AK344" s="20" t="str">
        <f aca="false">IF(AH344="","",IF(ABS(AH344+AI344+AJ344-1)&lt;0.000001,"OK","ОШИБКА"))</f>
        <v/>
      </c>
      <c r="AL344" s="13"/>
      <c r="AM344" s="12"/>
      <c r="AN344" s="12"/>
      <c r="AO344" s="12"/>
      <c r="AP344" s="12"/>
      <c r="AQ344" s="18" t="str">
        <f aca="false">IF(A344="","",N(AQ343)+N(AA344))</f>
        <v/>
      </c>
      <c r="AR344" s="18" t="str">
        <f aca="false">IF(AQ344="","",MAX(0,MAX($AQ$8:AQ344))-AQ344)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3"/>
      <c r="M345" s="13"/>
      <c r="N345" s="13"/>
      <c r="O345" s="14" t="str">
        <f aca="false">IF(OR(L345="",L345=0),"",(1-M345)/L345)</f>
        <v/>
      </c>
      <c r="P345" s="15"/>
      <c r="Q345" s="12"/>
      <c r="R345" s="12"/>
      <c r="S345" s="13"/>
      <c r="T345" s="16" t="str">
        <f aca="false">IF(OR(S345="",L345=""),"",L345/(1-M345)-S345)</f>
        <v/>
      </c>
      <c r="U345" s="16" t="str">
        <f aca="false">IF(OR(L345="",P345=""),"",L345*(P345-1)-N345)</f>
        <v/>
      </c>
      <c r="V345" s="13"/>
      <c r="W345" s="17"/>
      <c r="X345" s="12"/>
      <c r="Y345" s="12"/>
      <c r="Z345" s="12"/>
      <c r="AA345" s="18" t="str">
        <f aca="false">IF(K345&lt;&gt;"ВИРТУАЛЬНЫЙ ВЫБОР","",IF(Z345="✅ ЗАШЛО",W345*(P345-1),IF(Z345="❌ НЕ ЗАШЛО",-W345,IF(Z345="½ ЗАШЛО",W345*(P345-1)/2,IF(Z345="½ НЕ ЗАШЛО",-W345/2,IF(Z345="ВОЗВРАТ",0,""))))))</f>
        <v/>
      </c>
      <c r="AB345" s="18" t="str">
        <f aca="false">IF(AND(K345="ВИРТУАЛЬНЫЙ ВЫБОР",OR(Z345="✅ ЗАШЛО",Z345="❌ НЕ ЗАШЛО",Z345="½ ЗАШЛО",Z345="½ НЕ ЗАШЛО",Z345="ВОЗВРАТ")),W345,"")</f>
        <v/>
      </c>
      <c r="AC345" s="15"/>
      <c r="AD345" s="16" t="str">
        <f aca="false">IF(OR(AC345="",P345=""),"",P345/AC345-1)</f>
        <v/>
      </c>
      <c r="AE345" s="19" t="str">
        <f aca="false">IF(AND(M345=0,OR(Z345="✅ ЗАШЛО",Z345="❌ НЕ ЗАШЛО"),L345&lt;&gt;""),(L345-IF(Z345="✅ ЗАШЛО",1,0))^2,"")</f>
        <v/>
      </c>
      <c r="AF345" s="15"/>
      <c r="AG345" s="15"/>
      <c r="AH345" s="13"/>
      <c r="AI345" s="13"/>
      <c r="AJ345" s="13"/>
      <c r="AK345" s="20" t="str">
        <f aca="false">IF(AH345="","",IF(ABS(AH345+AI345+AJ345-1)&lt;0.000001,"OK","ОШИБКА"))</f>
        <v/>
      </c>
      <c r="AL345" s="13"/>
      <c r="AM345" s="12"/>
      <c r="AN345" s="12"/>
      <c r="AO345" s="12"/>
      <c r="AP345" s="12"/>
      <c r="AQ345" s="18" t="str">
        <f aca="false">IF(A345="","",N(AQ344)+N(AA345))</f>
        <v/>
      </c>
      <c r="AR345" s="18" t="str">
        <f aca="false">IF(AQ345="","",MAX(0,MAX($AQ$8:AQ345))-AQ345)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3"/>
      <c r="M346" s="13"/>
      <c r="N346" s="13"/>
      <c r="O346" s="14" t="str">
        <f aca="false">IF(OR(L346="",L346=0),"",(1-M346)/L346)</f>
        <v/>
      </c>
      <c r="P346" s="15"/>
      <c r="Q346" s="12"/>
      <c r="R346" s="12"/>
      <c r="S346" s="13"/>
      <c r="T346" s="16" t="str">
        <f aca="false">IF(OR(S346="",L346=""),"",L346/(1-M346)-S346)</f>
        <v/>
      </c>
      <c r="U346" s="16" t="str">
        <f aca="false">IF(OR(L346="",P346=""),"",L346*(P346-1)-N346)</f>
        <v/>
      </c>
      <c r="V346" s="13"/>
      <c r="W346" s="17"/>
      <c r="X346" s="12"/>
      <c r="Y346" s="12"/>
      <c r="Z346" s="12"/>
      <c r="AA346" s="18" t="str">
        <f aca="false">IF(K346&lt;&gt;"ВИРТУАЛЬНЫЙ ВЫБОР","",IF(Z346="✅ ЗАШЛО",W346*(P346-1),IF(Z346="❌ НЕ ЗАШЛО",-W346,IF(Z346="½ ЗАШЛО",W346*(P346-1)/2,IF(Z346="½ НЕ ЗАШЛО",-W346/2,IF(Z346="ВОЗВРАТ",0,""))))))</f>
        <v/>
      </c>
      <c r="AB346" s="18" t="str">
        <f aca="false">IF(AND(K346="ВИРТУАЛЬНЫЙ ВЫБОР",OR(Z346="✅ ЗАШЛО",Z346="❌ НЕ ЗАШЛО",Z346="½ ЗАШЛО",Z346="½ НЕ ЗАШЛО",Z346="ВОЗВРАТ")),W346,"")</f>
        <v/>
      </c>
      <c r="AC346" s="15"/>
      <c r="AD346" s="16" t="str">
        <f aca="false">IF(OR(AC346="",P346=""),"",P346/AC346-1)</f>
        <v/>
      </c>
      <c r="AE346" s="19" t="str">
        <f aca="false">IF(AND(M346=0,OR(Z346="✅ ЗАШЛО",Z346="❌ НЕ ЗАШЛО"),L346&lt;&gt;""),(L346-IF(Z346="✅ ЗАШЛО",1,0))^2,"")</f>
        <v/>
      </c>
      <c r="AF346" s="15"/>
      <c r="AG346" s="15"/>
      <c r="AH346" s="13"/>
      <c r="AI346" s="13"/>
      <c r="AJ346" s="13"/>
      <c r="AK346" s="20" t="str">
        <f aca="false">IF(AH346="","",IF(ABS(AH346+AI346+AJ346-1)&lt;0.000001,"OK","ОШИБКА"))</f>
        <v/>
      </c>
      <c r="AL346" s="13"/>
      <c r="AM346" s="12"/>
      <c r="AN346" s="12"/>
      <c r="AO346" s="12"/>
      <c r="AP346" s="12"/>
      <c r="AQ346" s="18" t="str">
        <f aca="false">IF(A346="","",N(AQ345)+N(AA346))</f>
        <v/>
      </c>
      <c r="AR346" s="18" t="str">
        <f aca="false">IF(AQ346="","",MAX(0,MAX($AQ$8:AQ346))-AQ346)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3"/>
      <c r="M347" s="13"/>
      <c r="N347" s="13"/>
      <c r="O347" s="14" t="str">
        <f aca="false">IF(OR(L347="",L347=0),"",(1-M347)/L347)</f>
        <v/>
      </c>
      <c r="P347" s="15"/>
      <c r="Q347" s="12"/>
      <c r="R347" s="12"/>
      <c r="S347" s="13"/>
      <c r="T347" s="16" t="str">
        <f aca="false">IF(OR(S347="",L347=""),"",L347/(1-M347)-S347)</f>
        <v/>
      </c>
      <c r="U347" s="16" t="str">
        <f aca="false">IF(OR(L347="",P347=""),"",L347*(P347-1)-N347)</f>
        <v/>
      </c>
      <c r="V347" s="13"/>
      <c r="W347" s="17"/>
      <c r="X347" s="12"/>
      <c r="Y347" s="12"/>
      <c r="Z347" s="12"/>
      <c r="AA347" s="18" t="str">
        <f aca="false">IF(K347&lt;&gt;"ВИРТУАЛЬНЫЙ ВЫБОР","",IF(Z347="✅ ЗАШЛО",W347*(P347-1),IF(Z347="❌ НЕ ЗАШЛО",-W347,IF(Z347="½ ЗАШЛО",W347*(P347-1)/2,IF(Z347="½ НЕ ЗАШЛО",-W347/2,IF(Z347="ВОЗВРАТ",0,""))))))</f>
        <v/>
      </c>
      <c r="AB347" s="18" t="str">
        <f aca="false">IF(AND(K347="ВИРТУАЛЬНЫЙ ВЫБОР",OR(Z347="✅ ЗАШЛО",Z347="❌ НЕ ЗАШЛО",Z347="½ ЗАШЛО",Z347="½ НЕ ЗАШЛО",Z347="ВОЗВРАТ")),W347,"")</f>
        <v/>
      </c>
      <c r="AC347" s="15"/>
      <c r="AD347" s="16" t="str">
        <f aca="false">IF(OR(AC347="",P347=""),"",P347/AC347-1)</f>
        <v/>
      </c>
      <c r="AE347" s="19" t="str">
        <f aca="false">IF(AND(M347=0,OR(Z347="✅ ЗАШЛО",Z347="❌ НЕ ЗАШЛО"),L347&lt;&gt;""),(L347-IF(Z347="✅ ЗАШЛО",1,0))^2,"")</f>
        <v/>
      </c>
      <c r="AF347" s="15"/>
      <c r="AG347" s="15"/>
      <c r="AH347" s="13"/>
      <c r="AI347" s="13"/>
      <c r="AJ347" s="13"/>
      <c r="AK347" s="20" t="str">
        <f aca="false">IF(AH347="","",IF(ABS(AH347+AI347+AJ347-1)&lt;0.000001,"OK","ОШИБКА"))</f>
        <v/>
      </c>
      <c r="AL347" s="13"/>
      <c r="AM347" s="12"/>
      <c r="AN347" s="12"/>
      <c r="AO347" s="12"/>
      <c r="AP347" s="12"/>
      <c r="AQ347" s="18" t="str">
        <f aca="false">IF(A347="","",N(AQ346)+N(AA347))</f>
        <v/>
      </c>
      <c r="AR347" s="18" t="str">
        <f aca="false">IF(AQ347="","",MAX(0,MAX($AQ$8:AQ347))-AQ347)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3"/>
      <c r="M348" s="13"/>
      <c r="N348" s="13"/>
      <c r="O348" s="14" t="str">
        <f aca="false">IF(OR(L348="",L348=0),"",(1-M348)/L348)</f>
        <v/>
      </c>
      <c r="P348" s="15"/>
      <c r="Q348" s="12"/>
      <c r="R348" s="12"/>
      <c r="S348" s="13"/>
      <c r="T348" s="16" t="str">
        <f aca="false">IF(OR(S348="",L348=""),"",L348/(1-M348)-S348)</f>
        <v/>
      </c>
      <c r="U348" s="16" t="str">
        <f aca="false">IF(OR(L348="",P348=""),"",L348*(P348-1)-N348)</f>
        <v/>
      </c>
      <c r="V348" s="13"/>
      <c r="W348" s="17"/>
      <c r="X348" s="12"/>
      <c r="Y348" s="12"/>
      <c r="Z348" s="12"/>
      <c r="AA348" s="18" t="str">
        <f aca="false">IF(K348&lt;&gt;"ВИРТУАЛЬНЫЙ ВЫБОР","",IF(Z348="✅ ЗАШЛО",W348*(P348-1),IF(Z348="❌ НЕ ЗАШЛО",-W348,IF(Z348="½ ЗАШЛО",W348*(P348-1)/2,IF(Z348="½ НЕ ЗАШЛО",-W348/2,IF(Z348="ВОЗВРАТ",0,""))))))</f>
        <v/>
      </c>
      <c r="AB348" s="18" t="str">
        <f aca="false">IF(AND(K348="ВИРТУАЛЬНЫЙ ВЫБОР",OR(Z348="✅ ЗАШЛО",Z348="❌ НЕ ЗАШЛО",Z348="½ ЗАШЛО",Z348="½ НЕ ЗАШЛО",Z348="ВОЗВРАТ")),W348,"")</f>
        <v/>
      </c>
      <c r="AC348" s="15"/>
      <c r="AD348" s="16" t="str">
        <f aca="false">IF(OR(AC348="",P348=""),"",P348/AC348-1)</f>
        <v/>
      </c>
      <c r="AE348" s="19" t="str">
        <f aca="false">IF(AND(M348=0,OR(Z348="✅ ЗАШЛО",Z348="❌ НЕ ЗАШЛО"),L348&lt;&gt;""),(L348-IF(Z348="✅ ЗАШЛО",1,0))^2,"")</f>
        <v/>
      </c>
      <c r="AF348" s="15"/>
      <c r="AG348" s="15"/>
      <c r="AH348" s="13"/>
      <c r="AI348" s="13"/>
      <c r="AJ348" s="13"/>
      <c r="AK348" s="20" t="str">
        <f aca="false">IF(AH348="","",IF(ABS(AH348+AI348+AJ348-1)&lt;0.000001,"OK","ОШИБКА"))</f>
        <v/>
      </c>
      <c r="AL348" s="13"/>
      <c r="AM348" s="12"/>
      <c r="AN348" s="12"/>
      <c r="AO348" s="12"/>
      <c r="AP348" s="12"/>
      <c r="AQ348" s="18" t="str">
        <f aca="false">IF(A348="","",N(AQ347)+N(AA348))</f>
        <v/>
      </c>
      <c r="AR348" s="18" t="str">
        <f aca="false">IF(AQ348="","",MAX(0,MAX($AQ$8:AQ348))-AQ348)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3"/>
      <c r="M349" s="13"/>
      <c r="N349" s="13"/>
      <c r="O349" s="14" t="str">
        <f aca="false">IF(OR(L349="",L349=0),"",(1-M349)/L349)</f>
        <v/>
      </c>
      <c r="P349" s="15"/>
      <c r="Q349" s="12"/>
      <c r="R349" s="12"/>
      <c r="S349" s="13"/>
      <c r="T349" s="16" t="str">
        <f aca="false">IF(OR(S349="",L349=""),"",L349/(1-M349)-S349)</f>
        <v/>
      </c>
      <c r="U349" s="16" t="str">
        <f aca="false">IF(OR(L349="",P349=""),"",L349*(P349-1)-N349)</f>
        <v/>
      </c>
      <c r="V349" s="13"/>
      <c r="W349" s="17"/>
      <c r="X349" s="12"/>
      <c r="Y349" s="12"/>
      <c r="Z349" s="12"/>
      <c r="AA349" s="18" t="str">
        <f aca="false">IF(K349&lt;&gt;"ВИРТУАЛЬНЫЙ ВЫБОР","",IF(Z349="✅ ЗАШЛО",W349*(P349-1),IF(Z349="❌ НЕ ЗАШЛО",-W349,IF(Z349="½ ЗАШЛО",W349*(P349-1)/2,IF(Z349="½ НЕ ЗАШЛО",-W349/2,IF(Z349="ВОЗВРАТ",0,""))))))</f>
        <v/>
      </c>
      <c r="AB349" s="18" t="str">
        <f aca="false">IF(AND(K349="ВИРТУАЛЬНЫЙ ВЫБОР",OR(Z349="✅ ЗАШЛО",Z349="❌ НЕ ЗАШЛО",Z349="½ ЗАШЛО",Z349="½ НЕ ЗАШЛО",Z349="ВОЗВРАТ")),W349,"")</f>
        <v/>
      </c>
      <c r="AC349" s="15"/>
      <c r="AD349" s="16" t="str">
        <f aca="false">IF(OR(AC349="",P349=""),"",P349/AC349-1)</f>
        <v/>
      </c>
      <c r="AE349" s="19" t="str">
        <f aca="false">IF(AND(M349=0,OR(Z349="✅ ЗАШЛО",Z349="❌ НЕ ЗАШЛО"),L349&lt;&gt;""),(L349-IF(Z349="✅ ЗАШЛО",1,0))^2,"")</f>
        <v/>
      </c>
      <c r="AF349" s="15"/>
      <c r="AG349" s="15"/>
      <c r="AH349" s="13"/>
      <c r="AI349" s="13"/>
      <c r="AJ349" s="13"/>
      <c r="AK349" s="20" t="str">
        <f aca="false">IF(AH349="","",IF(ABS(AH349+AI349+AJ349-1)&lt;0.000001,"OK","ОШИБКА"))</f>
        <v/>
      </c>
      <c r="AL349" s="13"/>
      <c r="AM349" s="12"/>
      <c r="AN349" s="12"/>
      <c r="AO349" s="12"/>
      <c r="AP349" s="12"/>
      <c r="AQ349" s="18" t="str">
        <f aca="false">IF(A349="","",N(AQ348)+N(AA349))</f>
        <v/>
      </c>
      <c r="AR349" s="18" t="str">
        <f aca="false">IF(AQ349="","",MAX(0,MAX($AQ$8:AQ349))-AQ349)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3"/>
      <c r="M350" s="13"/>
      <c r="N350" s="13"/>
      <c r="O350" s="14" t="str">
        <f aca="false">IF(OR(L350="",L350=0),"",(1-M350)/L350)</f>
        <v/>
      </c>
      <c r="P350" s="15"/>
      <c r="Q350" s="12"/>
      <c r="R350" s="12"/>
      <c r="S350" s="13"/>
      <c r="T350" s="16" t="str">
        <f aca="false">IF(OR(S350="",L350=""),"",L350/(1-M350)-S350)</f>
        <v/>
      </c>
      <c r="U350" s="16" t="str">
        <f aca="false">IF(OR(L350="",P350=""),"",L350*(P350-1)-N350)</f>
        <v/>
      </c>
      <c r="V350" s="13"/>
      <c r="W350" s="17"/>
      <c r="X350" s="12"/>
      <c r="Y350" s="12"/>
      <c r="Z350" s="12"/>
      <c r="AA350" s="18" t="str">
        <f aca="false">IF(K350&lt;&gt;"ВИРТУАЛЬНЫЙ ВЫБОР","",IF(Z350="✅ ЗАШЛО",W350*(P350-1),IF(Z350="❌ НЕ ЗАШЛО",-W350,IF(Z350="½ ЗАШЛО",W350*(P350-1)/2,IF(Z350="½ НЕ ЗАШЛО",-W350/2,IF(Z350="ВОЗВРАТ",0,""))))))</f>
        <v/>
      </c>
      <c r="AB350" s="18" t="str">
        <f aca="false">IF(AND(K350="ВИРТУАЛЬНЫЙ ВЫБОР",OR(Z350="✅ ЗАШЛО",Z350="❌ НЕ ЗАШЛО",Z350="½ ЗАШЛО",Z350="½ НЕ ЗАШЛО",Z350="ВОЗВРАТ")),W350,"")</f>
        <v/>
      </c>
      <c r="AC350" s="15"/>
      <c r="AD350" s="16" t="str">
        <f aca="false">IF(OR(AC350="",P350=""),"",P350/AC350-1)</f>
        <v/>
      </c>
      <c r="AE350" s="19" t="str">
        <f aca="false">IF(AND(M350=0,OR(Z350="✅ ЗАШЛО",Z350="❌ НЕ ЗАШЛО"),L350&lt;&gt;""),(L350-IF(Z350="✅ ЗАШЛО",1,0))^2,"")</f>
        <v/>
      </c>
      <c r="AF350" s="15"/>
      <c r="AG350" s="15"/>
      <c r="AH350" s="13"/>
      <c r="AI350" s="13"/>
      <c r="AJ350" s="13"/>
      <c r="AK350" s="20" t="str">
        <f aca="false">IF(AH350="","",IF(ABS(AH350+AI350+AJ350-1)&lt;0.000001,"OK","ОШИБКА"))</f>
        <v/>
      </c>
      <c r="AL350" s="13"/>
      <c r="AM350" s="12"/>
      <c r="AN350" s="12"/>
      <c r="AO350" s="12"/>
      <c r="AP350" s="12"/>
      <c r="AQ350" s="18" t="str">
        <f aca="false">IF(A350="","",N(AQ349)+N(AA350))</f>
        <v/>
      </c>
      <c r="AR350" s="18" t="str">
        <f aca="false">IF(AQ350="","",MAX(0,MAX($AQ$8:AQ350))-AQ350)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3"/>
      <c r="M351" s="13"/>
      <c r="N351" s="13"/>
      <c r="O351" s="14" t="str">
        <f aca="false">IF(OR(L351="",L351=0),"",(1-M351)/L351)</f>
        <v/>
      </c>
      <c r="P351" s="15"/>
      <c r="Q351" s="12"/>
      <c r="R351" s="12"/>
      <c r="S351" s="13"/>
      <c r="T351" s="16" t="str">
        <f aca="false">IF(OR(S351="",L351=""),"",L351/(1-M351)-S351)</f>
        <v/>
      </c>
      <c r="U351" s="16" t="str">
        <f aca="false">IF(OR(L351="",P351=""),"",L351*(P351-1)-N351)</f>
        <v/>
      </c>
      <c r="V351" s="13"/>
      <c r="W351" s="17"/>
      <c r="X351" s="12"/>
      <c r="Y351" s="12"/>
      <c r="Z351" s="12"/>
      <c r="AA351" s="18" t="str">
        <f aca="false">IF(K351&lt;&gt;"ВИРТУАЛЬНЫЙ ВЫБОР","",IF(Z351="✅ ЗАШЛО",W351*(P351-1),IF(Z351="❌ НЕ ЗАШЛО",-W351,IF(Z351="½ ЗАШЛО",W351*(P351-1)/2,IF(Z351="½ НЕ ЗАШЛО",-W351/2,IF(Z351="ВОЗВРАТ",0,""))))))</f>
        <v/>
      </c>
      <c r="AB351" s="18" t="str">
        <f aca="false">IF(AND(K351="ВИРТУАЛЬНЫЙ ВЫБОР",OR(Z351="✅ ЗАШЛО",Z351="❌ НЕ ЗАШЛО",Z351="½ ЗАШЛО",Z351="½ НЕ ЗАШЛО",Z351="ВОЗВРАТ")),W351,"")</f>
        <v/>
      </c>
      <c r="AC351" s="15"/>
      <c r="AD351" s="16" t="str">
        <f aca="false">IF(OR(AC351="",P351=""),"",P351/AC351-1)</f>
        <v/>
      </c>
      <c r="AE351" s="19" t="str">
        <f aca="false">IF(AND(M351=0,OR(Z351="✅ ЗАШЛО",Z351="❌ НЕ ЗАШЛО"),L351&lt;&gt;""),(L351-IF(Z351="✅ ЗАШЛО",1,0))^2,"")</f>
        <v/>
      </c>
      <c r="AF351" s="15"/>
      <c r="AG351" s="15"/>
      <c r="AH351" s="13"/>
      <c r="AI351" s="13"/>
      <c r="AJ351" s="13"/>
      <c r="AK351" s="20" t="str">
        <f aca="false">IF(AH351="","",IF(ABS(AH351+AI351+AJ351-1)&lt;0.000001,"OK","ОШИБКА"))</f>
        <v/>
      </c>
      <c r="AL351" s="13"/>
      <c r="AM351" s="12"/>
      <c r="AN351" s="12"/>
      <c r="AO351" s="12"/>
      <c r="AP351" s="12"/>
      <c r="AQ351" s="18" t="str">
        <f aca="false">IF(A351="","",N(AQ350)+N(AA351))</f>
        <v/>
      </c>
      <c r="AR351" s="18" t="str">
        <f aca="false">IF(AQ351="","",MAX(0,MAX($AQ$8:AQ351))-AQ351)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3"/>
      <c r="M352" s="13"/>
      <c r="N352" s="13"/>
      <c r="O352" s="14" t="str">
        <f aca="false">IF(OR(L352="",L352=0),"",(1-M352)/L352)</f>
        <v/>
      </c>
      <c r="P352" s="15"/>
      <c r="Q352" s="12"/>
      <c r="R352" s="12"/>
      <c r="S352" s="13"/>
      <c r="T352" s="16" t="str">
        <f aca="false">IF(OR(S352="",L352=""),"",L352/(1-M352)-S352)</f>
        <v/>
      </c>
      <c r="U352" s="16" t="str">
        <f aca="false">IF(OR(L352="",P352=""),"",L352*(P352-1)-N352)</f>
        <v/>
      </c>
      <c r="V352" s="13"/>
      <c r="W352" s="17"/>
      <c r="X352" s="12"/>
      <c r="Y352" s="12"/>
      <c r="Z352" s="12"/>
      <c r="AA352" s="18" t="str">
        <f aca="false">IF(K352&lt;&gt;"ВИРТУАЛЬНЫЙ ВЫБОР","",IF(Z352="✅ ЗАШЛО",W352*(P352-1),IF(Z352="❌ НЕ ЗАШЛО",-W352,IF(Z352="½ ЗАШЛО",W352*(P352-1)/2,IF(Z352="½ НЕ ЗАШЛО",-W352/2,IF(Z352="ВОЗВРАТ",0,""))))))</f>
        <v/>
      </c>
      <c r="AB352" s="18" t="str">
        <f aca="false">IF(AND(K352="ВИРТУАЛЬНЫЙ ВЫБОР",OR(Z352="✅ ЗАШЛО",Z352="❌ НЕ ЗАШЛО",Z352="½ ЗАШЛО",Z352="½ НЕ ЗАШЛО",Z352="ВОЗВРАТ")),W352,"")</f>
        <v/>
      </c>
      <c r="AC352" s="15"/>
      <c r="AD352" s="16" t="str">
        <f aca="false">IF(OR(AC352="",P352=""),"",P352/AC352-1)</f>
        <v/>
      </c>
      <c r="AE352" s="19" t="str">
        <f aca="false">IF(AND(M352=0,OR(Z352="✅ ЗАШЛО",Z352="❌ НЕ ЗАШЛО"),L352&lt;&gt;""),(L352-IF(Z352="✅ ЗАШЛО",1,0))^2,"")</f>
        <v/>
      </c>
      <c r="AF352" s="15"/>
      <c r="AG352" s="15"/>
      <c r="AH352" s="13"/>
      <c r="AI352" s="13"/>
      <c r="AJ352" s="13"/>
      <c r="AK352" s="20" t="str">
        <f aca="false">IF(AH352="","",IF(ABS(AH352+AI352+AJ352-1)&lt;0.000001,"OK","ОШИБКА"))</f>
        <v/>
      </c>
      <c r="AL352" s="13"/>
      <c r="AM352" s="12"/>
      <c r="AN352" s="12"/>
      <c r="AO352" s="12"/>
      <c r="AP352" s="12"/>
      <c r="AQ352" s="18" t="str">
        <f aca="false">IF(A352="","",N(AQ351)+N(AA352))</f>
        <v/>
      </c>
      <c r="AR352" s="18" t="str">
        <f aca="false">IF(AQ352="","",MAX(0,MAX($AQ$8:AQ352))-AQ352)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3"/>
      <c r="M353" s="13"/>
      <c r="N353" s="13"/>
      <c r="O353" s="14" t="str">
        <f aca="false">IF(OR(L353="",L353=0),"",(1-M353)/L353)</f>
        <v/>
      </c>
      <c r="P353" s="15"/>
      <c r="Q353" s="12"/>
      <c r="R353" s="12"/>
      <c r="S353" s="13"/>
      <c r="T353" s="16" t="str">
        <f aca="false">IF(OR(S353="",L353=""),"",L353/(1-M353)-S353)</f>
        <v/>
      </c>
      <c r="U353" s="16" t="str">
        <f aca="false">IF(OR(L353="",P353=""),"",L353*(P353-1)-N353)</f>
        <v/>
      </c>
      <c r="V353" s="13"/>
      <c r="W353" s="17"/>
      <c r="X353" s="12"/>
      <c r="Y353" s="12"/>
      <c r="Z353" s="12"/>
      <c r="AA353" s="18" t="str">
        <f aca="false">IF(K353&lt;&gt;"ВИРТУАЛЬНЫЙ ВЫБОР","",IF(Z353="✅ ЗАШЛО",W353*(P353-1),IF(Z353="❌ НЕ ЗАШЛО",-W353,IF(Z353="½ ЗАШЛО",W353*(P353-1)/2,IF(Z353="½ НЕ ЗАШЛО",-W353/2,IF(Z353="ВОЗВРАТ",0,""))))))</f>
        <v/>
      </c>
      <c r="AB353" s="18" t="str">
        <f aca="false">IF(AND(K353="ВИРТУАЛЬНЫЙ ВЫБОР",OR(Z353="✅ ЗАШЛО",Z353="❌ НЕ ЗАШЛО",Z353="½ ЗАШЛО",Z353="½ НЕ ЗАШЛО",Z353="ВОЗВРАТ")),W353,"")</f>
        <v/>
      </c>
      <c r="AC353" s="15"/>
      <c r="AD353" s="16" t="str">
        <f aca="false">IF(OR(AC353="",P353=""),"",P353/AC353-1)</f>
        <v/>
      </c>
      <c r="AE353" s="19" t="str">
        <f aca="false">IF(AND(M353=0,OR(Z353="✅ ЗАШЛО",Z353="❌ НЕ ЗАШЛО"),L353&lt;&gt;""),(L353-IF(Z353="✅ ЗАШЛО",1,0))^2,"")</f>
        <v/>
      </c>
      <c r="AF353" s="15"/>
      <c r="AG353" s="15"/>
      <c r="AH353" s="13"/>
      <c r="AI353" s="13"/>
      <c r="AJ353" s="13"/>
      <c r="AK353" s="20" t="str">
        <f aca="false">IF(AH353="","",IF(ABS(AH353+AI353+AJ353-1)&lt;0.000001,"OK","ОШИБКА"))</f>
        <v/>
      </c>
      <c r="AL353" s="13"/>
      <c r="AM353" s="12"/>
      <c r="AN353" s="12"/>
      <c r="AO353" s="12"/>
      <c r="AP353" s="12"/>
      <c r="AQ353" s="18" t="str">
        <f aca="false">IF(A353="","",N(AQ352)+N(AA353))</f>
        <v/>
      </c>
      <c r="AR353" s="18" t="str">
        <f aca="false">IF(AQ353="","",MAX(0,MAX($AQ$8:AQ353))-AQ353)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3"/>
      <c r="M354" s="13"/>
      <c r="N354" s="13"/>
      <c r="O354" s="14" t="str">
        <f aca="false">IF(OR(L354="",L354=0),"",(1-M354)/L354)</f>
        <v/>
      </c>
      <c r="P354" s="15"/>
      <c r="Q354" s="12"/>
      <c r="R354" s="12"/>
      <c r="S354" s="13"/>
      <c r="T354" s="16" t="str">
        <f aca="false">IF(OR(S354="",L354=""),"",L354/(1-M354)-S354)</f>
        <v/>
      </c>
      <c r="U354" s="16" t="str">
        <f aca="false">IF(OR(L354="",P354=""),"",L354*(P354-1)-N354)</f>
        <v/>
      </c>
      <c r="V354" s="13"/>
      <c r="W354" s="17"/>
      <c r="X354" s="12"/>
      <c r="Y354" s="12"/>
      <c r="Z354" s="12"/>
      <c r="AA354" s="18" t="str">
        <f aca="false">IF(K354&lt;&gt;"ВИРТУАЛЬНЫЙ ВЫБОР","",IF(Z354="✅ ЗАШЛО",W354*(P354-1),IF(Z354="❌ НЕ ЗАШЛО",-W354,IF(Z354="½ ЗАШЛО",W354*(P354-1)/2,IF(Z354="½ НЕ ЗАШЛО",-W354/2,IF(Z354="ВОЗВРАТ",0,""))))))</f>
        <v/>
      </c>
      <c r="AB354" s="18" t="str">
        <f aca="false">IF(AND(K354="ВИРТУАЛЬНЫЙ ВЫБОР",OR(Z354="✅ ЗАШЛО",Z354="❌ НЕ ЗАШЛО",Z354="½ ЗАШЛО",Z354="½ НЕ ЗАШЛО",Z354="ВОЗВРАТ")),W354,"")</f>
        <v/>
      </c>
      <c r="AC354" s="15"/>
      <c r="AD354" s="16" t="str">
        <f aca="false">IF(OR(AC354="",P354=""),"",P354/AC354-1)</f>
        <v/>
      </c>
      <c r="AE354" s="19" t="str">
        <f aca="false">IF(AND(M354=0,OR(Z354="✅ ЗАШЛО",Z354="❌ НЕ ЗАШЛО"),L354&lt;&gt;""),(L354-IF(Z354="✅ ЗАШЛО",1,0))^2,"")</f>
        <v/>
      </c>
      <c r="AF354" s="15"/>
      <c r="AG354" s="15"/>
      <c r="AH354" s="13"/>
      <c r="AI354" s="13"/>
      <c r="AJ354" s="13"/>
      <c r="AK354" s="20" t="str">
        <f aca="false">IF(AH354="","",IF(ABS(AH354+AI354+AJ354-1)&lt;0.000001,"OK","ОШИБКА"))</f>
        <v/>
      </c>
      <c r="AL354" s="13"/>
      <c r="AM354" s="12"/>
      <c r="AN354" s="12"/>
      <c r="AO354" s="12"/>
      <c r="AP354" s="12"/>
      <c r="AQ354" s="18" t="str">
        <f aca="false">IF(A354="","",N(AQ353)+N(AA354))</f>
        <v/>
      </c>
      <c r="AR354" s="18" t="str">
        <f aca="false">IF(AQ354="","",MAX(0,MAX($AQ$8:AQ354))-AQ354)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3"/>
      <c r="M355" s="13"/>
      <c r="N355" s="13"/>
      <c r="O355" s="14" t="str">
        <f aca="false">IF(OR(L355="",L355=0),"",(1-M355)/L355)</f>
        <v/>
      </c>
      <c r="P355" s="15"/>
      <c r="Q355" s="12"/>
      <c r="R355" s="12"/>
      <c r="S355" s="13"/>
      <c r="T355" s="16" t="str">
        <f aca="false">IF(OR(S355="",L355=""),"",L355/(1-M355)-S355)</f>
        <v/>
      </c>
      <c r="U355" s="16" t="str">
        <f aca="false">IF(OR(L355="",P355=""),"",L355*(P355-1)-N355)</f>
        <v/>
      </c>
      <c r="V355" s="13"/>
      <c r="W355" s="17"/>
      <c r="X355" s="12"/>
      <c r="Y355" s="12"/>
      <c r="Z355" s="12"/>
      <c r="AA355" s="18" t="str">
        <f aca="false">IF(K355&lt;&gt;"ВИРТУАЛЬНЫЙ ВЫБОР","",IF(Z355="✅ ЗАШЛО",W355*(P355-1),IF(Z355="❌ НЕ ЗАШЛО",-W355,IF(Z355="½ ЗАШЛО",W355*(P355-1)/2,IF(Z355="½ НЕ ЗАШЛО",-W355/2,IF(Z355="ВОЗВРАТ",0,""))))))</f>
        <v/>
      </c>
      <c r="AB355" s="18" t="str">
        <f aca="false">IF(AND(K355="ВИРТУАЛЬНЫЙ ВЫБОР",OR(Z355="✅ ЗАШЛО",Z355="❌ НЕ ЗАШЛО",Z355="½ ЗАШЛО",Z355="½ НЕ ЗАШЛО",Z355="ВОЗВРАТ")),W355,"")</f>
        <v/>
      </c>
      <c r="AC355" s="15"/>
      <c r="AD355" s="16" t="str">
        <f aca="false">IF(OR(AC355="",P355=""),"",P355/AC355-1)</f>
        <v/>
      </c>
      <c r="AE355" s="19" t="str">
        <f aca="false">IF(AND(M355=0,OR(Z355="✅ ЗАШЛО",Z355="❌ НЕ ЗАШЛО"),L355&lt;&gt;""),(L355-IF(Z355="✅ ЗАШЛО",1,0))^2,"")</f>
        <v/>
      </c>
      <c r="AF355" s="15"/>
      <c r="AG355" s="15"/>
      <c r="AH355" s="13"/>
      <c r="AI355" s="13"/>
      <c r="AJ355" s="13"/>
      <c r="AK355" s="20" t="str">
        <f aca="false">IF(AH355="","",IF(ABS(AH355+AI355+AJ355-1)&lt;0.000001,"OK","ОШИБКА"))</f>
        <v/>
      </c>
      <c r="AL355" s="13"/>
      <c r="AM355" s="12"/>
      <c r="AN355" s="12"/>
      <c r="AO355" s="12"/>
      <c r="AP355" s="12"/>
      <c r="AQ355" s="18" t="str">
        <f aca="false">IF(A355="","",N(AQ354)+N(AA355))</f>
        <v/>
      </c>
      <c r="AR355" s="18" t="str">
        <f aca="false">IF(AQ355="","",MAX(0,MAX($AQ$8:AQ355))-AQ355)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3"/>
      <c r="M356" s="13"/>
      <c r="N356" s="13"/>
      <c r="O356" s="14" t="str">
        <f aca="false">IF(OR(L356="",L356=0),"",(1-M356)/L356)</f>
        <v/>
      </c>
      <c r="P356" s="15"/>
      <c r="Q356" s="12"/>
      <c r="R356" s="12"/>
      <c r="S356" s="13"/>
      <c r="T356" s="16" t="str">
        <f aca="false">IF(OR(S356="",L356=""),"",L356/(1-M356)-S356)</f>
        <v/>
      </c>
      <c r="U356" s="16" t="str">
        <f aca="false">IF(OR(L356="",P356=""),"",L356*(P356-1)-N356)</f>
        <v/>
      </c>
      <c r="V356" s="13"/>
      <c r="W356" s="17"/>
      <c r="X356" s="12"/>
      <c r="Y356" s="12"/>
      <c r="Z356" s="12"/>
      <c r="AA356" s="18" t="str">
        <f aca="false">IF(K356&lt;&gt;"ВИРТУАЛЬНЫЙ ВЫБОР","",IF(Z356="✅ ЗАШЛО",W356*(P356-1),IF(Z356="❌ НЕ ЗАШЛО",-W356,IF(Z356="½ ЗАШЛО",W356*(P356-1)/2,IF(Z356="½ НЕ ЗАШЛО",-W356/2,IF(Z356="ВОЗВРАТ",0,""))))))</f>
        <v/>
      </c>
      <c r="AB356" s="18" t="str">
        <f aca="false">IF(AND(K356="ВИРТУАЛЬНЫЙ ВЫБОР",OR(Z356="✅ ЗАШЛО",Z356="❌ НЕ ЗАШЛО",Z356="½ ЗАШЛО",Z356="½ НЕ ЗАШЛО",Z356="ВОЗВРАТ")),W356,"")</f>
        <v/>
      </c>
      <c r="AC356" s="15"/>
      <c r="AD356" s="16" t="str">
        <f aca="false">IF(OR(AC356="",P356=""),"",P356/AC356-1)</f>
        <v/>
      </c>
      <c r="AE356" s="19" t="str">
        <f aca="false">IF(AND(M356=0,OR(Z356="✅ ЗАШЛО",Z356="❌ НЕ ЗАШЛО"),L356&lt;&gt;""),(L356-IF(Z356="✅ ЗАШЛО",1,0))^2,"")</f>
        <v/>
      </c>
      <c r="AF356" s="15"/>
      <c r="AG356" s="15"/>
      <c r="AH356" s="13"/>
      <c r="AI356" s="13"/>
      <c r="AJ356" s="13"/>
      <c r="AK356" s="20" t="str">
        <f aca="false">IF(AH356="","",IF(ABS(AH356+AI356+AJ356-1)&lt;0.000001,"OK","ОШИБКА"))</f>
        <v/>
      </c>
      <c r="AL356" s="13"/>
      <c r="AM356" s="12"/>
      <c r="AN356" s="12"/>
      <c r="AO356" s="12"/>
      <c r="AP356" s="12"/>
      <c r="AQ356" s="18" t="str">
        <f aca="false">IF(A356="","",N(AQ355)+N(AA356))</f>
        <v/>
      </c>
      <c r="AR356" s="18" t="str">
        <f aca="false">IF(AQ356="","",MAX(0,MAX($AQ$8:AQ356))-AQ356)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3"/>
      <c r="M357" s="13"/>
      <c r="N357" s="13"/>
      <c r="O357" s="14" t="str">
        <f aca="false">IF(OR(L357="",L357=0),"",(1-M357)/L357)</f>
        <v/>
      </c>
      <c r="P357" s="15"/>
      <c r="Q357" s="12"/>
      <c r="R357" s="12"/>
      <c r="S357" s="13"/>
      <c r="T357" s="16" t="str">
        <f aca="false">IF(OR(S357="",L357=""),"",L357/(1-M357)-S357)</f>
        <v/>
      </c>
      <c r="U357" s="16" t="str">
        <f aca="false">IF(OR(L357="",P357=""),"",L357*(P357-1)-N357)</f>
        <v/>
      </c>
      <c r="V357" s="13"/>
      <c r="W357" s="17"/>
      <c r="X357" s="12"/>
      <c r="Y357" s="12"/>
      <c r="Z357" s="12"/>
      <c r="AA357" s="18" t="str">
        <f aca="false">IF(K357&lt;&gt;"ВИРТУАЛЬНЫЙ ВЫБОР","",IF(Z357="✅ ЗАШЛО",W357*(P357-1),IF(Z357="❌ НЕ ЗАШЛО",-W357,IF(Z357="½ ЗАШЛО",W357*(P357-1)/2,IF(Z357="½ НЕ ЗАШЛО",-W357/2,IF(Z357="ВОЗВРАТ",0,""))))))</f>
        <v/>
      </c>
      <c r="AB357" s="18" t="str">
        <f aca="false">IF(AND(K357="ВИРТУАЛЬНЫЙ ВЫБОР",OR(Z357="✅ ЗАШЛО",Z357="❌ НЕ ЗАШЛО",Z357="½ ЗАШЛО",Z357="½ НЕ ЗАШЛО",Z357="ВОЗВРАТ")),W357,"")</f>
        <v/>
      </c>
      <c r="AC357" s="15"/>
      <c r="AD357" s="16" t="str">
        <f aca="false">IF(OR(AC357="",P357=""),"",P357/AC357-1)</f>
        <v/>
      </c>
      <c r="AE357" s="19" t="str">
        <f aca="false">IF(AND(M357=0,OR(Z357="✅ ЗАШЛО",Z357="❌ НЕ ЗАШЛО"),L357&lt;&gt;""),(L357-IF(Z357="✅ ЗАШЛО",1,0))^2,"")</f>
        <v/>
      </c>
      <c r="AF357" s="15"/>
      <c r="AG357" s="15"/>
      <c r="AH357" s="13"/>
      <c r="AI357" s="13"/>
      <c r="AJ357" s="13"/>
      <c r="AK357" s="20" t="str">
        <f aca="false">IF(AH357="","",IF(ABS(AH357+AI357+AJ357-1)&lt;0.000001,"OK","ОШИБКА"))</f>
        <v/>
      </c>
      <c r="AL357" s="13"/>
      <c r="AM357" s="12"/>
      <c r="AN357" s="12"/>
      <c r="AO357" s="12"/>
      <c r="AP357" s="12"/>
      <c r="AQ357" s="18" t="str">
        <f aca="false">IF(A357="","",N(AQ356)+N(AA357))</f>
        <v/>
      </c>
      <c r="AR357" s="18" t="str">
        <f aca="false">IF(AQ357="","",MAX(0,MAX($AQ$8:AQ357))-AQ357)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3"/>
      <c r="M358" s="13"/>
      <c r="N358" s="13"/>
      <c r="O358" s="14" t="str">
        <f aca="false">IF(OR(L358="",L358=0),"",(1-M358)/L358)</f>
        <v/>
      </c>
      <c r="P358" s="15"/>
      <c r="Q358" s="12"/>
      <c r="R358" s="12"/>
      <c r="S358" s="13"/>
      <c r="T358" s="16" t="str">
        <f aca="false">IF(OR(S358="",L358=""),"",L358/(1-M358)-S358)</f>
        <v/>
      </c>
      <c r="U358" s="16" t="str">
        <f aca="false">IF(OR(L358="",P358=""),"",L358*(P358-1)-N358)</f>
        <v/>
      </c>
      <c r="V358" s="13"/>
      <c r="W358" s="17"/>
      <c r="X358" s="12"/>
      <c r="Y358" s="12"/>
      <c r="Z358" s="12"/>
      <c r="AA358" s="18" t="str">
        <f aca="false">IF(K358&lt;&gt;"ВИРТУАЛЬНЫЙ ВЫБОР","",IF(Z358="✅ ЗАШЛО",W358*(P358-1),IF(Z358="❌ НЕ ЗАШЛО",-W358,IF(Z358="½ ЗАШЛО",W358*(P358-1)/2,IF(Z358="½ НЕ ЗАШЛО",-W358/2,IF(Z358="ВОЗВРАТ",0,""))))))</f>
        <v/>
      </c>
      <c r="AB358" s="18" t="str">
        <f aca="false">IF(AND(K358="ВИРТУАЛЬНЫЙ ВЫБОР",OR(Z358="✅ ЗАШЛО",Z358="❌ НЕ ЗАШЛО",Z358="½ ЗАШЛО",Z358="½ НЕ ЗАШЛО",Z358="ВОЗВРАТ")),W358,"")</f>
        <v/>
      </c>
      <c r="AC358" s="15"/>
      <c r="AD358" s="16" t="str">
        <f aca="false">IF(OR(AC358="",P358=""),"",P358/AC358-1)</f>
        <v/>
      </c>
      <c r="AE358" s="19" t="str">
        <f aca="false">IF(AND(M358=0,OR(Z358="✅ ЗАШЛО",Z358="❌ НЕ ЗАШЛО"),L358&lt;&gt;""),(L358-IF(Z358="✅ ЗАШЛО",1,0))^2,"")</f>
        <v/>
      </c>
      <c r="AF358" s="15"/>
      <c r="AG358" s="15"/>
      <c r="AH358" s="13"/>
      <c r="AI358" s="13"/>
      <c r="AJ358" s="13"/>
      <c r="AK358" s="20" t="str">
        <f aca="false">IF(AH358="","",IF(ABS(AH358+AI358+AJ358-1)&lt;0.000001,"OK","ОШИБКА"))</f>
        <v/>
      </c>
      <c r="AL358" s="13"/>
      <c r="AM358" s="12"/>
      <c r="AN358" s="12"/>
      <c r="AO358" s="12"/>
      <c r="AP358" s="12"/>
      <c r="AQ358" s="18" t="str">
        <f aca="false">IF(A358="","",N(AQ357)+N(AA358))</f>
        <v/>
      </c>
      <c r="AR358" s="18" t="str">
        <f aca="false">IF(AQ358="","",MAX(0,MAX($AQ$8:AQ358))-AQ358)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3"/>
      <c r="M359" s="13"/>
      <c r="N359" s="13"/>
      <c r="O359" s="14" t="str">
        <f aca="false">IF(OR(L359="",L359=0),"",(1-M359)/L359)</f>
        <v/>
      </c>
      <c r="P359" s="15"/>
      <c r="Q359" s="12"/>
      <c r="R359" s="12"/>
      <c r="S359" s="13"/>
      <c r="T359" s="16" t="str">
        <f aca="false">IF(OR(S359="",L359=""),"",L359/(1-M359)-S359)</f>
        <v/>
      </c>
      <c r="U359" s="16" t="str">
        <f aca="false">IF(OR(L359="",P359=""),"",L359*(P359-1)-N359)</f>
        <v/>
      </c>
      <c r="V359" s="13"/>
      <c r="W359" s="17"/>
      <c r="X359" s="12"/>
      <c r="Y359" s="12"/>
      <c r="Z359" s="12"/>
      <c r="AA359" s="18" t="str">
        <f aca="false">IF(K359&lt;&gt;"ВИРТУАЛЬНЫЙ ВЫБОР","",IF(Z359="✅ ЗАШЛО",W359*(P359-1),IF(Z359="❌ НЕ ЗАШЛО",-W359,IF(Z359="½ ЗАШЛО",W359*(P359-1)/2,IF(Z359="½ НЕ ЗАШЛО",-W359/2,IF(Z359="ВОЗВРАТ",0,""))))))</f>
        <v/>
      </c>
      <c r="AB359" s="18" t="str">
        <f aca="false">IF(AND(K359="ВИРТУАЛЬНЫЙ ВЫБОР",OR(Z359="✅ ЗАШЛО",Z359="❌ НЕ ЗАШЛО",Z359="½ ЗАШЛО",Z359="½ НЕ ЗАШЛО",Z359="ВОЗВРАТ")),W359,"")</f>
        <v/>
      </c>
      <c r="AC359" s="15"/>
      <c r="AD359" s="16" t="str">
        <f aca="false">IF(OR(AC359="",P359=""),"",P359/AC359-1)</f>
        <v/>
      </c>
      <c r="AE359" s="19" t="str">
        <f aca="false">IF(AND(M359=0,OR(Z359="✅ ЗАШЛО",Z359="❌ НЕ ЗАШЛО"),L359&lt;&gt;""),(L359-IF(Z359="✅ ЗАШЛО",1,0))^2,"")</f>
        <v/>
      </c>
      <c r="AF359" s="15"/>
      <c r="AG359" s="15"/>
      <c r="AH359" s="13"/>
      <c r="AI359" s="13"/>
      <c r="AJ359" s="13"/>
      <c r="AK359" s="20" t="str">
        <f aca="false">IF(AH359="","",IF(ABS(AH359+AI359+AJ359-1)&lt;0.000001,"OK","ОШИБКА"))</f>
        <v/>
      </c>
      <c r="AL359" s="13"/>
      <c r="AM359" s="12"/>
      <c r="AN359" s="12"/>
      <c r="AO359" s="12"/>
      <c r="AP359" s="12"/>
      <c r="AQ359" s="18" t="str">
        <f aca="false">IF(A359="","",N(AQ358)+N(AA359))</f>
        <v/>
      </c>
      <c r="AR359" s="18" t="str">
        <f aca="false">IF(AQ359="","",MAX(0,MAX($AQ$8:AQ359))-AQ359)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3"/>
      <c r="M360" s="13"/>
      <c r="N360" s="13"/>
      <c r="O360" s="14" t="str">
        <f aca="false">IF(OR(L360="",L360=0),"",(1-M360)/L360)</f>
        <v/>
      </c>
      <c r="P360" s="15"/>
      <c r="Q360" s="12"/>
      <c r="R360" s="12"/>
      <c r="S360" s="13"/>
      <c r="T360" s="16" t="str">
        <f aca="false">IF(OR(S360="",L360=""),"",L360/(1-M360)-S360)</f>
        <v/>
      </c>
      <c r="U360" s="16" t="str">
        <f aca="false">IF(OR(L360="",P360=""),"",L360*(P360-1)-N360)</f>
        <v/>
      </c>
      <c r="V360" s="13"/>
      <c r="W360" s="17"/>
      <c r="X360" s="12"/>
      <c r="Y360" s="12"/>
      <c r="Z360" s="12"/>
      <c r="AA360" s="18" t="str">
        <f aca="false">IF(K360&lt;&gt;"ВИРТУАЛЬНЫЙ ВЫБОР","",IF(Z360="✅ ЗАШЛО",W360*(P360-1),IF(Z360="❌ НЕ ЗАШЛО",-W360,IF(Z360="½ ЗАШЛО",W360*(P360-1)/2,IF(Z360="½ НЕ ЗАШЛО",-W360/2,IF(Z360="ВОЗВРАТ",0,""))))))</f>
        <v/>
      </c>
      <c r="AB360" s="18" t="str">
        <f aca="false">IF(AND(K360="ВИРТУАЛЬНЫЙ ВЫБОР",OR(Z360="✅ ЗАШЛО",Z360="❌ НЕ ЗАШЛО",Z360="½ ЗАШЛО",Z360="½ НЕ ЗАШЛО",Z360="ВОЗВРАТ")),W360,"")</f>
        <v/>
      </c>
      <c r="AC360" s="15"/>
      <c r="AD360" s="16" t="str">
        <f aca="false">IF(OR(AC360="",P360=""),"",P360/AC360-1)</f>
        <v/>
      </c>
      <c r="AE360" s="19" t="str">
        <f aca="false">IF(AND(M360=0,OR(Z360="✅ ЗАШЛО",Z360="❌ НЕ ЗАШЛО"),L360&lt;&gt;""),(L360-IF(Z360="✅ ЗАШЛО",1,0))^2,"")</f>
        <v/>
      </c>
      <c r="AF360" s="15"/>
      <c r="AG360" s="15"/>
      <c r="AH360" s="13"/>
      <c r="AI360" s="13"/>
      <c r="AJ360" s="13"/>
      <c r="AK360" s="20" t="str">
        <f aca="false">IF(AH360="","",IF(ABS(AH360+AI360+AJ360-1)&lt;0.000001,"OK","ОШИБКА"))</f>
        <v/>
      </c>
      <c r="AL360" s="13"/>
      <c r="AM360" s="12"/>
      <c r="AN360" s="12"/>
      <c r="AO360" s="12"/>
      <c r="AP360" s="12"/>
      <c r="AQ360" s="18" t="str">
        <f aca="false">IF(A360="","",N(AQ359)+N(AA360))</f>
        <v/>
      </c>
      <c r="AR360" s="18" t="str">
        <f aca="false">IF(AQ360="","",MAX(0,MAX($AQ$8:AQ360))-AQ360)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3"/>
      <c r="M361" s="13"/>
      <c r="N361" s="13"/>
      <c r="O361" s="14" t="str">
        <f aca="false">IF(OR(L361="",L361=0),"",(1-M361)/L361)</f>
        <v/>
      </c>
      <c r="P361" s="15"/>
      <c r="Q361" s="12"/>
      <c r="R361" s="12"/>
      <c r="S361" s="13"/>
      <c r="T361" s="16" t="str">
        <f aca="false">IF(OR(S361="",L361=""),"",L361/(1-M361)-S361)</f>
        <v/>
      </c>
      <c r="U361" s="16" t="str">
        <f aca="false">IF(OR(L361="",P361=""),"",L361*(P361-1)-N361)</f>
        <v/>
      </c>
      <c r="V361" s="13"/>
      <c r="W361" s="17"/>
      <c r="X361" s="12"/>
      <c r="Y361" s="12"/>
      <c r="Z361" s="12"/>
      <c r="AA361" s="18" t="str">
        <f aca="false">IF(K361&lt;&gt;"ВИРТУАЛЬНЫЙ ВЫБОР","",IF(Z361="✅ ЗАШЛО",W361*(P361-1),IF(Z361="❌ НЕ ЗАШЛО",-W361,IF(Z361="½ ЗАШЛО",W361*(P361-1)/2,IF(Z361="½ НЕ ЗАШЛО",-W361/2,IF(Z361="ВОЗВРАТ",0,""))))))</f>
        <v/>
      </c>
      <c r="AB361" s="18" t="str">
        <f aca="false">IF(AND(K361="ВИРТУАЛЬНЫЙ ВЫБОР",OR(Z361="✅ ЗАШЛО",Z361="❌ НЕ ЗАШЛО",Z361="½ ЗАШЛО",Z361="½ НЕ ЗАШЛО",Z361="ВОЗВРАТ")),W361,"")</f>
        <v/>
      </c>
      <c r="AC361" s="15"/>
      <c r="AD361" s="16" t="str">
        <f aca="false">IF(OR(AC361="",P361=""),"",P361/AC361-1)</f>
        <v/>
      </c>
      <c r="AE361" s="19" t="str">
        <f aca="false">IF(AND(M361=0,OR(Z361="✅ ЗАШЛО",Z361="❌ НЕ ЗАШЛО"),L361&lt;&gt;""),(L361-IF(Z361="✅ ЗАШЛО",1,0))^2,"")</f>
        <v/>
      </c>
      <c r="AF361" s="15"/>
      <c r="AG361" s="15"/>
      <c r="AH361" s="13"/>
      <c r="AI361" s="13"/>
      <c r="AJ361" s="13"/>
      <c r="AK361" s="20" t="str">
        <f aca="false">IF(AH361="","",IF(ABS(AH361+AI361+AJ361-1)&lt;0.000001,"OK","ОШИБКА"))</f>
        <v/>
      </c>
      <c r="AL361" s="13"/>
      <c r="AM361" s="12"/>
      <c r="AN361" s="12"/>
      <c r="AO361" s="12"/>
      <c r="AP361" s="12"/>
      <c r="AQ361" s="18" t="str">
        <f aca="false">IF(A361="","",N(AQ360)+N(AA361))</f>
        <v/>
      </c>
      <c r="AR361" s="18" t="str">
        <f aca="false">IF(AQ361="","",MAX(0,MAX($AQ$8:AQ361))-AQ361)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3"/>
      <c r="M362" s="13"/>
      <c r="N362" s="13"/>
      <c r="O362" s="14" t="str">
        <f aca="false">IF(OR(L362="",L362=0),"",(1-M362)/L362)</f>
        <v/>
      </c>
      <c r="P362" s="15"/>
      <c r="Q362" s="12"/>
      <c r="R362" s="12"/>
      <c r="S362" s="13"/>
      <c r="T362" s="16" t="str">
        <f aca="false">IF(OR(S362="",L362=""),"",L362/(1-M362)-S362)</f>
        <v/>
      </c>
      <c r="U362" s="16" t="str">
        <f aca="false">IF(OR(L362="",P362=""),"",L362*(P362-1)-N362)</f>
        <v/>
      </c>
      <c r="V362" s="13"/>
      <c r="W362" s="17"/>
      <c r="X362" s="12"/>
      <c r="Y362" s="12"/>
      <c r="Z362" s="12"/>
      <c r="AA362" s="18" t="str">
        <f aca="false">IF(K362&lt;&gt;"ВИРТУАЛЬНЫЙ ВЫБОР","",IF(Z362="✅ ЗАШЛО",W362*(P362-1),IF(Z362="❌ НЕ ЗАШЛО",-W362,IF(Z362="½ ЗАШЛО",W362*(P362-1)/2,IF(Z362="½ НЕ ЗАШЛО",-W362/2,IF(Z362="ВОЗВРАТ",0,""))))))</f>
        <v/>
      </c>
      <c r="AB362" s="18" t="str">
        <f aca="false">IF(AND(K362="ВИРТУАЛЬНЫЙ ВЫБОР",OR(Z362="✅ ЗАШЛО",Z362="❌ НЕ ЗАШЛО",Z362="½ ЗАШЛО",Z362="½ НЕ ЗАШЛО",Z362="ВОЗВРАТ")),W362,"")</f>
        <v/>
      </c>
      <c r="AC362" s="15"/>
      <c r="AD362" s="16" t="str">
        <f aca="false">IF(OR(AC362="",P362=""),"",P362/AC362-1)</f>
        <v/>
      </c>
      <c r="AE362" s="19" t="str">
        <f aca="false">IF(AND(M362=0,OR(Z362="✅ ЗАШЛО",Z362="❌ НЕ ЗАШЛО"),L362&lt;&gt;""),(L362-IF(Z362="✅ ЗАШЛО",1,0))^2,"")</f>
        <v/>
      </c>
      <c r="AF362" s="15"/>
      <c r="AG362" s="15"/>
      <c r="AH362" s="13"/>
      <c r="AI362" s="13"/>
      <c r="AJ362" s="13"/>
      <c r="AK362" s="20" t="str">
        <f aca="false">IF(AH362="","",IF(ABS(AH362+AI362+AJ362-1)&lt;0.000001,"OK","ОШИБКА"))</f>
        <v/>
      </c>
      <c r="AL362" s="13"/>
      <c r="AM362" s="12"/>
      <c r="AN362" s="12"/>
      <c r="AO362" s="12"/>
      <c r="AP362" s="12"/>
      <c r="AQ362" s="18" t="str">
        <f aca="false">IF(A362="","",N(AQ361)+N(AA362))</f>
        <v/>
      </c>
      <c r="AR362" s="18" t="str">
        <f aca="false">IF(AQ362="","",MAX(0,MAX($AQ$8:AQ362))-AQ362)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3"/>
      <c r="M363" s="13"/>
      <c r="N363" s="13"/>
      <c r="O363" s="14" t="str">
        <f aca="false">IF(OR(L363="",L363=0),"",(1-M363)/L363)</f>
        <v/>
      </c>
      <c r="P363" s="15"/>
      <c r="Q363" s="12"/>
      <c r="R363" s="12"/>
      <c r="S363" s="13"/>
      <c r="T363" s="16" t="str">
        <f aca="false">IF(OR(S363="",L363=""),"",L363/(1-M363)-S363)</f>
        <v/>
      </c>
      <c r="U363" s="16" t="str">
        <f aca="false">IF(OR(L363="",P363=""),"",L363*(P363-1)-N363)</f>
        <v/>
      </c>
      <c r="V363" s="13"/>
      <c r="W363" s="17"/>
      <c r="X363" s="12"/>
      <c r="Y363" s="12"/>
      <c r="Z363" s="12"/>
      <c r="AA363" s="18" t="str">
        <f aca="false">IF(K363&lt;&gt;"ВИРТУАЛЬНЫЙ ВЫБОР","",IF(Z363="✅ ЗАШЛО",W363*(P363-1),IF(Z363="❌ НЕ ЗАШЛО",-W363,IF(Z363="½ ЗАШЛО",W363*(P363-1)/2,IF(Z363="½ НЕ ЗАШЛО",-W363/2,IF(Z363="ВОЗВРАТ",0,""))))))</f>
        <v/>
      </c>
      <c r="AB363" s="18" t="str">
        <f aca="false">IF(AND(K363="ВИРТУАЛЬНЫЙ ВЫБОР",OR(Z363="✅ ЗАШЛО",Z363="❌ НЕ ЗАШЛО",Z363="½ ЗАШЛО",Z363="½ НЕ ЗАШЛО",Z363="ВОЗВРАТ")),W363,"")</f>
        <v/>
      </c>
      <c r="AC363" s="15"/>
      <c r="AD363" s="16" t="str">
        <f aca="false">IF(OR(AC363="",P363=""),"",P363/AC363-1)</f>
        <v/>
      </c>
      <c r="AE363" s="19" t="str">
        <f aca="false">IF(AND(M363=0,OR(Z363="✅ ЗАШЛО",Z363="❌ НЕ ЗАШЛО"),L363&lt;&gt;""),(L363-IF(Z363="✅ ЗАШЛО",1,0))^2,"")</f>
        <v/>
      </c>
      <c r="AF363" s="15"/>
      <c r="AG363" s="15"/>
      <c r="AH363" s="13"/>
      <c r="AI363" s="13"/>
      <c r="AJ363" s="13"/>
      <c r="AK363" s="20" t="str">
        <f aca="false">IF(AH363="","",IF(ABS(AH363+AI363+AJ363-1)&lt;0.000001,"OK","ОШИБКА"))</f>
        <v/>
      </c>
      <c r="AL363" s="13"/>
      <c r="AM363" s="12"/>
      <c r="AN363" s="12"/>
      <c r="AO363" s="12"/>
      <c r="AP363" s="12"/>
      <c r="AQ363" s="18" t="str">
        <f aca="false">IF(A363="","",N(AQ362)+N(AA363))</f>
        <v/>
      </c>
      <c r="AR363" s="18" t="str">
        <f aca="false">IF(AQ363="","",MAX(0,MAX($AQ$8:AQ363))-AQ363)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3"/>
      <c r="M364" s="13"/>
      <c r="N364" s="13"/>
      <c r="O364" s="14" t="str">
        <f aca="false">IF(OR(L364="",L364=0),"",(1-M364)/L364)</f>
        <v/>
      </c>
      <c r="P364" s="15"/>
      <c r="Q364" s="12"/>
      <c r="R364" s="12"/>
      <c r="S364" s="13"/>
      <c r="T364" s="16" t="str">
        <f aca="false">IF(OR(S364="",L364=""),"",L364/(1-M364)-S364)</f>
        <v/>
      </c>
      <c r="U364" s="16" t="str">
        <f aca="false">IF(OR(L364="",P364=""),"",L364*(P364-1)-N364)</f>
        <v/>
      </c>
      <c r="V364" s="13"/>
      <c r="W364" s="17"/>
      <c r="X364" s="12"/>
      <c r="Y364" s="12"/>
      <c r="Z364" s="12"/>
      <c r="AA364" s="18" t="str">
        <f aca="false">IF(K364&lt;&gt;"ВИРТУАЛЬНЫЙ ВЫБОР","",IF(Z364="✅ ЗАШЛО",W364*(P364-1),IF(Z364="❌ НЕ ЗАШЛО",-W364,IF(Z364="½ ЗАШЛО",W364*(P364-1)/2,IF(Z364="½ НЕ ЗАШЛО",-W364/2,IF(Z364="ВОЗВРАТ",0,""))))))</f>
        <v/>
      </c>
      <c r="AB364" s="18" t="str">
        <f aca="false">IF(AND(K364="ВИРТУАЛЬНЫЙ ВЫБОР",OR(Z364="✅ ЗАШЛО",Z364="❌ НЕ ЗАШЛО",Z364="½ ЗАШЛО",Z364="½ НЕ ЗАШЛО",Z364="ВОЗВРАТ")),W364,"")</f>
        <v/>
      </c>
      <c r="AC364" s="15"/>
      <c r="AD364" s="16" t="str">
        <f aca="false">IF(OR(AC364="",P364=""),"",P364/AC364-1)</f>
        <v/>
      </c>
      <c r="AE364" s="19" t="str">
        <f aca="false">IF(AND(M364=0,OR(Z364="✅ ЗАШЛО",Z364="❌ НЕ ЗАШЛО"),L364&lt;&gt;""),(L364-IF(Z364="✅ ЗАШЛО",1,0))^2,"")</f>
        <v/>
      </c>
      <c r="AF364" s="15"/>
      <c r="AG364" s="15"/>
      <c r="AH364" s="13"/>
      <c r="AI364" s="13"/>
      <c r="AJ364" s="13"/>
      <c r="AK364" s="20" t="str">
        <f aca="false">IF(AH364="","",IF(ABS(AH364+AI364+AJ364-1)&lt;0.000001,"OK","ОШИБКА"))</f>
        <v/>
      </c>
      <c r="AL364" s="13"/>
      <c r="AM364" s="12"/>
      <c r="AN364" s="12"/>
      <c r="AO364" s="12"/>
      <c r="AP364" s="12"/>
      <c r="AQ364" s="18" t="str">
        <f aca="false">IF(A364="","",N(AQ363)+N(AA364))</f>
        <v/>
      </c>
      <c r="AR364" s="18" t="str">
        <f aca="false">IF(AQ364="","",MAX(0,MAX($AQ$8:AQ364))-AQ364)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3"/>
      <c r="M365" s="13"/>
      <c r="N365" s="13"/>
      <c r="O365" s="14" t="str">
        <f aca="false">IF(OR(L365="",L365=0),"",(1-M365)/L365)</f>
        <v/>
      </c>
      <c r="P365" s="15"/>
      <c r="Q365" s="12"/>
      <c r="R365" s="12"/>
      <c r="S365" s="13"/>
      <c r="T365" s="16" t="str">
        <f aca="false">IF(OR(S365="",L365=""),"",L365/(1-M365)-S365)</f>
        <v/>
      </c>
      <c r="U365" s="16" t="str">
        <f aca="false">IF(OR(L365="",P365=""),"",L365*(P365-1)-N365)</f>
        <v/>
      </c>
      <c r="V365" s="13"/>
      <c r="W365" s="17"/>
      <c r="X365" s="12"/>
      <c r="Y365" s="12"/>
      <c r="Z365" s="12"/>
      <c r="AA365" s="18" t="str">
        <f aca="false">IF(K365&lt;&gt;"ВИРТУАЛЬНЫЙ ВЫБОР","",IF(Z365="✅ ЗАШЛО",W365*(P365-1),IF(Z365="❌ НЕ ЗАШЛО",-W365,IF(Z365="½ ЗАШЛО",W365*(P365-1)/2,IF(Z365="½ НЕ ЗАШЛО",-W365/2,IF(Z365="ВОЗВРАТ",0,""))))))</f>
        <v/>
      </c>
      <c r="AB365" s="18" t="str">
        <f aca="false">IF(AND(K365="ВИРТУАЛЬНЫЙ ВЫБОР",OR(Z365="✅ ЗАШЛО",Z365="❌ НЕ ЗАШЛО",Z365="½ ЗАШЛО",Z365="½ НЕ ЗАШЛО",Z365="ВОЗВРАТ")),W365,"")</f>
        <v/>
      </c>
      <c r="AC365" s="15"/>
      <c r="AD365" s="16" t="str">
        <f aca="false">IF(OR(AC365="",P365=""),"",P365/AC365-1)</f>
        <v/>
      </c>
      <c r="AE365" s="19" t="str">
        <f aca="false">IF(AND(M365=0,OR(Z365="✅ ЗАШЛО",Z365="❌ НЕ ЗАШЛО"),L365&lt;&gt;""),(L365-IF(Z365="✅ ЗАШЛО",1,0))^2,"")</f>
        <v/>
      </c>
      <c r="AF365" s="15"/>
      <c r="AG365" s="15"/>
      <c r="AH365" s="13"/>
      <c r="AI365" s="13"/>
      <c r="AJ365" s="13"/>
      <c r="AK365" s="20" t="str">
        <f aca="false">IF(AH365="","",IF(ABS(AH365+AI365+AJ365-1)&lt;0.000001,"OK","ОШИБКА"))</f>
        <v/>
      </c>
      <c r="AL365" s="13"/>
      <c r="AM365" s="12"/>
      <c r="AN365" s="12"/>
      <c r="AO365" s="12"/>
      <c r="AP365" s="12"/>
      <c r="AQ365" s="18" t="str">
        <f aca="false">IF(A365="","",N(AQ364)+N(AA365))</f>
        <v/>
      </c>
      <c r="AR365" s="18" t="str">
        <f aca="false">IF(AQ365="","",MAX(0,MAX($AQ$8:AQ365))-AQ365)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3"/>
      <c r="M366" s="13"/>
      <c r="N366" s="13"/>
      <c r="O366" s="14" t="str">
        <f aca="false">IF(OR(L366="",L366=0),"",(1-M366)/L366)</f>
        <v/>
      </c>
      <c r="P366" s="15"/>
      <c r="Q366" s="12"/>
      <c r="R366" s="12"/>
      <c r="S366" s="13"/>
      <c r="T366" s="16" t="str">
        <f aca="false">IF(OR(S366="",L366=""),"",L366/(1-M366)-S366)</f>
        <v/>
      </c>
      <c r="U366" s="16" t="str">
        <f aca="false">IF(OR(L366="",P366=""),"",L366*(P366-1)-N366)</f>
        <v/>
      </c>
      <c r="V366" s="13"/>
      <c r="W366" s="17"/>
      <c r="X366" s="12"/>
      <c r="Y366" s="12"/>
      <c r="Z366" s="12"/>
      <c r="AA366" s="18" t="str">
        <f aca="false">IF(K366&lt;&gt;"ВИРТУАЛЬНЫЙ ВЫБОР","",IF(Z366="✅ ЗАШЛО",W366*(P366-1),IF(Z366="❌ НЕ ЗАШЛО",-W366,IF(Z366="½ ЗАШЛО",W366*(P366-1)/2,IF(Z366="½ НЕ ЗАШЛО",-W366/2,IF(Z366="ВОЗВРАТ",0,""))))))</f>
        <v/>
      </c>
      <c r="AB366" s="18" t="str">
        <f aca="false">IF(AND(K366="ВИРТУАЛЬНЫЙ ВЫБОР",OR(Z366="✅ ЗАШЛО",Z366="❌ НЕ ЗАШЛО",Z366="½ ЗАШЛО",Z366="½ НЕ ЗАШЛО",Z366="ВОЗВРАТ")),W366,"")</f>
        <v/>
      </c>
      <c r="AC366" s="15"/>
      <c r="AD366" s="16" t="str">
        <f aca="false">IF(OR(AC366="",P366=""),"",P366/AC366-1)</f>
        <v/>
      </c>
      <c r="AE366" s="19" t="str">
        <f aca="false">IF(AND(M366=0,OR(Z366="✅ ЗАШЛО",Z366="❌ НЕ ЗАШЛО"),L366&lt;&gt;""),(L366-IF(Z366="✅ ЗАШЛО",1,0))^2,"")</f>
        <v/>
      </c>
      <c r="AF366" s="15"/>
      <c r="AG366" s="15"/>
      <c r="AH366" s="13"/>
      <c r="AI366" s="13"/>
      <c r="AJ366" s="13"/>
      <c r="AK366" s="20" t="str">
        <f aca="false">IF(AH366="","",IF(ABS(AH366+AI366+AJ366-1)&lt;0.000001,"OK","ОШИБКА"))</f>
        <v/>
      </c>
      <c r="AL366" s="13"/>
      <c r="AM366" s="12"/>
      <c r="AN366" s="12"/>
      <c r="AO366" s="12"/>
      <c r="AP366" s="12"/>
      <c r="AQ366" s="18" t="str">
        <f aca="false">IF(A366="","",N(AQ365)+N(AA366))</f>
        <v/>
      </c>
      <c r="AR366" s="18" t="str">
        <f aca="false">IF(AQ366="","",MAX(0,MAX($AQ$8:AQ366))-AQ366)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3"/>
      <c r="M367" s="13"/>
      <c r="N367" s="13"/>
      <c r="O367" s="14" t="str">
        <f aca="false">IF(OR(L367="",L367=0),"",(1-M367)/L367)</f>
        <v/>
      </c>
      <c r="P367" s="15"/>
      <c r="Q367" s="12"/>
      <c r="R367" s="12"/>
      <c r="S367" s="13"/>
      <c r="T367" s="16" t="str">
        <f aca="false">IF(OR(S367="",L367=""),"",L367/(1-M367)-S367)</f>
        <v/>
      </c>
      <c r="U367" s="16" t="str">
        <f aca="false">IF(OR(L367="",P367=""),"",L367*(P367-1)-N367)</f>
        <v/>
      </c>
      <c r="V367" s="13"/>
      <c r="W367" s="17"/>
      <c r="X367" s="12"/>
      <c r="Y367" s="12"/>
      <c r="Z367" s="12"/>
      <c r="AA367" s="18" t="str">
        <f aca="false">IF(K367&lt;&gt;"ВИРТУАЛЬНЫЙ ВЫБОР","",IF(Z367="✅ ЗАШЛО",W367*(P367-1),IF(Z367="❌ НЕ ЗАШЛО",-W367,IF(Z367="½ ЗАШЛО",W367*(P367-1)/2,IF(Z367="½ НЕ ЗАШЛО",-W367/2,IF(Z367="ВОЗВРАТ",0,""))))))</f>
        <v/>
      </c>
      <c r="AB367" s="18" t="str">
        <f aca="false">IF(AND(K367="ВИРТУАЛЬНЫЙ ВЫБОР",OR(Z367="✅ ЗАШЛО",Z367="❌ НЕ ЗАШЛО",Z367="½ ЗАШЛО",Z367="½ НЕ ЗАШЛО",Z367="ВОЗВРАТ")),W367,"")</f>
        <v/>
      </c>
      <c r="AC367" s="15"/>
      <c r="AD367" s="16" t="str">
        <f aca="false">IF(OR(AC367="",P367=""),"",P367/AC367-1)</f>
        <v/>
      </c>
      <c r="AE367" s="19" t="str">
        <f aca="false">IF(AND(M367=0,OR(Z367="✅ ЗАШЛО",Z367="❌ НЕ ЗАШЛО"),L367&lt;&gt;""),(L367-IF(Z367="✅ ЗАШЛО",1,0))^2,"")</f>
        <v/>
      </c>
      <c r="AF367" s="15"/>
      <c r="AG367" s="15"/>
      <c r="AH367" s="13"/>
      <c r="AI367" s="13"/>
      <c r="AJ367" s="13"/>
      <c r="AK367" s="20" t="str">
        <f aca="false">IF(AH367="","",IF(ABS(AH367+AI367+AJ367-1)&lt;0.000001,"OK","ОШИБКА"))</f>
        <v/>
      </c>
      <c r="AL367" s="13"/>
      <c r="AM367" s="12"/>
      <c r="AN367" s="12"/>
      <c r="AO367" s="12"/>
      <c r="AP367" s="12"/>
      <c r="AQ367" s="18" t="str">
        <f aca="false">IF(A367="","",N(AQ366)+N(AA367))</f>
        <v/>
      </c>
      <c r="AR367" s="18" t="str">
        <f aca="false">IF(AQ367="","",MAX(0,MAX($AQ$8:AQ367))-AQ367)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3"/>
      <c r="M368" s="13"/>
      <c r="N368" s="13"/>
      <c r="O368" s="14" t="str">
        <f aca="false">IF(OR(L368="",L368=0),"",(1-M368)/L368)</f>
        <v/>
      </c>
      <c r="P368" s="15"/>
      <c r="Q368" s="12"/>
      <c r="R368" s="12"/>
      <c r="S368" s="13"/>
      <c r="T368" s="16" t="str">
        <f aca="false">IF(OR(S368="",L368=""),"",L368/(1-M368)-S368)</f>
        <v/>
      </c>
      <c r="U368" s="16" t="str">
        <f aca="false">IF(OR(L368="",P368=""),"",L368*(P368-1)-N368)</f>
        <v/>
      </c>
      <c r="V368" s="13"/>
      <c r="W368" s="17"/>
      <c r="X368" s="12"/>
      <c r="Y368" s="12"/>
      <c r="Z368" s="12"/>
      <c r="AA368" s="18" t="str">
        <f aca="false">IF(K368&lt;&gt;"ВИРТУАЛЬНЫЙ ВЫБОР","",IF(Z368="✅ ЗАШЛО",W368*(P368-1),IF(Z368="❌ НЕ ЗАШЛО",-W368,IF(Z368="½ ЗАШЛО",W368*(P368-1)/2,IF(Z368="½ НЕ ЗАШЛО",-W368/2,IF(Z368="ВОЗВРАТ",0,""))))))</f>
        <v/>
      </c>
      <c r="AB368" s="18" t="str">
        <f aca="false">IF(AND(K368="ВИРТУАЛЬНЫЙ ВЫБОР",OR(Z368="✅ ЗАШЛО",Z368="❌ НЕ ЗАШЛО",Z368="½ ЗАШЛО",Z368="½ НЕ ЗАШЛО",Z368="ВОЗВРАТ")),W368,"")</f>
        <v/>
      </c>
      <c r="AC368" s="15"/>
      <c r="AD368" s="16" t="str">
        <f aca="false">IF(OR(AC368="",P368=""),"",P368/AC368-1)</f>
        <v/>
      </c>
      <c r="AE368" s="19" t="str">
        <f aca="false">IF(AND(M368=0,OR(Z368="✅ ЗАШЛО",Z368="❌ НЕ ЗАШЛО"),L368&lt;&gt;""),(L368-IF(Z368="✅ ЗАШЛО",1,0))^2,"")</f>
        <v/>
      </c>
      <c r="AF368" s="15"/>
      <c r="AG368" s="15"/>
      <c r="AH368" s="13"/>
      <c r="AI368" s="13"/>
      <c r="AJ368" s="13"/>
      <c r="AK368" s="20" t="str">
        <f aca="false">IF(AH368="","",IF(ABS(AH368+AI368+AJ368-1)&lt;0.000001,"OK","ОШИБКА"))</f>
        <v/>
      </c>
      <c r="AL368" s="13"/>
      <c r="AM368" s="12"/>
      <c r="AN368" s="12"/>
      <c r="AO368" s="12"/>
      <c r="AP368" s="12"/>
      <c r="AQ368" s="18" t="str">
        <f aca="false">IF(A368="","",N(AQ367)+N(AA368))</f>
        <v/>
      </c>
      <c r="AR368" s="18" t="str">
        <f aca="false">IF(AQ368="","",MAX(0,MAX($AQ$8:AQ368))-AQ368)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3"/>
      <c r="M369" s="13"/>
      <c r="N369" s="13"/>
      <c r="O369" s="14" t="str">
        <f aca="false">IF(OR(L369="",L369=0),"",(1-M369)/L369)</f>
        <v/>
      </c>
      <c r="P369" s="15"/>
      <c r="Q369" s="12"/>
      <c r="R369" s="12"/>
      <c r="S369" s="13"/>
      <c r="T369" s="16" t="str">
        <f aca="false">IF(OR(S369="",L369=""),"",L369/(1-M369)-S369)</f>
        <v/>
      </c>
      <c r="U369" s="16" t="str">
        <f aca="false">IF(OR(L369="",P369=""),"",L369*(P369-1)-N369)</f>
        <v/>
      </c>
      <c r="V369" s="13"/>
      <c r="W369" s="17"/>
      <c r="X369" s="12"/>
      <c r="Y369" s="12"/>
      <c r="Z369" s="12"/>
      <c r="AA369" s="18" t="str">
        <f aca="false">IF(K369&lt;&gt;"ВИРТУАЛЬНЫЙ ВЫБОР","",IF(Z369="✅ ЗАШЛО",W369*(P369-1),IF(Z369="❌ НЕ ЗАШЛО",-W369,IF(Z369="½ ЗАШЛО",W369*(P369-1)/2,IF(Z369="½ НЕ ЗАШЛО",-W369/2,IF(Z369="ВОЗВРАТ",0,""))))))</f>
        <v/>
      </c>
      <c r="AB369" s="18" t="str">
        <f aca="false">IF(AND(K369="ВИРТУАЛЬНЫЙ ВЫБОР",OR(Z369="✅ ЗАШЛО",Z369="❌ НЕ ЗАШЛО",Z369="½ ЗАШЛО",Z369="½ НЕ ЗАШЛО",Z369="ВОЗВРАТ")),W369,"")</f>
        <v/>
      </c>
      <c r="AC369" s="15"/>
      <c r="AD369" s="16" t="str">
        <f aca="false">IF(OR(AC369="",P369=""),"",P369/AC369-1)</f>
        <v/>
      </c>
      <c r="AE369" s="19" t="str">
        <f aca="false">IF(AND(M369=0,OR(Z369="✅ ЗАШЛО",Z369="❌ НЕ ЗАШЛО"),L369&lt;&gt;""),(L369-IF(Z369="✅ ЗАШЛО",1,0))^2,"")</f>
        <v/>
      </c>
      <c r="AF369" s="15"/>
      <c r="AG369" s="15"/>
      <c r="AH369" s="13"/>
      <c r="AI369" s="13"/>
      <c r="AJ369" s="13"/>
      <c r="AK369" s="20" t="str">
        <f aca="false">IF(AH369="","",IF(ABS(AH369+AI369+AJ369-1)&lt;0.000001,"OK","ОШИБКА"))</f>
        <v/>
      </c>
      <c r="AL369" s="13"/>
      <c r="AM369" s="12"/>
      <c r="AN369" s="12"/>
      <c r="AO369" s="12"/>
      <c r="AP369" s="12"/>
      <c r="AQ369" s="18" t="str">
        <f aca="false">IF(A369="","",N(AQ368)+N(AA369))</f>
        <v/>
      </c>
      <c r="AR369" s="18" t="str">
        <f aca="false">IF(AQ369="","",MAX(0,MAX($AQ$8:AQ369))-AQ369)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3"/>
      <c r="M370" s="13"/>
      <c r="N370" s="13"/>
      <c r="O370" s="14" t="str">
        <f aca="false">IF(OR(L370="",L370=0),"",(1-M370)/L370)</f>
        <v/>
      </c>
      <c r="P370" s="15"/>
      <c r="Q370" s="12"/>
      <c r="R370" s="12"/>
      <c r="S370" s="13"/>
      <c r="T370" s="16" t="str">
        <f aca="false">IF(OR(S370="",L370=""),"",L370/(1-M370)-S370)</f>
        <v/>
      </c>
      <c r="U370" s="16" t="str">
        <f aca="false">IF(OR(L370="",P370=""),"",L370*(P370-1)-N370)</f>
        <v/>
      </c>
      <c r="V370" s="13"/>
      <c r="W370" s="17"/>
      <c r="X370" s="12"/>
      <c r="Y370" s="12"/>
      <c r="Z370" s="12"/>
      <c r="AA370" s="18" t="str">
        <f aca="false">IF(K370&lt;&gt;"ВИРТУАЛЬНЫЙ ВЫБОР","",IF(Z370="✅ ЗАШЛО",W370*(P370-1),IF(Z370="❌ НЕ ЗАШЛО",-W370,IF(Z370="½ ЗАШЛО",W370*(P370-1)/2,IF(Z370="½ НЕ ЗАШЛО",-W370/2,IF(Z370="ВОЗВРАТ",0,""))))))</f>
        <v/>
      </c>
      <c r="AB370" s="18" t="str">
        <f aca="false">IF(AND(K370="ВИРТУАЛЬНЫЙ ВЫБОР",OR(Z370="✅ ЗАШЛО",Z370="❌ НЕ ЗАШЛО",Z370="½ ЗАШЛО",Z370="½ НЕ ЗАШЛО",Z370="ВОЗВРАТ")),W370,"")</f>
        <v/>
      </c>
      <c r="AC370" s="15"/>
      <c r="AD370" s="16" t="str">
        <f aca="false">IF(OR(AC370="",P370=""),"",P370/AC370-1)</f>
        <v/>
      </c>
      <c r="AE370" s="19" t="str">
        <f aca="false">IF(AND(M370=0,OR(Z370="✅ ЗАШЛО",Z370="❌ НЕ ЗАШЛО"),L370&lt;&gt;""),(L370-IF(Z370="✅ ЗАШЛО",1,0))^2,"")</f>
        <v/>
      </c>
      <c r="AF370" s="15"/>
      <c r="AG370" s="15"/>
      <c r="AH370" s="13"/>
      <c r="AI370" s="13"/>
      <c r="AJ370" s="13"/>
      <c r="AK370" s="20" t="str">
        <f aca="false">IF(AH370="","",IF(ABS(AH370+AI370+AJ370-1)&lt;0.000001,"OK","ОШИБКА"))</f>
        <v/>
      </c>
      <c r="AL370" s="13"/>
      <c r="AM370" s="12"/>
      <c r="AN370" s="12"/>
      <c r="AO370" s="12"/>
      <c r="AP370" s="12"/>
      <c r="AQ370" s="18" t="str">
        <f aca="false">IF(A370="","",N(AQ369)+N(AA370))</f>
        <v/>
      </c>
      <c r="AR370" s="18" t="str">
        <f aca="false">IF(AQ370="","",MAX(0,MAX($AQ$8:AQ370))-AQ370)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3"/>
      <c r="M371" s="13"/>
      <c r="N371" s="13"/>
      <c r="O371" s="14" t="str">
        <f aca="false">IF(OR(L371="",L371=0),"",(1-M371)/L371)</f>
        <v/>
      </c>
      <c r="P371" s="15"/>
      <c r="Q371" s="12"/>
      <c r="R371" s="12"/>
      <c r="S371" s="13"/>
      <c r="T371" s="16" t="str">
        <f aca="false">IF(OR(S371="",L371=""),"",L371/(1-M371)-S371)</f>
        <v/>
      </c>
      <c r="U371" s="16" t="str">
        <f aca="false">IF(OR(L371="",P371=""),"",L371*(P371-1)-N371)</f>
        <v/>
      </c>
      <c r="V371" s="13"/>
      <c r="W371" s="17"/>
      <c r="X371" s="12"/>
      <c r="Y371" s="12"/>
      <c r="Z371" s="12"/>
      <c r="AA371" s="18" t="str">
        <f aca="false">IF(K371&lt;&gt;"ВИРТУАЛЬНЫЙ ВЫБОР","",IF(Z371="✅ ЗАШЛО",W371*(P371-1),IF(Z371="❌ НЕ ЗАШЛО",-W371,IF(Z371="½ ЗАШЛО",W371*(P371-1)/2,IF(Z371="½ НЕ ЗАШЛО",-W371/2,IF(Z371="ВОЗВРАТ",0,""))))))</f>
        <v/>
      </c>
      <c r="AB371" s="18" t="str">
        <f aca="false">IF(AND(K371="ВИРТУАЛЬНЫЙ ВЫБОР",OR(Z371="✅ ЗАШЛО",Z371="❌ НЕ ЗАШЛО",Z371="½ ЗАШЛО",Z371="½ НЕ ЗАШЛО",Z371="ВОЗВРАТ")),W371,"")</f>
        <v/>
      </c>
      <c r="AC371" s="15"/>
      <c r="AD371" s="16" t="str">
        <f aca="false">IF(OR(AC371="",P371=""),"",P371/AC371-1)</f>
        <v/>
      </c>
      <c r="AE371" s="19" t="str">
        <f aca="false">IF(AND(M371=0,OR(Z371="✅ ЗАШЛО",Z371="❌ НЕ ЗАШЛО"),L371&lt;&gt;""),(L371-IF(Z371="✅ ЗАШЛО",1,0))^2,"")</f>
        <v/>
      </c>
      <c r="AF371" s="15"/>
      <c r="AG371" s="15"/>
      <c r="AH371" s="13"/>
      <c r="AI371" s="13"/>
      <c r="AJ371" s="13"/>
      <c r="AK371" s="20" t="str">
        <f aca="false">IF(AH371="","",IF(ABS(AH371+AI371+AJ371-1)&lt;0.000001,"OK","ОШИБКА"))</f>
        <v/>
      </c>
      <c r="AL371" s="13"/>
      <c r="AM371" s="12"/>
      <c r="AN371" s="12"/>
      <c r="AO371" s="12"/>
      <c r="AP371" s="12"/>
      <c r="AQ371" s="18" t="str">
        <f aca="false">IF(A371="","",N(AQ370)+N(AA371))</f>
        <v/>
      </c>
      <c r="AR371" s="18" t="str">
        <f aca="false">IF(AQ371="","",MAX(0,MAX($AQ$8:AQ371))-AQ371)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3"/>
      <c r="M372" s="13"/>
      <c r="N372" s="13"/>
      <c r="O372" s="14" t="str">
        <f aca="false">IF(OR(L372="",L372=0),"",(1-M372)/L372)</f>
        <v/>
      </c>
      <c r="P372" s="15"/>
      <c r="Q372" s="12"/>
      <c r="R372" s="12"/>
      <c r="S372" s="13"/>
      <c r="T372" s="16" t="str">
        <f aca="false">IF(OR(S372="",L372=""),"",L372/(1-M372)-S372)</f>
        <v/>
      </c>
      <c r="U372" s="16" t="str">
        <f aca="false">IF(OR(L372="",P372=""),"",L372*(P372-1)-N372)</f>
        <v/>
      </c>
      <c r="V372" s="13"/>
      <c r="W372" s="17"/>
      <c r="X372" s="12"/>
      <c r="Y372" s="12"/>
      <c r="Z372" s="12"/>
      <c r="AA372" s="18" t="str">
        <f aca="false">IF(K372&lt;&gt;"ВИРТУАЛЬНЫЙ ВЫБОР","",IF(Z372="✅ ЗАШЛО",W372*(P372-1),IF(Z372="❌ НЕ ЗАШЛО",-W372,IF(Z372="½ ЗАШЛО",W372*(P372-1)/2,IF(Z372="½ НЕ ЗАШЛО",-W372/2,IF(Z372="ВОЗВРАТ",0,""))))))</f>
        <v/>
      </c>
      <c r="AB372" s="18" t="str">
        <f aca="false">IF(AND(K372="ВИРТУАЛЬНЫЙ ВЫБОР",OR(Z372="✅ ЗАШЛО",Z372="❌ НЕ ЗАШЛО",Z372="½ ЗАШЛО",Z372="½ НЕ ЗАШЛО",Z372="ВОЗВРАТ")),W372,"")</f>
        <v/>
      </c>
      <c r="AC372" s="15"/>
      <c r="AD372" s="16" t="str">
        <f aca="false">IF(OR(AC372="",P372=""),"",P372/AC372-1)</f>
        <v/>
      </c>
      <c r="AE372" s="19" t="str">
        <f aca="false">IF(AND(M372=0,OR(Z372="✅ ЗАШЛО",Z372="❌ НЕ ЗАШЛО"),L372&lt;&gt;""),(L372-IF(Z372="✅ ЗАШЛО",1,0))^2,"")</f>
        <v/>
      </c>
      <c r="AF372" s="15"/>
      <c r="AG372" s="15"/>
      <c r="AH372" s="13"/>
      <c r="AI372" s="13"/>
      <c r="AJ372" s="13"/>
      <c r="AK372" s="20" t="str">
        <f aca="false">IF(AH372="","",IF(ABS(AH372+AI372+AJ372-1)&lt;0.000001,"OK","ОШИБКА"))</f>
        <v/>
      </c>
      <c r="AL372" s="13"/>
      <c r="AM372" s="12"/>
      <c r="AN372" s="12"/>
      <c r="AO372" s="12"/>
      <c r="AP372" s="12"/>
      <c r="AQ372" s="18" t="str">
        <f aca="false">IF(A372="","",N(AQ371)+N(AA372))</f>
        <v/>
      </c>
      <c r="AR372" s="18" t="str">
        <f aca="false">IF(AQ372="","",MAX(0,MAX($AQ$8:AQ372))-AQ372)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3"/>
      <c r="M373" s="13"/>
      <c r="N373" s="13"/>
      <c r="O373" s="14" t="str">
        <f aca="false">IF(OR(L373="",L373=0),"",(1-M373)/L373)</f>
        <v/>
      </c>
      <c r="P373" s="15"/>
      <c r="Q373" s="12"/>
      <c r="R373" s="12"/>
      <c r="S373" s="13"/>
      <c r="T373" s="16" t="str">
        <f aca="false">IF(OR(S373="",L373=""),"",L373/(1-M373)-S373)</f>
        <v/>
      </c>
      <c r="U373" s="16" t="str">
        <f aca="false">IF(OR(L373="",P373=""),"",L373*(P373-1)-N373)</f>
        <v/>
      </c>
      <c r="V373" s="13"/>
      <c r="W373" s="17"/>
      <c r="X373" s="12"/>
      <c r="Y373" s="12"/>
      <c r="Z373" s="12"/>
      <c r="AA373" s="18" t="str">
        <f aca="false">IF(K373&lt;&gt;"ВИРТУАЛЬНЫЙ ВЫБОР","",IF(Z373="✅ ЗАШЛО",W373*(P373-1),IF(Z373="❌ НЕ ЗАШЛО",-W373,IF(Z373="½ ЗАШЛО",W373*(P373-1)/2,IF(Z373="½ НЕ ЗАШЛО",-W373/2,IF(Z373="ВОЗВРАТ",0,""))))))</f>
        <v/>
      </c>
      <c r="AB373" s="18" t="str">
        <f aca="false">IF(AND(K373="ВИРТУАЛЬНЫЙ ВЫБОР",OR(Z373="✅ ЗАШЛО",Z373="❌ НЕ ЗАШЛО",Z373="½ ЗАШЛО",Z373="½ НЕ ЗАШЛО",Z373="ВОЗВРАТ")),W373,"")</f>
        <v/>
      </c>
      <c r="AC373" s="15"/>
      <c r="AD373" s="16" t="str">
        <f aca="false">IF(OR(AC373="",P373=""),"",P373/AC373-1)</f>
        <v/>
      </c>
      <c r="AE373" s="19" t="str">
        <f aca="false">IF(AND(M373=0,OR(Z373="✅ ЗАШЛО",Z373="❌ НЕ ЗАШЛО"),L373&lt;&gt;""),(L373-IF(Z373="✅ ЗАШЛО",1,0))^2,"")</f>
        <v/>
      </c>
      <c r="AF373" s="15"/>
      <c r="AG373" s="15"/>
      <c r="AH373" s="13"/>
      <c r="AI373" s="13"/>
      <c r="AJ373" s="13"/>
      <c r="AK373" s="20" t="str">
        <f aca="false">IF(AH373="","",IF(ABS(AH373+AI373+AJ373-1)&lt;0.000001,"OK","ОШИБКА"))</f>
        <v/>
      </c>
      <c r="AL373" s="13"/>
      <c r="AM373" s="12"/>
      <c r="AN373" s="12"/>
      <c r="AO373" s="12"/>
      <c r="AP373" s="12"/>
      <c r="AQ373" s="18" t="str">
        <f aca="false">IF(A373="","",N(AQ372)+N(AA373))</f>
        <v/>
      </c>
      <c r="AR373" s="18" t="str">
        <f aca="false">IF(AQ373="","",MAX(0,MAX($AQ$8:AQ373))-AQ373)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3"/>
      <c r="M374" s="13"/>
      <c r="N374" s="13"/>
      <c r="O374" s="14" t="str">
        <f aca="false">IF(OR(L374="",L374=0),"",(1-M374)/L374)</f>
        <v/>
      </c>
      <c r="P374" s="15"/>
      <c r="Q374" s="12"/>
      <c r="R374" s="12"/>
      <c r="S374" s="13"/>
      <c r="T374" s="16" t="str">
        <f aca="false">IF(OR(S374="",L374=""),"",L374/(1-M374)-S374)</f>
        <v/>
      </c>
      <c r="U374" s="16" t="str">
        <f aca="false">IF(OR(L374="",P374=""),"",L374*(P374-1)-N374)</f>
        <v/>
      </c>
      <c r="V374" s="13"/>
      <c r="W374" s="17"/>
      <c r="X374" s="12"/>
      <c r="Y374" s="12"/>
      <c r="Z374" s="12"/>
      <c r="AA374" s="18" t="str">
        <f aca="false">IF(K374&lt;&gt;"ВИРТУАЛЬНЫЙ ВЫБОР","",IF(Z374="✅ ЗАШЛО",W374*(P374-1),IF(Z374="❌ НЕ ЗАШЛО",-W374,IF(Z374="½ ЗАШЛО",W374*(P374-1)/2,IF(Z374="½ НЕ ЗАШЛО",-W374/2,IF(Z374="ВОЗВРАТ",0,""))))))</f>
        <v/>
      </c>
      <c r="AB374" s="18" t="str">
        <f aca="false">IF(AND(K374="ВИРТУАЛЬНЫЙ ВЫБОР",OR(Z374="✅ ЗАШЛО",Z374="❌ НЕ ЗАШЛО",Z374="½ ЗАШЛО",Z374="½ НЕ ЗАШЛО",Z374="ВОЗВРАТ")),W374,"")</f>
        <v/>
      </c>
      <c r="AC374" s="15"/>
      <c r="AD374" s="16" t="str">
        <f aca="false">IF(OR(AC374="",P374=""),"",P374/AC374-1)</f>
        <v/>
      </c>
      <c r="AE374" s="19" t="str">
        <f aca="false">IF(AND(M374=0,OR(Z374="✅ ЗАШЛО",Z374="❌ НЕ ЗАШЛО"),L374&lt;&gt;""),(L374-IF(Z374="✅ ЗАШЛО",1,0))^2,"")</f>
        <v/>
      </c>
      <c r="AF374" s="15"/>
      <c r="AG374" s="15"/>
      <c r="AH374" s="13"/>
      <c r="AI374" s="13"/>
      <c r="AJ374" s="13"/>
      <c r="AK374" s="20" t="str">
        <f aca="false">IF(AH374="","",IF(ABS(AH374+AI374+AJ374-1)&lt;0.000001,"OK","ОШИБКА"))</f>
        <v/>
      </c>
      <c r="AL374" s="13"/>
      <c r="AM374" s="12"/>
      <c r="AN374" s="12"/>
      <c r="AO374" s="12"/>
      <c r="AP374" s="12"/>
      <c r="AQ374" s="18" t="str">
        <f aca="false">IF(A374="","",N(AQ373)+N(AA374))</f>
        <v/>
      </c>
      <c r="AR374" s="18" t="str">
        <f aca="false">IF(AQ374="","",MAX(0,MAX($AQ$8:AQ374))-AQ374)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3"/>
      <c r="M375" s="13"/>
      <c r="N375" s="13"/>
      <c r="O375" s="14" t="str">
        <f aca="false">IF(OR(L375="",L375=0),"",(1-M375)/L375)</f>
        <v/>
      </c>
      <c r="P375" s="15"/>
      <c r="Q375" s="12"/>
      <c r="R375" s="12"/>
      <c r="S375" s="13"/>
      <c r="T375" s="16" t="str">
        <f aca="false">IF(OR(S375="",L375=""),"",L375/(1-M375)-S375)</f>
        <v/>
      </c>
      <c r="U375" s="16" t="str">
        <f aca="false">IF(OR(L375="",P375=""),"",L375*(P375-1)-N375)</f>
        <v/>
      </c>
      <c r="V375" s="13"/>
      <c r="W375" s="17"/>
      <c r="X375" s="12"/>
      <c r="Y375" s="12"/>
      <c r="Z375" s="12"/>
      <c r="AA375" s="18" t="str">
        <f aca="false">IF(K375&lt;&gt;"ВИРТУАЛЬНЫЙ ВЫБОР","",IF(Z375="✅ ЗАШЛО",W375*(P375-1),IF(Z375="❌ НЕ ЗАШЛО",-W375,IF(Z375="½ ЗАШЛО",W375*(P375-1)/2,IF(Z375="½ НЕ ЗАШЛО",-W375/2,IF(Z375="ВОЗВРАТ",0,""))))))</f>
        <v/>
      </c>
      <c r="AB375" s="18" t="str">
        <f aca="false">IF(AND(K375="ВИРТУАЛЬНЫЙ ВЫБОР",OR(Z375="✅ ЗАШЛО",Z375="❌ НЕ ЗАШЛО",Z375="½ ЗАШЛО",Z375="½ НЕ ЗАШЛО",Z375="ВОЗВРАТ")),W375,"")</f>
        <v/>
      </c>
      <c r="AC375" s="15"/>
      <c r="AD375" s="16" t="str">
        <f aca="false">IF(OR(AC375="",P375=""),"",P375/AC375-1)</f>
        <v/>
      </c>
      <c r="AE375" s="19" t="str">
        <f aca="false">IF(AND(M375=0,OR(Z375="✅ ЗАШЛО",Z375="❌ НЕ ЗАШЛО"),L375&lt;&gt;""),(L375-IF(Z375="✅ ЗАШЛО",1,0))^2,"")</f>
        <v/>
      </c>
      <c r="AF375" s="15"/>
      <c r="AG375" s="15"/>
      <c r="AH375" s="13"/>
      <c r="AI375" s="13"/>
      <c r="AJ375" s="13"/>
      <c r="AK375" s="20" t="str">
        <f aca="false">IF(AH375="","",IF(ABS(AH375+AI375+AJ375-1)&lt;0.000001,"OK","ОШИБКА"))</f>
        <v/>
      </c>
      <c r="AL375" s="13"/>
      <c r="AM375" s="12"/>
      <c r="AN375" s="12"/>
      <c r="AO375" s="12"/>
      <c r="AP375" s="12"/>
      <c r="AQ375" s="18" t="str">
        <f aca="false">IF(A375="","",N(AQ374)+N(AA375))</f>
        <v/>
      </c>
      <c r="AR375" s="18" t="str">
        <f aca="false">IF(AQ375="","",MAX(0,MAX($AQ$8:AQ375))-AQ375)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3"/>
      <c r="M376" s="13"/>
      <c r="N376" s="13"/>
      <c r="O376" s="14" t="str">
        <f aca="false">IF(OR(L376="",L376=0),"",(1-M376)/L376)</f>
        <v/>
      </c>
      <c r="P376" s="15"/>
      <c r="Q376" s="12"/>
      <c r="R376" s="12"/>
      <c r="S376" s="13"/>
      <c r="T376" s="16" t="str">
        <f aca="false">IF(OR(S376="",L376=""),"",L376/(1-M376)-S376)</f>
        <v/>
      </c>
      <c r="U376" s="16" t="str">
        <f aca="false">IF(OR(L376="",P376=""),"",L376*(P376-1)-N376)</f>
        <v/>
      </c>
      <c r="V376" s="13"/>
      <c r="W376" s="17"/>
      <c r="X376" s="12"/>
      <c r="Y376" s="12"/>
      <c r="Z376" s="12"/>
      <c r="AA376" s="18" t="str">
        <f aca="false">IF(K376&lt;&gt;"ВИРТУАЛЬНЫЙ ВЫБОР","",IF(Z376="✅ ЗАШЛО",W376*(P376-1),IF(Z376="❌ НЕ ЗАШЛО",-W376,IF(Z376="½ ЗАШЛО",W376*(P376-1)/2,IF(Z376="½ НЕ ЗАШЛО",-W376/2,IF(Z376="ВОЗВРАТ",0,""))))))</f>
        <v/>
      </c>
      <c r="AB376" s="18" t="str">
        <f aca="false">IF(AND(K376="ВИРТУАЛЬНЫЙ ВЫБОР",OR(Z376="✅ ЗАШЛО",Z376="❌ НЕ ЗАШЛО",Z376="½ ЗАШЛО",Z376="½ НЕ ЗАШЛО",Z376="ВОЗВРАТ")),W376,"")</f>
        <v/>
      </c>
      <c r="AC376" s="15"/>
      <c r="AD376" s="16" t="str">
        <f aca="false">IF(OR(AC376="",P376=""),"",P376/AC376-1)</f>
        <v/>
      </c>
      <c r="AE376" s="19" t="str">
        <f aca="false">IF(AND(M376=0,OR(Z376="✅ ЗАШЛО",Z376="❌ НЕ ЗАШЛО"),L376&lt;&gt;""),(L376-IF(Z376="✅ ЗАШЛО",1,0))^2,"")</f>
        <v/>
      </c>
      <c r="AF376" s="15"/>
      <c r="AG376" s="15"/>
      <c r="AH376" s="13"/>
      <c r="AI376" s="13"/>
      <c r="AJ376" s="13"/>
      <c r="AK376" s="20" t="str">
        <f aca="false">IF(AH376="","",IF(ABS(AH376+AI376+AJ376-1)&lt;0.000001,"OK","ОШИБКА"))</f>
        <v/>
      </c>
      <c r="AL376" s="13"/>
      <c r="AM376" s="12"/>
      <c r="AN376" s="12"/>
      <c r="AO376" s="12"/>
      <c r="AP376" s="12"/>
      <c r="AQ376" s="18" t="str">
        <f aca="false">IF(A376="","",N(AQ375)+N(AA376))</f>
        <v/>
      </c>
      <c r="AR376" s="18" t="str">
        <f aca="false">IF(AQ376="","",MAX(0,MAX($AQ$8:AQ376))-AQ376)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3"/>
      <c r="M377" s="13"/>
      <c r="N377" s="13"/>
      <c r="O377" s="14" t="str">
        <f aca="false">IF(OR(L377="",L377=0),"",(1-M377)/L377)</f>
        <v/>
      </c>
      <c r="P377" s="15"/>
      <c r="Q377" s="12"/>
      <c r="R377" s="12"/>
      <c r="S377" s="13"/>
      <c r="T377" s="16" t="str">
        <f aca="false">IF(OR(S377="",L377=""),"",L377/(1-M377)-S377)</f>
        <v/>
      </c>
      <c r="U377" s="16" t="str">
        <f aca="false">IF(OR(L377="",P377=""),"",L377*(P377-1)-N377)</f>
        <v/>
      </c>
      <c r="V377" s="13"/>
      <c r="W377" s="17"/>
      <c r="X377" s="12"/>
      <c r="Y377" s="12"/>
      <c r="Z377" s="12"/>
      <c r="AA377" s="18" t="str">
        <f aca="false">IF(K377&lt;&gt;"ВИРТУАЛЬНЫЙ ВЫБОР","",IF(Z377="✅ ЗАШЛО",W377*(P377-1),IF(Z377="❌ НЕ ЗАШЛО",-W377,IF(Z377="½ ЗАШЛО",W377*(P377-1)/2,IF(Z377="½ НЕ ЗАШЛО",-W377/2,IF(Z377="ВОЗВРАТ",0,""))))))</f>
        <v/>
      </c>
      <c r="AB377" s="18" t="str">
        <f aca="false">IF(AND(K377="ВИРТУАЛЬНЫЙ ВЫБОР",OR(Z377="✅ ЗАШЛО",Z377="❌ НЕ ЗАШЛО",Z377="½ ЗАШЛО",Z377="½ НЕ ЗАШЛО",Z377="ВОЗВРАТ")),W377,"")</f>
        <v/>
      </c>
      <c r="AC377" s="15"/>
      <c r="AD377" s="16" t="str">
        <f aca="false">IF(OR(AC377="",P377=""),"",P377/AC377-1)</f>
        <v/>
      </c>
      <c r="AE377" s="19" t="str">
        <f aca="false">IF(AND(M377=0,OR(Z377="✅ ЗАШЛО",Z377="❌ НЕ ЗАШЛО"),L377&lt;&gt;""),(L377-IF(Z377="✅ ЗАШЛО",1,0))^2,"")</f>
        <v/>
      </c>
      <c r="AF377" s="15"/>
      <c r="AG377" s="15"/>
      <c r="AH377" s="13"/>
      <c r="AI377" s="13"/>
      <c r="AJ377" s="13"/>
      <c r="AK377" s="20" t="str">
        <f aca="false">IF(AH377="","",IF(ABS(AH377+AI377+AJ377-1)&lt;0.000001,"OK","ОШИБКА"))</f>
        <v/>
      </c>
      <c r="AL377" s="13"/>
      <c r="AM377" s="12"/>
      <c r="AN377" s="12"/>
      <c r="AO377" s="12"/>
      <c r="AP377" s="12"/>
      <c r="AQ377" s="18" t="str">
        <f aca="false">IF(A377="","",N(AQ376)+N(AA377))</f>
        <v/>
      </c>
      <c r="AR377" s="18" t="str">
        <f aca="false">IF(AQ377="","",MAX(0,MAX($AQ$8:AQ377))-AQ377)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3"/>
      <c r="M378" s="13"/>
      <c r="N378" s="13"/>
      <c r="O378" s="14" t="str">
        <f aca="false">IF(OR(L378="",L378=0),"",(1-M378)/L378)</f>
        <v/>
      </c>
      <c r="P378" s="15"/>
      <c r="Q378" s="12"/>
      <c r="R378" s="12"/>
      <c r="S378" s="13"/>
      <c r="T378" s="16" t="str">
        <f aca="false">IF(OR(S378="",L378=""),"",L378/(1-M378)-S378)</f>
        <v/>
      </c>
      <c r="U378" s="16" t="str">
        <f aca="false">IF(OR(L378="",P378=""),"",L378*(P378-1)-N378)</f>
        <v/>
      </c>
      <c r="V378" s="13"/>
      <c r="W378" s="17"/>
      <c r="X378" s="12"/>
      <c r="Y378" s="12"/>
      <c r="Z378" s="12"/>
      <c r="AA378" s="18" t="str">
        <f aca="false">IF(K378&lt;&gt;"ВИРТУАЛЬНЫЙ ВЫБОР","",IF(Z378="✅ ЗАШЛО",W378*(P378-1),IF(Z378="❌ НЕ ЗАШЛО",-W378,IF(Z378="½ ЗАШЛО",W378*(P378-1)/2,IF(Z378="½ НЕ ЗАШЛО",-W378/2,IF(Z378="ВОЗВРАТ",0,""))))))</f>
        <v/>
      </c>
      <c r="AB378" s="18" t="str">
        <f aca="false">IF(AND(K378="ВИРТУАЛЬНЫЙ ВЫБОР",OR(Z378="✅ ЗАШЛО",Z378="❌ НЕ ЗАШЛО",Z378="½ ЗАШЛО",Z378="½ НЕ ЗАШЛО",Z378="ВОЗВРАТ")),W378,"")</f>
        <v/>
      </c>
      <c r="AC378" s="15"/>
      <c r="AD378" s="16" t="str">
        <f aca="false">IF(OR(AC378="",P378=""),"",P378/AC378-1)</f>
        <v/>
      </c>
      <c r="AE378" s="19" t="str">
        <f aca="false">IF(AND(M378=0,OR(Z378="✅ ЗАШЛО",Z378="❌ НЕ ЗАШЛО"),L378&lt;&gt;""),(L378-IF(Z378="✅ ЗАШЛО",1,0))^2,"")</f>
        <v/>
      </c>
      <c r="AF378" s="15"/>
      <c r="AG378" s="15"/>
      <c r="AH378" s="13"/>
      <c r="AI378" s="13"/>
      <c r="AJ378" s="13"/>
      <c r="AK378" s="20" t="str">
        <f aca="false">IF(AH378="","",IF(ABS(AH378+AI378+AJ378-1)&lt;0.000001,"OK","ОШИБКА"))</f>
        <v/>
      </c>
      <c r="AL378" s="13"/>
      <c r="AM378" s="12"/>
      <c r="AN378" s="12"/>
      <c r="AO378" s="12"/>
      <c r="AP378" s="12"/>
      <c r="AQ378" s="18" t="str">
        <f aca="false">IF(A378="","",N(AQ377)+N(AA378))</f>
        <v/>
      </c>
      <c r="AR378" s="18" t="str">
        <f aca="false">IF(AQ378="","",MAX(0,MAX($AQ$8:AQ378))-AQ378)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3"/>
      <c r="M379" s="13"/>
      <c r="N379" s="13"/>
      <c r="O379" s="14" t="str">
        <f aca="false">IF(OR(L379="",L379=0),"",(1-M379)/L379)</f>
        <v/>
      </c>
      <c r="P379" s="15"/>
      <c r="Q379" s="12"/>
      <c r="R379" s="12"/>
      <c r="S379" s="13"/>
      <c r="T379" s="16" t="str">
        <f aca="false">IF(OR(S379="",L379=""),"",L379/(1-M379)-S379)</f>
        <v/>
      </c>
      <c r="U379" s="16" t="str">
        <f aca="false">IF(OR(L379="",P379=""),"",L379*(P379-1)-N379)</f>
        <v/>
      </c>
      <c r="V379" s="13"/>
      <c r="W379" s="17"/>
      <c r="X379" s="12"/>
      <c r="Y379" s="12"/>
      <c r="Z379" s="12"/>
      <c r="AA379" s="18" t="str">
        <f aca="false">IF(K379&lt;&gt;"ВИРТУАЛЬНЫЙ ВЫБОР","",IF(Z379="✅ ЗАШЛО",W379*(P379-1),IF(Z379="❌ НЕ ЗАШЛО",-W379,IF(Z379="½ ЗАШЛО",W379*(P379-1)/2,IF(Z379="½ НЕ ЗАШЛО",-W379/2,IF(Z379="ВОЗВРАТ",0,""))))))</f>
        <v/>
      </c>
      <c r="AB379" s="18" t="str">
        <f aca="false">IF(AND(K379="ВИРТУАЛЬНЫЙ ВЫБОР",OR(Z379="✅ ЗАШЛО",Z379="❌ НЕ ЗАШЛО",Z379="½ ЗАШЛО",Z379="½ НЕ ЗАШЛО",Z379="ВОЗВРАТ")),W379,"")</f>
        <v/>
      </c>
      <c r="AC379" s="15"/>
      <c r="AD379" s="16" t="str">
        <f aca="false">IF(OR(AC379="",P379=""),"",P379/AC379-1)</f>
        <v/>
      </c>
      <c r="AE379" s="19" t="str">
        <f aca="false">IF(AND(M379=0,OR(Z379="✅ ЗАШЛО",Z379="❌ НЕ ЗАШЛО"),L379&lt;&gt;""),(L379-IF(Z379="✅ ЗАШЛО",1,0))^2,"")</f>
        <v/>
      </c>
      <c r="AF379" s="15"/>
      <c r="AG379" s="15"/>
      <c r="AH379" s="13"/>
      <c r="AI379" s="13"/>
      <c r="AJ379" s="13"/>
      <c r="AK379" s="20" t="str">
        <f aca="false">IF(AH379="","",IF(ABS(AH379+AI379+AJ379-1)&lt;0.000001,"OK","ОШИБКА"))</f>
        <v/>
      </c>
      <c r="AL379" s="13"/>
      <c r="AM379" s="12"/>
      <c r="AN379" s="12"/>
      <c r="AO379" s="12"/>
      <c r="AP379" s="12"/>
      <c r="AQ379" s="18" t="str">
        <f aca="false">IF(A379="","",N(AQ378)+N(AA379))</f>
        <v/>
      </c>
      <c r="AR379" s="18" t="str">
        <f aca="false">IF(AQ379="","",MAX(0,MAX($AQ$8:AQ379))-AQ379)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3"/>
      <c r="M380" s="13"/>
      <c r="N380" s="13"/>
      <c r="O380" s="14" t="str">
        <f aca="false">IF(OR(L380="",L380=0),"",(1-M380)/L380)</f>
        <v/>
      </c>
      <c r="P380" s="15"/>
      <c r="Q380" s="12"/>
      <c r="R380" s="12"/>
      <c r="S380" s="13"/>
      <c r="T380" s="16" t="str">
        <f aca="false">IF(OR(S380="",L380=""),"",L380/(1-M380)-S380)</f>
        <v/>
      </c>
      <c r="U380" s="16" t="str">
        <f aca="false">IF(OR(L380="",P380=""),"",L380*(P380-1)-N380)</f>
        <v/>
      </c>
      <c r="V380" s="13"/>
      <c r="W380" s="17"/>
      <c r="X380" s="12"/>
      <c r="Y380" s="12"/>
      <c r="Z380" s="12"/>
      <c r="AA380" s="18" t="str">
        <f aca="false">IF(K380&lt;&gt;"ВИРТУАЛЬНЫЙ ВЫБОР","",IF(Z380="✅ ЗАШЛО",W380*(P380-1),IF(Z380="❌ НЕ ЗАШЛО",-W380,IF(Z380="½ ЗАШЛО",W380*(P380-1)/2,IF(Z380="½ НЕ ЗАШЛО",-W380/2,IF(Z380="ВОЗВРАТ",0,""))))))</f>
        <v/>
      </c>
      <c r="AB380" s="18" t="str">
        <f aca="false">IF(AND(K380="ВИРТУАЛЬНЫЙ ВЫБОР",OR(Z380="✅ ЗАШЛО",Z380="❌ НЕ ЗАШЛО",Z380="½ ЗАШЛО",Z380="½ НЕ ЗАШЛО",Z380="ВОЗВРАТ")),W380,"")</f>
        <v/>
      </c>
      <c r="AC380" s="15"/>
      <c r="AD380" s="16" t="str">
        <f aca="false">IF(OR(AC380="",P380=""),"",P380/AC380-1)</f>
        <v/>
      </c>
      <c r="AE380" s="19" t="str">
        <f aca="false">IF(AND(M380=0,OR(Z380="✅ ЗАШЛО",Z380="❌ НЕ ЗАШЛО"),L380&lt;&gt;""),(L380-IF(Z380="✅ ЗАШЛО",1,0))^2,"")</f>
        <v/>
      </c>
      <c r="AF380" s="15"/>
      <c r="AG380" s="15"/>
      <c r="AH380" s="13"/>
      <c r="AI380" s="13"/>
      <c r="AJ380" s="13"/>
      <c r="AK380" s="20" t="str">
        <f aca="false">IF(AH380="","",IF(ABS(AH380+AI380+AJ380-1)&lt;0.000001,"OK","ОШИБКА"))</f>
        <v/>
      </c>
      <c r="AL380" s="13"/>
      <c r="AM380" s="12"/>
      <c r="AN380" s="12"/>
      <c r="AO380" s="12"/>
      <c r="AP380" s="12"/>
      <c r="AQ380" s="18" t="str">
        <f aca="false">IF(A380="","",N(AQ379)+N(AA380))</f>
        <v/>
      </c>
      <c r="AR380" s="18" t="str">
        <f aca="false">IF(AQ380="","",MAX(0,MAX($AQ$8:AQ380))-AQ380)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3"/>
      <c r="M381" s="13"/>
      <c r="N381" s="13"/>
      <c r="O381" s="14" t="str">
        <f aca="false">IF(OR(L381="",L381=0),"",(1-M381)/L381)</f>
        <v/>
      </c>
      <c r="P381" s="15"/>
      <c r="Q381" s="12"/>
      <c r="R381" s="12"/>
      <c r="S381" s="13"/>
      <c r="T381" s="16" t="str">
        <f aca="false">IF(OR(S381="",L381=""),"",L381/(1-M381)-S381)</f>
        <v/>
      </c>
      <c r="U381" s="16" t="str">
        <f aca="false">IF(OR(L381="",P381=""),"",L381*(P381-1)-N381)</f>
        <v/>
      </c>
      <c r="V381" s="13"/>
      <c r="W381" s="17"/>
      <c r="X381" s="12"/>
      <c r="Y381" s="12"/>
      <c r="Z381" s="12"/>
      <c r="AA381" s="18" t="str">
        <f aca="false">IF(K381&lt;&gt;"ВИРТУАЛЬНЫЙ ВЫБОР","",IF(Z381="✅ ЗАШЛО",W381*(P381-1),IF(Z381="❌ НЕ ЗАШЛО",-W381,IF(Z381="½ ЗАШЛО",W381*(P381-1)/2,IF(Z381="½ НЕ ЗАШЛО",-W381/2,IF(Z381="ВОЗВРАТ",0,""))))))</f>
        <v/>
      </c>
      <c r="AB381" s="18" t="str">
        <f aca="false">IF(AND(K381="ВИРТУАЛЬНЫЙ ВЫБОР",OR(Z381="✅ ЗАШЛО",Z381="❌ НЕ ЗАШЛО",Z381="½ ЗАШЛО",Z381="½ НЕ ЗАШЛО",Z381="ВОЗВРАТ")),W381,"")</f>
        <v/>
      </c>
      <c r="AC381" s="15"/>
      <c r="AD381" s="16" t="str">
        <f aca="false">IF(OR(AC381="",P381=""),"",P381/AC381-1)</f>
        <v/>
      </c>
      <c r="AE381" s="19" t="str">
        <f aca="false">IF(AND(M381=0,OR(Z381="✅ ЗАШЛО",Z381="❌ НЕ ЗАШЛО"),L381&lt;&gt;""),(L381-IF(Z381="✅ ЗАШЛО",1,0))^2,"")</f>
        <v/>
      </c>
      <c r="AF381" s="15"/>
      <c r="AG381" s="15"/>
      <c r="AH381" s="13"/>
      <c r="AI381" s="13"/>
      <c r="AJ381" s="13"/>
      <c r="AK381" s="20" t="str">
        <f aca="false">IF(AH381="","",IF(ABS(AH381+AI381+AJ381-1)&lt;0.000001,"OK","ОШИБКА"))</f>
        <v/>
      </c>
      <c r="AL381" s="13"/>
      <c r="AM381" s="12"/>
      <c r="AN381" s="12"/>
      <c r="AO381" s="12"/>
      <c r="AP381" s="12"/>
      <c r="AQ381" s="18" t="str">
        <f aca="false">IF(A381="","",N(AQ380)+N(AA381))</f>
        <v/>
      </c>
      <c r="AR381" s="18" t="str">
        <f aca="false">IF(AQ381="","",MAX(0,MAX($AQ$8:AQ381))-AQ381)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3"/>
      <c r="M382" s="13"/>
      <c r="N382" s="13"/>
      <c r="O382" s="14" t="str">
        <f aca="false">IF(OR(L382="",L382=0),"",(1-M382)/L382)</f>
        <v/>
      </c>
      <c r="P382" s="15"/>
      <c r="Q382" s="12"/>
      <c r="R382" s="12"/>
      <c r="S382" s="13"/>
      <c r="T382" s="16" t="str">
        <f aca="false">IF(OR(S382="",L382=""),"",L382/(1-M382)-S382)</f>
        <v/>
      </c>
      <c r="U382" s="16" t="str">
        <f aca="false">IF(OR(L382="",P382=""),"",L382*(P382-1)-N382)</f>
        <v/>
      </c>
      <c r="V382" s="13"/>
      <c r="W382" s="17"/>
      <c r="X382" s="12"/>
      <c r="Y382" s="12"/>
      <c r="Z382" s="12"/>
      <c r="AA382" s="18" t="str">
        <f aca="false">IF(K382&lt;&gt;"ВИРТУАЛЬНЫЙ ВЫБОР","",IF(Z382="✅ ЗАШЛО",W382*(P382-1),IF(Z382="❌ НЕ ЗАШЛО",-W382,IF(Z382="½ ЗАШЛО",W382*(P382-1)/2,IF(Z382="½ НЕ ЗАШЛО",-W382/2,IF(Z382="ВОЗВРАТ",0,""))))))</f>
        <v/>
      </c>
      <c r="AB382" s="18" t="str">
        <f aca="false">IF(AND(K382="ВИРТУАЛЬНЫЙ ВЫБОР",OR(Z382="✅ ЗАШЛО",Z382="❌ НЕ ЗАШЛО",Z382="½ ЗАШЛО",Z382="½ НЕ ЗАШЛО",Z382="ВОЗВРАТ")),W382,"")</f>
        <v/>
      </c>
      <c r="AC382" s="15"/>
      <c r="AD382" s="16" t="str">
        <f aca="false">IF(OR(AC382="",P382=""),"",P382/AC382-1)</f>
        <v/>
      </c>
      <c r="AE382" s="19" t="str">
        <f aca="false">IF(AND(M382=0,OR(Z382="✅ ЗАШЛО",Z382="❌ НЕ ЗАШЛО"),L382&lt;&gt;""),(L382-IF(Z382="✅ ЗАШЛО",1,0))^2,"")</f>
        <v/>
      </c>
      <c r="AF382" s="15"/>
      <c r="AG382" s="15"/>
      <c r="AH382" s="13"/>
      <c r="AI382" s="13"/>
      <c r="AJ382" s="13"/>
      <c r="AK382" s="20" t="str">
        <f aca="false">IF(AH382="","",IF(ABS(AH382+AI382+AJ382-1)&lt;0.000001,"OK","ОШИБКА"))</f>
        <v/>
      </c>
      <c r="AL382" s="13"/>
      <c r="AM382" s="12"/>
      <c r="AN382" s="12"/>
      <c r="AO382" s="12"/>
      <c r="AP382" s="12"/>
      <c r="AQ382" s="18" t="str">
        <f aca="false">IF(A382="","",N(AQ381)+N(AA382))</f>
        <v/>
      </c>
      <c r="AR382" s="18" t="str">
        <f aca="false">IF(AQ382="","",MAX(0,MAX($AQ$8:AQ382))-AQ382)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3"/>
      <c r="M383" s="13"/>
      <c r="N383" s="13"/>
      <c r="O383" s="14" t="str">
        <f aca="false">IF(OR(L383="",L383=0),"",(1-M383)/L383)</f>
        <v/>
      </c>
      <c r="P383" s="15"/>
      <c r="Q383" s="12"/>
      <c r="R383" s="12"/>
      <c r="S383" s="13"/>
      <c r="T383" s="16" t="str">
        <f aca="false">IF(OR(S383="",L383=""),"",L383/(1-M383)-S383)</f>
        <v/>
      </c>
      <c r="U383" s="16" t="str">
        <f aca="false">IF(OR(L383="",P383=""),"",L383*(P383-1)-N383)</f>
        <v/>
      </c>
      <c r="V383" s="13"/>
      <c r="W383" s="17"/>
      <c r="X383" s="12"/>
      <c r="Y383" s="12"/>
      <c r="Z383" s="12"/>
      <c r="AA383" s="18" t="str">
        <f aca="false">IF(K383&lt;&gt;"ВИРТУАЛЬНЫЙ ВЫБОР","",IF(Z383="✅ ЗАШЛО",W383*(P383-1),IF(Z383="❌ НЕ ЗАШЛО",-W383,IF(Z383="½ ЗАШЛО",W383*(P383-1)/2,IF(Z383="½ НЕ ЗАШЛО",-W383/2,IF(Z383="ВОЗВРАТ",0,""))))))</f>
        <v/>
      </c>
      <c r="AB383" s="18" t="str">
        <f aca="false">IF(AND(K383="ВИРТУАЛЬНЫЙ ВЫБОР",OR(Z383="✅ ЗАШЛО",Z383="❌ НЕ ЗАШЛО",Z383="½ ЗАШЛО",Z383="½ НЕ ЗАШЛО",Z383="ВОЗВРАТ")),W383,"")</f>
        <v/>
      </c>
      <c r="AC383" s="15"/>
      <c r="AD383" s="16" t="str">
        <f aca="false">IF(OR(AC383="",P383=""),"",P383/AC383-1)</f>
        <v/>
      </c>
      <c r="AE383" s="19" t="str">
        <f aca="false">IF(AND(M383=0,OR(Z383="✅ ЗАШЛО",Z383="❌ НЕ ЗАШЛО"),L383&lt;&gt;""),(L383-IF(Z383="✅ ЗАШЛО",1,0))^2,"")</f>
        <v/>
      </c>
      <c r="AF383" s="15"/>
      <c r="AG383" s="15"/>
      <c r="AH383" s="13"/>
      <c r="AI383" s="13"/>
      <c r="AJ383" s="13"/>
      <c r="AK383" s="20" t="str">
        <f aca="false">IF(AH383="","",IF(ABS(AH383+AI383+AJ383-1)&lt;0.000001,"OK","ОШИБКА"))</f>
        <v/>
      </c>
      <c r="AL383" s="13"/>
      <c r="AM383" s="12"/>
      <c r="AN383" s="12"/>
      <c r="AO383" s="12"/>
      <c r="AP383" s="12"/>
      <c r="AQ383" s="18" t="str">
        <f aca="false">IF(A383="","",N(AQ382)+N(AA383))</f>
        <v/>
      </c>
      <c r="AR383" s="18" t="str">
        <f aca="false">IF(AQ383="","",MAX(0,MAX($AQ$8:AQ383))-AQ383)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3"/>
      <c r="M384" s="13"/>
      <c r="N384" s="13"/>
      <c r="O384" s="14" t="str">
        <f aca="false">IF(OR(L384="",L384=0),"",(1-M384)/L384)</f>
        <v/>
      </c>
      <c r="P384" s="15"/>
      <c r="Q384" s="12"/>
      <c r="R384" s="12"/>
      <c r="S384" s="13"/>
      <c r="T384" s="16" t="str">
        <f aca="false">IF(OR(S384="",L384=""),"",L384/(1-M384)-S384)</f>
        <v/>
      </c>
      <c r="U384" s="16" t="str">
        <f aca="false">IF(OR(L384="",P384=""),"",L384*(P384-1)-N384)</f>
        <v/>
      </c>
      <c r="V384" s="13"/>
      <c r="W384" s="17"/>
      <c r="X384" s="12"/>
      <c r="Y384" s="12"/>
      <c r="Z384" s="12"/>
      <c r="AA384" s="18" t="str">
        <f aca="false">IF(K384&lt;&gt;"ВИРТУАЛЬНЫЙ ВЫБОР","",IF(Z384="✅ ЗАШЛО",W384*(P384-1),IF(Z384="❌ НЕ ЗАШЛО",-W384,IF(Z384="½ ЗАШЛО",W384*(P384-1)/2,IF(Z384="½ НЕ ЗАШЛО",-W384/2,IF(Z384="ВОЗВРАТ",0,""))))))</f>
        <v/>
      </c>
      <c r="AB384" s="18" t="str">
        <f aca="false">IF(AND(K384="ВИРТУАЛЬНЫЙ ВЫБОР",OR(Z384="✅ ЗАШЛО",Z384="❌ НЕ ЗАШЛО",Z384="½ ЗАШЛО",Z384="½ НЕ ЗАШЛО",Z384="ВОЗВРАТ")),W384,"")</f>
        <v/>
      </c>
      <c r="AC384" s="15"/>
      <c r="AD384" s="16" t="str">
        <f aca="false">IF(OR(AC384="",P384=""),"",P384/AC384-1)</f>
        <v/>
      </c>
      <c r="AE384" s="19" t="str">
        <f aca="false">IF(AND(M384=0,OR(Z384="✅ ЗАШЛО",Z384="❌ НЕ ЗАШЛО"),L384&lt;&gt;""),(L384-IF(Z384="✅ ЗАШЛО",1,0))^2,"")</f>
        <v/>
      </c>
      <c r="AF384" s="15"/>
      <c r="AG384" s="15"/>
      <c r="AH384" s="13"/>
      <c r="AI384" s="13"/>
      <c r="AJ384" s="13"/>
      <c r="AK384" s="20" t="str">
        <f aca="false">IF(AH384="","",IF(ABS(AH384+AI384+AJ384-1)&lt;0.000001,"OK","ОШИБКА"))</f>
        <v/>
      </c>
      <c r="AL384" s="13"/>
      <c r="AM384" s="12"/>
      <c r="AN384" s="12"/>
      <c r="AO384" s="12"/>
      <c r="AP384" s="12"/>
      <c r="AQ384" s="18" t="str">
        <f aca="false">IF(A384="","",N(AQ383)+N(AA384))</f>
        <v/>
      </c>
      <c r="AR384" s="18" t="str">
        <f aca="false">IF(AQ384="","",MAX(0,MAX($AQ$8:AQ384))-AQ384)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3"/>
      <c r="M385" s="13"/>
      <c r="N385" s="13"/>
      <c r="O385" s="14" t="str">
        <f aca="false">IF(OR(L385="",L385=0),"",(1-M385)/L385)</f>
        <v/>
      </c>
      <c r="P385" s="15"/>
      <c r="Q385" s="12"/>
      <c r="R385" s="12"/>
      <c r="S385" s="13"/>
      <c r="T385" s="16" t="str">
        <f aca="false">IF(OR(S385="",L385=""),"",L385/(1-M385)-S385)</f>
        <v/>
      </c>
      <c r="U385" s="16" t="str">
        <f aca="false">IF(OR(L385="",P385=""),"",L385*(P385-1)-N385)</f>
        <v/>
      </c>
      <c r="V385" s="13"/>
      <c r="W385" s="17"/>
      <c r="X385" s="12"/>
      <c r="Y385" s="12"/>
      <c r="Z385" s="12"/>
      <c r="AA385" s="18" t="str">
        <f aca="false">IF(K385&lt;&gt;"ВИРТУАЛЬНЫЙ ВЫБОР","",IF(Z385="✅ ЗАШЛО",W385*(P385-1),IF(Z385="❌ НЕ ЗАШЛО",-W385,IF(Z385="½ ЗАШЛО",W385*(P385-1)/2,IF(Z385="½ НЕ ЗАШЛО",-W385/2,IF(Z385="ВОЗВРАТ",0,""))))))</f>
        <v/>
      </c>
      <c r="AB385" s="18" t="str">
        <f aca="false">IF(AND(K385="ВИРТУАЛЬНЫЙ ВЫБОР",OR(Z385="✅ ЗАШЛО",Z385="❌ НЕ ЗАШЛО",Z385="½ ЗАШЛО",Z385="½ НЕ ЗАШЛО",Z385="ВОЗВРАТ")),W385,"")</f>
        <v/>
      </c>
      <c r="AC385" s="15"/>
      <c r="AD385" s="16" t="str">
        <f aca="false">IF(OR(AC385="",P385=""),"",P385/AC385-1)</f>
        <v/>
      </c>
      <c r="AE385" s="19" t="str">
        <f aca="false">IF(AND(M385=0,OR(Z385="✅ ЗАШЛО",Z385="❌ НЕ ЗАШЛО"),L385&lt;&gt;""),(L385-IF(Z385="✅ ЗАШЛО",1,0))^2,"")</f>
        <v/>
      </c>
      <c r="AF385" s="15"/>
      <c r="AG385" s="15"/>
      <c r="AH385" s="13"/>
      <c r="AI385" s="13"/>
      <c r="AJ385" s="13"/>
      <c r="AK385" s="20" t="str">
        <f aca="false">IF(AH385="","",IF(ABS(AH385+AI385+AJ385-1)&lt;0.000001,"OK","ОШИБКА"))</f>
        <v/>
      </c>
      <c r="AL385" s="13"/>
      <c r="AM385" s="12"/>
      <c r="AN385" s="12"/>
      <c r="AO385" s="12"/>
      <c r="AP385" s="12"/>
      <c r="AQ385" s="18" t="str">
        <f aca="false">IF(A385="","",N(AQ384)+N(AA385))</f>
        <v/>
      </c>
      <c r="AR385" s="18" t="str">
        <f aca="false">IF(AQ385="","",MAX(0,MAX($AQ$8:AQ385))-AQ385)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3"/>
      <c r="M386" s="13"/>
      <c r="N386" s="13"/>
      <c r="O386" s="14" t="str">
        <f aca="false">IF(OR(L386="",L386=0),"",(1-M386)/L386)</f>
        <v/>
      </c>
      <c r="P386" s="15"/>
      <c r="Q386" s="12"/>
      <c r="R386" s="12"/>
      <c r="S386" s="13"/>
      <c r="T386" s="16" t="str">
        <f aca="false">IF(OR(S386="",L386=""),"",L386/(1-M386)-S386)</f>
        <v/>
      </c>
      <c r="U386" s="16" t="str">
        <f aca="false">IF(OR(L386="",P386=""),"",L386*(P386-1)-N386)</f>
        <v/>
      </c>
      <c r="V386" s="13"/>
      <c r="W386" s="17"/>
      <c r="X386" s="12"/>
      <c r="Y386" s="12"/>
      <c r="Z386" s="12"/>
      <c r="AA386" s="18" t="str">
        <f aca="false">IF(K386&lt;&gt;"ВИРТУАЛЬНЫЙ ВЫБОР","",IF(Z386="✅ ЗАШЛО",W386*(P386-1),IF(Z386="❌ НЕ ЗАШЛО",-W386,IF(Z386="½ ЗАШЛО",W386*(P386-1)/2,IF(Z386="½ НЕ ЗАШЛО",-W386/2,IF(Z386="ВОЗВРАТ",0,""))))))</f>
        <v/>
      </c>
      <c r="AB386" s="18" t="str">
        <f aca="false">IF(AND(K386="ВИРТУАЛЬНЫЙ ВЫБОР",OR(Z386="✅ ЗАШЛО",Z386="❌ НЕ ЗАШЛО",Z386="½ ЗАШЛО",Z386="½ НЕ ЗАШЛО",Z386="ВОЗВРАТ")),W386,"")</f>
        <v/>
      </c>
      <c r="AC386" s="15"/>
      <c r="AD386" s="16" t="str">
        <f aca="false">IF(OR(AC386="",P386=""),"",P386/AC386-1)</f>
        <v/>
      </c>
      <c r="AE386" s="19" t="str">
        <f aca="false">IF(AND(M386=0,OR(Z386="✅ ЗАШЛО",Z386="❌ НЕ ЗАШЛО"),L386&lt;&gt;""),(L386-IF(Z386="✅ ЗАШЛО",1,0))^2,"")</f>
        <v/>
      </c>
      <c r="AF386" s="15"/>
      <c r="AG386" s="15"/>
      <c r="AH386" s="13"/>
      <c r="AI386" s="13"/>
      <c r="AJ386" s="13"/>
      <c r="AK386" s="20" t="str">
        <f aca="false">IF(AH386="","",IF(ABS(AH386+AI386+AJ386-1)&lt;0.000001,"OK","ОШИБКА"))</f>
        <v/>
      </c>
      <c r="AL386" s="13"/>
      <c r="AM386" s="12"/>
      <c r="AN386" s="12"/>
      <c r="AO386" s="12"/>
      <c r="AP386" s="12"/>
      <c r="AQ386" s="18" t="str">
        <f aca="false">IF(A386="","",N(AQ385)+N(AA386))</f>
        <v/>
      </c>
      <c r="AR386" s="18" t="str">
        <f aca="false">IF(AQ386="","",MAX(0,MAX($AQ$8:AQ386))-AQ386)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3"/>
      <c r="M387" s="13"/>
      <c r="N387" s="13"/>
      <c r="O387" s="14" t="str">
        <f aca="false">IF(OR(L387="",L387=0),"",(1-M387)/L387)</f>
        <v/>
      </c>
      <c r="P387" s="15"/>
      <c r="Q387" s="12"/>
      <c r="R387" s="12"/>
      <c r="S387" s="13"/>
      <c r="T387" s="16" t="str">
        <f aca="false">IF(OR(S387="",L387=""),"",L387/(1-M387)-S387)</f>
        <v/>
      </c>
      <c r="U387" s="16" t="str">
        <f aca="false">IF(OR(L387="",P387=""),"",L387*(P387-1)-N387)</f>
        <v/>
      </c>
      <c r="V387" s="13"/>
      <c r="W387" s="17"/>
      <c r="X387" s="12"/>
      <c r="Y387" s="12"/>
      <c r="Z387" s="12"/>
      <c r="AA387" s="18" t="str">
        <f aca="false">IF(K387&lt;&gt;"ВИРТУАЛЬНЫЙ ВЫБОР","",IF(Z387="✅ ЗАШЛО",W387*(P387-1),IF(Z387="❌ НЕ ЗАШЛО",-W387,IF(Z387="½ ЗАШЛО",W387*(P387-1)/2,IF(Z387="½ НЕ ЗАШЛО",-W387/2,IF(Z387="ВОЗВРАТ",0,""))))))</f>
        <v/>
      </c>
      <c r="AB387" s="18" t="str">
        <f aca="false">IF(AND(K387="ВИРТУАЛЬНЫЙ ВЫБОР",OR(Z387="✅ ЗАШЛО",Z387="❌ НЕ ЗАШЛО",Z387="½ ЗАШЛО",Z387="½ НЕ ЗАШЛО",Z387="ВОЗВРАТ")),W387,"")</f>
        <v/>
      </c>
      <c r="AC387" s="15"/>
      <c r="AD387" s="16" t="str">
        <f aca="false">IF(OR(AC387="",P387=""),"",P387/AC387-1)</f>
        <v/>
      </c>
      <c r="AE387" s="19" t="str">
        <f aca="false">IF(AND(M387=0,OR(Z387="✅ ЗАШЛО",Z387="❌ НЕ ЗАШЛО"),L387&lt;&gt;""),(L387-IF(Z387="✅ ЗАШЛО",1,0))^2,"")</f>
        <v/>
      </c>
      <c r="AF387" s="15"/>
      <c r="AG387" s="15"/>
      <c r="AH387" s="13"/>
      <c r="AI387" s="13"/>
      <c r="AJ387" s="13"/>
      <c r="AK387" s="20" t="str">
        <f aca="false">IF(AH387="","",IF(ABS(AH387+AI387+AJ387-1)&lt;0.000001,"OK","ОШИБКА"))</f>
        <v/>
      </c>
      <c r="AL387" s="13"/>
      <c r="AM387" s="12"/>
      <c r="AN387" s="12"/>
      <c r="AO387" s="12"/>
      <c r="AP387" s="12"/>
      <c r="AQ387" s="18" t="str">
        <f aca="false">IF(A387="","",N(AQ386)+N(AA387))</f>
        <v/>
      </c>
      <c r="AR387" s="18" t="str">
        <f aca="false">IF(AQ387="","",MAX(0,MAX($AQ$8:AQ387))-AQ387)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3"/>
      <c r="M388" s="13"/>
      <c r="N388" s="13"/>
      <c r="O388" s="14" t="str">
        <f aca="false">IF(OR(L388="",L388=0),"",(1-M388)/L388)</f>
        <v/>
      </c>
      <c r="P388" s="15"/>
      <c r="Q388" s="12"/>
      <c r="R388" s="12"/>
      <c r="S388" s="13"/>
      <c r="T388" s="16" t="str">
        <f aca="false">IF(OR(S388="",L388=""),"",L388/(1-M388)-S388)</f>
        <v/>
      </c>
      <c r="U388" s="16" t="str">
        <f aca="false">IF(OR(L388="",P388=""),"",L388*(P388-1)-N388)</f>
        <v/>
      </c>
      <c r="V388" s="13"/>
      <c r="W388" s="17"/>
      <c r="X388" s="12"/>
      <c r="Y388" s="12"/>
      <c r="Z388" s="12"/>
      <c r="AA388" s="18" t="str">
        <f aca="false">IF(K388&lt;&gt;"ВИРТУАЛЬНЫЙ ВЫБОР","",IF(Z388="✅ ЗАШЛО",W388*(P388-1),IF(Z388="❌ НЕ ЗАШЛО",-W388,IF(Z388="½ ЗАШЛО",W388*(P388-1)/2,IF(Z388="½ НЕ ЗАШЛО",-W388/2,IF(Z388="ВОЗВРАТ",0,""))))))</f>
        <v/>
      </c>
      <c r="AB388" s="18" t="str">
        <f aca="false">IF(AND(K388="ВИРТУАЛЬНЫЙ ВЫБОР",OR(Z388="✅ ЗАШЛО",Z388="❌ НЕ ЗАШЛО",Z388="½ ЗАШЛО",Z388="½ НЕ ЗАШЛО",Z388="ВОЗВРАТ")),W388,"")</f>
        <v/>
      </c>
      <c r="AC388" s="15"/>
      <c r="AD388" s="16" t="str">
        <f aca="false">IF(OR(AC388="",P388=""),"",P388/AC388-1)</f>
        <v/>
      </c>
      <c r="AE388" s="19" t="str">
        <f aca="false">IF(AND(M388=0,OR(Z388="✅ ЗАШЛО",Z388="❌ НЕ ЗАШЛО"),L388&lt;&gt;""),(L388-IF(Z388="✅ ЗАШЛО",1,0))^2,"")</f>
        <v/>
      </c>
      <c r="AF388" s="15"/>
      <c r="AG388" s="15"/>
      <c r="AH388" s="13"/>
      <c r="AI388" s="13"/>
      <c r="AJ388" s="13"/>
      <c r="AK388" s="20" t="str">
        <f aca="false">IF(AH388="","",IF(ABS(AH388+AI388+AJ388-1)&lt;0.000001,"OK","ОШИБКА"))</f>
        <v/>
      </c>
      <c r="AL388" s="13"/>
      <c r="AM388" s="12"/>
      <c r="AN388" s="12"/>
      <c r="AO388" s="12"/>
      <c r="AP388" s="12"/>
      <c r="AQ388" s="18" t="str">
        <f aca="false">IF(A388="","",N(AQ387)+N(AA388))</f>
        <v/>
      </c>
      <c r="AR388" s="18" t="str">
        <f aca="false">IF(AQ388="","",MAX(0,MAX($AQ$8:AQ388))-AQ388)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3"/>
      <c r="M389" s="13"/>
      <c r="N389" s="13"/>
      <c r="O389" s="14" t="str">
        <f aca="false">IF(OR(L389="",L389=0),"",(1-M389)/L389)</f>
        <v/>
      </c>
      <c r="P389" s="15"/>
      <c r="Q389" s="12"/>
      <c r="R389" s="12"/>
      <c r="S389" s="13"/>
      <c r="T389" s="16" t="str">
        <f aca="false">IF(OR(S389="",L389=""),"",L389/(1-M389)-S389)</f>
        <v/>
      </c>
      <c r="U389" s="16" t="str">
        <f aca="false">IF(OR(L389="",P389=""),"",L389*(P389-1)-N389)</f>
        <v/>
      </c>
      <c r="V389" s="13"/>
      <c r="W389" s="17"/>
      <c r="X389" s="12"/>
      <c r="Y389" s="12"/>
      <c r="Z389" s="12"/>
      <c r="AA389" s="18" t="str">
        <f aca="false">IF(K389&lt;&gt;"ВИРТУАЛЬНЫЙ ВЫБОР","",IF(Z389="✅ ЗАШЛО",W389*(P389-1),IF(Z389="❌ НЕ ЗАШЛО",-W389,IF(Z389="½ ЗАШЛО",W389*(P389-1)/2,IF(Z389="½ НЕ ЗАШЛО",-W389/2,IF(Z389="ВОЗВРАТ",0,""))))))</f>
        <v/>
      </c>
      <c r="AB389" s="18" t="str">
        <f aca="false">IF(AND(K389="ВИРТУАЛЬНЫЙ ВЫБОР",OR(Z389="✅ ЗАШЛО",Z389="❌ НЕ ЗАШЛО",Z389="½ ЗАШЛО",Z389="½ НЕ ЗАШЛО",Z389="ВОЗВРАТ")),W389,"")</f>
        <v/>
      </c>
      <c r="AC389" s="15"/>
      <c r="AD389" s="16" t="str">
        <f aca="false">IF(OR(AC389="",P389=""),"",P389/AC389-1)</f>
        <v/>
      </c>
      <c r="AE389" s="19" t="str">
        <f aca="false">IF(AND(M389=0,OR(Z389="✅ ЗАШЛО",Z389="❌ НЕ ЗАШЛО"),L389&lt;&gt;""),(L389-IF(Z389="✅ ЗАШЛО",1,0))^2,"")</f>
        <v/>
      </c>
      <c r="AF389" s="15"/>
      <c r="AG389" s="15"/>
      <c r="AH389" s="13"/>
      <c r="AI389" s="13"/>
      <c r="AJ389" s="13"/>
      <c r="AK389" s="20" t="str">
        <f aca="false">IF(AH389="","",IF(ABS(AH389+AI389+AJ389-1)&lt;0.000001,"OK","ОШИБКА"))</f>
        <v/>
      </c>
      <c r="AL389" s="13"/>
      <c r="AM389" s="12"/>
      <c r="AN389" s="12"/>
      <c r="AO389" s="12"/>
      <c r="AP389" s="12"/>
      <c r="AQ389" s="18" t="str">
        <f aca="false">IF(A389="","",N(AQ388)+N(AA389))</f>
        <v/>
      </c>
      <c r="AR389" s="18" t="str">
        <f aca="false">IF(AQ389="","",MAX(0,MAX($AQ$8:AQ389))-AQ389)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3"/>
      <c r="M390" s="13"/>
      <c r="N390" s="13"/>
      <c r="O390" s="14" t="str">
        <f aca="false">IF(OR(L390="",L390=0),"",(1-M390)/L390)</f>
        <v/>
      </c>
      <c r="P390" s="15"/>
      <c r="Q390" s="12"/>
      <c r="R390" s="12"/>
      <c r="S390" s="13"/>
      <c r="T390" s="16" t="str">
        <f aca="false">IF(OR(S390="",L390=""),"",L390/(1-M390)-S390)</f>
        <v/>
      </c>
      <c r="U390" s="16" t="str">
        <f aca="false">IF(OR(L390="",P390=""),"",L390*(P390-1)-N390)</f>
        <v/>
      </c>
      <c r="V390" s="13"/>
      <c r="W390" s="17"/>
      <c r="X390" s="12"/>
      <c r="Y390" s="12"/>
      <c r="Z390" s="12"/>
      <c r="AA390" s="18" t="str">
        <f aca="false">IF(K390&lt;&gt;"ВИРТУАЛЬНЫЙ ВЫБОР","",IF(Z390="✅ ЗАШЛО",W390*(P390-1),IF(Z390="❌ НЕ ЗАШЛО",-W390,IF(Z390="½ ЗАШЛО",W390*(P390-1)/2,IF(Z390="½ НЕ ЗАШЛО",-W390/2,IF(Z390="ВОЗВРАТ",0,""))))))</f>
        <v/>
      </c>
      <c r="AB390" s="18" t="str">
        <f aca="false">IF(AND(K390="ВИРТУАЛЬНЫЙ ВЫБОР",OR(Z390="✅ ЗАШЛО",Z390="❌ НЕ ЗАШЛО",Z390="½ ЗАШЛО",Z390="½ НЕ ЗАШЛО",Z390="ВОЗВРАТ")),W390,"")</f>
        <v/>
      </c>
      <c r="AC390" s="15"/>
      <c r="AD390" s="16" t="str">
        <f aca="false">IF(OR(AC390="",P390=""),"",P390/AC390-1)</f>
        <v/>
      </c>
      <c r="AE390" s="19" t="str">
        <f aca="false">IF(AND(M390=0,OR(Z390="✅ ЗАШЛО",Z390="❌ НЕ ЗАШЛО"),L390&lt;&gt;""),(L390-IF(Z390="✅ ЗАШЛО",1,0))^2,"")</f>
        <v/>
      </c>
      <c r="AF390" s="15"/>
      <c r="AG390" s="15"/>
      <c r="AH390" s="13"/>
      <c r="AI390" s="13"/>
      <c r="AJ390" s="13"/>
      <c r="AK390" s="20" t="str">
        <f aca="false">IF(AH390="","",IF(ABS(AH390+AI390+AJ390-1)&lt;0.000001,"OK","ОШИБКА"))</f>
        <v/>
      </c>
      <c r="AL390" s="13"/>
      <c r="AM390" s="12"/>
      <c r="AN390" s="12"/>
      <c r="AO390" s="12"/>
      <c r="AP390" s="12"/>
      <c r="AQ390" s="18" t="str">
        <f aca="false">IF(A390="","",N(AQ389)+N(AA390))</f>
        <v/>
      </c>
      <c r="AR390" s="18" t="str">
        <f aca="false">IF(AQ390="","",MAX(0,MAX($AQ$8:AQ390))-AQ390)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3"/>
      <c r="M391" s="13"/>
      <c r="N391" s="13"/>
      <c r="O391" s="14" t="str">
        <f aca="false">IF(OR(L391="",L391=0),"",(1-M391)/L391)</f>
        <v/>
      </c>
      <c r="P391" s="15"/>
      <c r="Q391" s="12"/>
      <c r="R391" s="12"/>
      <c r="S391" s="13"/>
      <c r="T391" s="16" t="str">
        <f aca="false">IF(OR(S391="",L391=""),"",L391/(1-M391)-S391)</f>
        <v/>
      </c>
      <c r="U391" s="16" t="str">
        <f aca="false">IF(OR(L391="",P391=""),"",L391*(P391-1)-N391)</f>
        <v/>
      </c>
      <c r="V391" s="13"/>
      <c r="W391" s="17"/>
      <c r="X391" s="12"/>
      <c r="Y391" s="12"/>
      <c r="Z391" s="12"/>
      <c r="AA391" s="18" t="str">
        <f aca="false">IF(K391&lt;&gt;"ВИРТУАЛЬНЫЙ ВЫБОР","",IF(Z391="✅ ЗАШЛО",W391*(P391-1),IF(Z391="❌ НЕ ЗАШЛО",-W391,IF(Z391="½ ЗАШЛО",W391*(P391-1)/2,IF(Z391="½ НЕ ЗАШЛО",-W391/2,IF(Z391="ВОЗВРАТ",0,""))))))</f>
        <v/>
      </c>
      <c r="AB391" s="18" t="str">
        <f aca="false">IF(AND(K391="ВИРТУАЛЬНЫЙ ВЫБОР",OR(Z391="✅ ЗАШЛО",Z391="❌ НЕ ЗАШЛО",Z391="½ ЗАШЛО",Z391="½ НЕ ЗАШЛО",Z391="ВОЗВРАТ")),W391,"")</f>
        <v/>
      </c>
      <c r="AC391" s="15"/>
      <c r="AD391" s="16" t="str">
        <f aca="false">IF(OR(AC391="",P391=""),"",P391/AC391-1)</f>
        <v/>
      </c>
      <c r="AE391" s="19" t="str">
        <f aca="false">IF(AND(M391=0,OR(Z391="✅ ЗАШЛО",Z391="❌ НЕ ЗАШЛО"),L391&lt;&gt;""),(L391-IF(Z391="✅ ЗАШЛО",1,0))^2,"")</f>
        <v/>
      </c>
      <c r="AF391" s="15"/>
      <c r="AG391" s="15"/>
      <c r="AH391" s="13"/>
      <c r="AI391" s="13"/>
      <c r="AJ391" s="13"/>
      <c r="AK391" s="20" t="str">
        <f aca="false">IF(AH391="","",IF(ABS(AH391+AI391+AJ391-1)&lt;0.000001,"OK","ОШИБКА"))</f>
        <v/>
      </c>
      <c r="AL391" s="13"/>
      <c r="AM391" s="12"/>
      <c r="AN391" s="12"/>
      <c r="AO391" s="12"/>
      <c r="AP391" s="12"/>
      <c r="AQ391" s="18" t="str">
        <f aca="false">IF(A391="","",N(AQ390)+N(AA391))</f>
        <v/>
      </c>
      <c r="AR391" s="18" t="str">
        <f aca="false">IF(AQ391="","",MAX(0,MAX($AQ$8:AQ391))-AQ391)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3"/>
      <c r="M392" s="13"/>
      <c r="N392" s="13"/>
      <c r="O392" s="14" t="str">
        <f aca="false">IF(OR(L392="",L392=0),"",(1-M392)/L392)</f>
        <v/>
      </c>
      <c r="P392" s="15"/>
      <c r="Q392" s="12"/>
      <c r="R392" s="12"/>
      <c r="S392" s="13"/>
      <c r="T392" s="16" t="str">
        <f aca="false">IF(OR(S392="",L392=""),"",L392/(1-M392)-S392)</f>
        <v/>
      </c>
      <c r="U392" s="16" t="str">
        <f aca="false">IF(OR(L392="",P392=""),"",L392*(P392-1)-N392)</f>
        <v/>
      </c>
      <c r="V392" s="13"/>
      <c r="W392" s="17"/>
      <c r="X392" s="12"/>
      <c r="Y392" s="12"/>
      <c r="Z392" s="12"/>
      <c r="AA392" s="18" t="str">
        <f aca="false">IF(K392&lt;&gt;"ВИРТУАЛЬНЫЙ ВЫБОР","",IF(Z392="✅ ЗАШЛО",W392*(P392-1),IF(Z392="❌ НЕ ЗАШЛО",-W392,IF(Z392="½ ЗАШЛО",W392*(P392-1)/2,IF(Z392="½ НЕ ЗАШЛО",-W392/2,IF(Z392="ВОЗВРАТ",0,""))))))</f>
        <v/>
      </c>
      <c r="AB392" s="18" t="str">
        <f aca="false">IF(AND(K392="ВИРТУАЛЬНЫЙ ВЫБОР",OR(Z392="✅ ЗАШЛО",Z392="❌ НЕ ЗАШЛО",Z392="½ ЗАШЛО",Z392="½ НЕ ЗАШЛО",Z392="ВОЗВРАТ")),W392,"")</f>
        <v/>
      </c>
      <c r="AC392" s="15"/>
      <c r="AD392" s="16" t="str">
        <f aca="false">IF(OR(AC392="",P392=""),"",P392/AC392-1)</f>
        <v/>
      </c>
      <c r="AE392" s="19" t="str">
        <f aca="false">IF(AND(M392=0,OR(Z392="✅ ЗАШЛО",Z392="❌ НЕ ЗАШЛО"),L392&lt;&gt;""),(L392-IF(Z392="✅ ЗАШЛО",1,0))^2,"")</f>
        <v/>
      </c>
      <c r="AF392" s="15"/>
      <c r="AG392" s="15"/>
      <c r="AH392" s="13"/>
      <c r="AI392" s="13"/>
      <c r="AJ392" s="13"/>
      <c r="AK392" s="20" t="str">
        <f aca="false">IF(AH392="","",IF(ABS(AH392+AI392+AJ392-1)&lt;0.000001,"OK","ОШИБКА"))</f>
        <v/>
      </c>
      <c r="AL392" s="13"/>
      <c r="AM392" s="12"/>
      <c r="AN392" s="12"/>
      <c r="AO392" s="12"/>
      <c r="AP392" s="12"/>
      <c r="AQ392" s="18" t="str">
        <f aca="false">IF(A392="","",N(AQ391)+N(AA392))</f>
        <v/>
      </c>
      <c r="AR392" s="18" t="str">
        <f aca="false">IF(AQ392="","",MAX(0,MAX($AQ$8:AQ392))-AQ392)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3"/>
      <c r="M393" s="13"/>
      <c r="N393" s="13"/>
      <c r="O393" s="14" t="str">
        <f aca="false">IF(OR(L393="",L393=0),"",(1-M393)/L393)</f>
        <v/>
      </c>
      <c r="P393" s="15"/>
      <c r="Q393" s="12"/>
      <c r="R393" s="12"/>
      <c r="S393" s="13"/>
      <c r="T393" s="16" t="str">
        <f aca="false">IF(OR(S393="",L393=""),"",L393/(1-M393)-S393)</f>
        <v/>
      </c>
      <c r="U393" s="16" t="str">
        <f aca="false">IF(OR(L393="",P393=""),"",L393*(P393-1)-N393)</f>
        <v/>
      </c>
      <c r="V393" s="13"/>
      <c r="W393" s="17"/>
      <c r="X393" s="12"/>
      <c r="Y393" s="12"/>
      <c r="Z393" s="12"/>
      <c r="AA393" s="18" t="str">
        <f aca="false">IF(K393&lt;&gt;"ВИРТУАЛЬНЫЙ ВЫБОР","",IF(Z393="✅ ЗАШЛО",W393*(P393-1),IF(Z393="❌ НЕ ЗАШЛО",-W393,IF(Z393="½ ЗАШЛО",W393*(P393-1)/2,IF(Z393="½ НЕ ЗАШЛО",-W393/2,IF(Z393="ВОЗВРАТ",0,""))))))</f>
        <v/>
      </c>
      <c r="AB393" s="18" t="str">
        <f aca="false">IF(AND(K393="ВИРТУАЛЬНЫЙ ВЫБОР",OR(Z393="✅ ЗАШЛО",Z393="❌ НЕ ЗАШЛО",Z393="½ ЗАШЛО",Z393="½ НЕ ЗАШЛО",Z393="ВОЗВРАТ")),W393,"")</f>
        <v/>
      </c>
      <c r="AC393" s="15"/>
      <c r="AD393" s="16" t="str">
        <f aca="false">IF(OR(AC393="",P393=""),"",P393/AC393-1)</f>
        <v/>
      </c>
      <c r="AE393" s="19" t="str">
        <f aca="false">IF(AND(M393=0,OR(Z393="✅ ЗАШЛО",Z393="❌ НЕ ЗАШЛО"),L393&lt;&gt;""),(L393-IF(Z393="✅ ЗАШЛО",1,0))^2,"")</f>
        <v/>
      </c>
      <c r="AF393" s="15"/>
      <c r="AG393" s="15"/>
      <c r="AH393" s="13"/>
      <c r="AI393" s="13"/>
      <c r="AJ393" s="13"/>
      <c r="AK393" s="20" t="str">
        <f aca="false">IF(AH393="","",IF(ABS(AH393+AI393+AJ393-1)&lt;0.000001,"OK","ОШИБКА"))</f>
        <v/>
      </c>
      <c r="AL393" s="13"/>
      <c r="AM393" s="12"/>
      <c r="AN393" s="12"/>
      <c r="AO393" s="12"/>
      <c r="AP393" s="12"/>
      <c r="AQ393" s="18" t="str">
        <f aca="false">IF(A393="","",N(AQ392)+N(AA393))</f>
        <v/>
      </c>
      <c r="AR393" s="18" t="str">
        <f aca="false">IF(AQ393="","",MAX(0,MAX($AQ$8:AQ393))-AQ393)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3"/>
      <c r="M394" s="13"/>
      <c r="N394" s="13"/>
      <c r="O394" s="14" t="str">
        <f aca="false">IF(OR(L394="",L394=0),"",(1-M394)/L394)</f>
        <v/>
      </c>
      <c r="P394" s="15"/>
      <c r="Q394" s="12"/>
      <c r="R394" s="12"/>
      <c r="S394" s="13"/>
      <c r="T394" s="16" t="str">
        <f aca="false">IF(OR(S394="",L394=""),"",L394/(1-M394)-S394)</f>
        <v/>
      </c>
      <c r="U394" s="16" t="str">
        <f aca="false">IF(OR(L394="",P394=""),"",L394*(P394-1)-N394)</f>
        <v/>
      </c>
      <c r="V394" s="13"/>
      <c r="W394" s="17"/>
      <c r="X394" s="12"/>
      <c r="Y394" s="12"/>
      <c r="Z394" s="12"/>
      <c r="AA394" s="18" t="str">
        <f aca="false">IF(K394&lt;&gt;"ВИРТУАЛЬНЫЙ ВЫБОР","",IF(Z394="✅ ЗАШЛО",W394*(P394-1),IF(Z394="❌ НЕ ЗАШЛО",-W394,IF(Z394="½ ЗАШЛО",W394*(P394-1)/2,IF(Z394="½ НЕ ЗАШЛО",-W394/2,IF(Z394="ВОЗВРАТ",0,""))))))</f>
        <v/>
      </c>
      <c r="AB394" s="18" t="str">
        <f aca="false">IF(AND(K394="ВИРТУАЛЬНЫЙ ВЫБОР",OR(Z394="✅ ЗАШЛО",Z394="❌ НЕ ЗАШЛО",Z394="½ ЗАШЛО",Z394="½ НЕ ЗАШЛО",Z394="ВОЗВРАТ")),W394,"")</f>
        <v/>
      </c>
      <c r="AC394" s="15"/>
      <c r="AD394" s="16" t="str">
        <f aca="false">IF(OR(AC394="",P394=""),"",P394/AC394-1)</f>
        <v/>
      </c>
      <c r="AE394" s="19" t="str">
        <f aca="false">IF(AND(M394=0,OR(Z394="✅ ЗАШЛО",Z394="❌ НЕ ЗАШЛО"),L394&lt;&gt;""),(L394-IF(Z394="✅ ЗАШЛО",1,0))^2,"")</f>
        <v/>
      </c>
      <c r="AF394" s="15"/>
      <c r="AG394" s="15"/>
      <c r="AH394" s="13"/>
      <c r="AI394" s="13"/>
      <c r="AJ394" s="13"/>
      <c r="AK394" s="20" t="str">
        <f aca="false">IF(AH394="","",IF(ABS(AH394+AI394+AJ394-1)&lt;0.000001,"OK","ОШИБКА"))</f>
        <v/>
      </c>
      <c r="AL394" s="13"/>
      <c r="AM394" s="12"/>
      <c r="AN394" s="12"/>
      <c r="AO394" s="12"/>
      <c r="AP394" s="12"/>
      <c r="AQ394" s="18" t="str">
        <f aca="false">IF(A394="","",N(AQ393)+N(AA394))</f>
        <v/>
      </c>
      <c r="AR394" s="18" t="str">
        <f aca="false">IF(AQ394="","",MAX(0,MAX($AQ$8:AQ394))-AQ394)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3"/>
      <c r="M395" s="13"/>
      <c r="N395" s="13"/>
      <c r="O395" s="14" t="str">
        <f aca="false">IF(OR(L395="",L395=0),"",(1-M395)/L395)</f>
        <v/>
      </c>
      <c r="P395" s="15"/>
      <c r="Q395" s="12"/>
      <c r="R395" s="12"/>
      <c r="S395" s="13"/>
      <c r="T395" s="16" t="str">
        <f aca="false">IF(OR(S395="",L395=""),"",L395/(1-M395)-S395)</f>
        <v/>
      </c>
      <c r="U395" s="16" t="str">
        <f aca="false">IF(OR(L395="",P395=""),"",L395*(P395-1)-N395)</f>
        <v/>
      </c>
      <c r="V395" s="13"/>
      <c r="W395" s="17"/>
      <c r="X395" s="12"/>
      <c r="Y395" s="12"/>
      <c r="Z395" s="12"/>
      <c r="AA395" s="18" t="str">
        <f aca="false">IF(K395&lt;&gt;"ВИРТУАЛЬНЫЙ ВЫБОР","",IF(Z395="✅ ЗАШЛО",W395*(P395-1),IF(Z395="❌ НЕ ЗАШЛО",-W395,IF(Z395="½ ЗАШЛО",W395*(P395-1)/2,IF(Z395="½ НЕ ЗАШЛО",-W395/2,IF(Z395="ВОЗВРАТ",0,""))))))</f>
        <v/>
      </c>
      <c r="AB395" s="18" t="str">
        <f aca="false">IF(AND(K395="ВИРТУАЛЬНЫЙ ВЫБОР",OR(Z395="✅ ЗАШЛО",Z395="❌ НЕ ЗАШЛО",Z395="½ ЗАШЛО",Z395="½ НЕ ЗАШЛО",Z395="ВОЗВРАТ")),W395,"")</f>
        <v/>
      </c>
      <c r="AC395" s="15"/>
      <c r="AD395" s="16" t="str">
        <f aca="false">IF(OR(AC395="",P395=""),"",P395/AC395-1)</f>
        <v/>
      </c>
      <c r="AE395" s="19" t="str">
        <f aca="false">IF(AND(M395=0,OR(Z395="✅ ЗАШЛО",Z395="❌ НЕ ЗАШЛО"),L395&lt;&gt;""),(L395-IF(Z395="✅ ЗАШЛО",1,0))^2,"")</f>
        <v/>
      </c>
      <c r="AF395" s="15"/>
      <c r="AG395" s="15"/>
      <c r="AH395" s="13"/>
      <c r="AI395" s="13"/>
      <c r="AJ395" s="13"/>
      <c r="AK395" s="20" t="str">
        <f aca="false">IF(AH395="","",IF(ABS(AH395+AI395+AJ395-1)&lt;0.000001,"OK","ОШИБКА"))</f>
        <v/>
      </c>
      <c r="AL395" s="13"/>
      <c r="AM395" s="12"/>
      <c r="AN395" s="12"/>
      <c r="AO395" s="12"/>
      <c r="AP395" s="12"/>
      <c r="AQ395" s="18" t="str">
        <f aca="false">IF(A395="","",N(AQ394)+N(AA395))</f>
        <v/>
      </c>
      <c r="AR395" s="18" t="str">
        <f aca="false">IF(AQ395="","",MAX(0,MAX($AQ$8:AQ395))-AQ395)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3"/>
      <c r="M396" s="13"/>
      <c r="N396" s="13"/>
      <c r="O396" s="14" t="str">
        <f aca="false">IF(OR(L396="",L396=0),"",(1-M396)/L396)</f>
        <v/>
      </c>
      <c r="P396" s="15"/>
      <c r="Q396" s="12"/>
      <c r="R396" s="12"/>
      <c r="S396" s="13"/>
      <c r="T396" s="16" t="str">
        <f aca="false">IF(OR(S396="",L396=""),"",L396/(1-M396)-S396)</f>
        <v/>
      </c>
      <c r="U396" s="16" t="str">
        <f aca="false">IF(OR(L396="",P396=""),"",L396*(P396-1)-N396)</f>
        <v/>
      </c>
      <c r="V396" s="13"/>
      <c r="W396" s="17"/>
      <c r="X396" s="12"/>
      <c r="Y396" s="12"/>
      <c r="Z396" s="12"/>
      <c r="AA396" s="18" t="str">
        <f aca="false">IF(K396&lt;&gt;"ВИРТУАЛЬНЫЙ ВЫБОР","",IF(Z396="✅ ЗАШЛО",W396*(P396-1),IF(Z396="❌ НЕ ЗАШЛО",-W396,IF(Z396="½ ЗАШЛО",W396*(P396-1)/2,IF(Z396="½ НЕ ЗАШЛО",-W396/2,IF(Z396="ВОЗВРАТ",0,""))))))</f>
        <v/>
      </c>
      <c r="AB396" s="18" t="str">
        <f aca="false">IF(AND(K396="ВИРТУАЛЬНЫЙ ВЫБОР",OR(Z396="✅ ЗАШЛО",Z396="❌ НЕ ЗАШЛО",Z396="½ ЗАШЛО",Z396="½ НЕ ЗАШЛО",Z396="ВОЗВРАТ")),W396,"")</f>
        <v/>
      </c>
      <c r="AC396" s="15"/>
      <c r="AD396" s="16" t="str">
        <f aca="false">IF(OR(AC396="",P396=""),"",P396/AC396-1)</f>
        <v/>
      </c>
      <c r="AE396" s="19" t="str">
        <f aca="false">IF(AND(M396=0,OR(Z396="✅ ЗАШЛО",Z396="❌ НЕ ЗАШЛО"),L396&lt;&gt;""),(L396-IF(Z396="✅ ЗАШЛО",1,0))^2,"")</f>
        <v/>
      </c>
      <c r="AF396" s="15"/>
      <c r="AG396" s="15"/>
      <c r="AH396" s="13"/>
      <c r="AI396" s="13"/>
      <c r="AJ396" s="13"/>
      <c r="AK396" s="20" t="str">
        <f aca="false">IF(AH396="","",IF(ABS(AH396+AI396+AJ396-1)&lt;0.000001,"OK","ОШИБКА"))</f>
        <v/>
      </c>
      <c r="AL396" s="13"/>
      <c r="AM396" s="12"/>
      <c r="AN396" s="12"/>
      <c r="AO396" s="12"/>
      <c r="AP396" s="12"/>
      <c r="AQ396" s="18" t="str">
        <f aca="false">IF(A396="","",N(AQ395)+N(AA396))</f>
        <v/>
      </c>
      <c r="AR396" s="18" t="str">
        <f aca="false">IF(AQ396="","",MAX(0,MAX($AQ$8:AQ396))-AQ396)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3"/>
      <c r="M397" s="13"/>
      <c r="N397" s="13"/>
      <c r="O397" s="14" t="str">
        <f aca="false">IF(OR(L397="",L397=0),"",(1-M397)/L397)</f>
        <v/>
      </c>
      <c r="P397" s="15"/>
      <c r="Q397" s="12"/>
      <c r="R397" s="12"/>
      <c r="S397" s="13"/>
      <c r="T397" s="16" t="str">
        <f aca="false">IF(OR(S397="",L397=""),"",L397/(1-M397)-S397)</f>
        <v/>
      </c>
      <c r="U397" s="16" t="str">
        <f aca="false">IF(OR(L397="",P397=""),"",L397*(P397-1)-N397)</f>
        <v/>
      </c>
      <c r="V397" s="13"/>
      <c r="W397" s="17"/>
      <c r="X397" s="12"/>
      <c r="Y397" s="12"/>
      <c r="Z397" s="12"/>
      <c r="AA397" s="18" t="str">
        <f aca="false">IF(K397&lt;&gt;"ВИРТУАЛЬНЫЙ ВЫБОР","",IF(Z397="✅ ЗАШЛО",W397*(P397-1),IF(Z397="❌ НЕ ЗАШЛО",-W397,IF(Z397="½ ЗАШЛО",W397*(P397-1)/2,IF(Z397="½ НЕ ЗАШЛО",-W397/2,IF(Z397="ВОЗВРАТ",0,""))))))</f>
        <v/>
      </c>
      <c r="AB397" s="18" t="str">
        <f aca="false">IF(AND(K397="ВИРТУАЛЬНЫЙ ВЫБОР",OR(Z397="✅ ЗАШЛО",Z397="❌ НЕ ЗАШЛО",Z397="½ ЗАШЛО",Z397="½ НЕ ЗАШЛО",Z397="ВОЗВРАТ")),W397,"")</f>
        <v/>
      </c>
      <c r="AC397" s="15"/>
      <c r="AD397" s="16" t="str">
        <f aca="false">IF(OR(AC397="",P397=""),"",P397/AC397-1)</f>
        <v/>
      </c>
      <c r="AE397" s="19" t="str">
        <f aca="false">IF(AND(M397=0,OR(Z397="✅ ЗАШЛО",Z397="❌ НЕ ЗАШЛО"),L397&lt;&gt;""),(L397-IF(Z397="✅ ЗАШЛО",1,0))^2,"")</f>
        <v/>
      </c>
      <c r="AF397" s="15"/>
      <c r="AG397" s="15"/>
      <c r="AH397" s="13"/>
      <c r="AI397" s="13"/>
      <c r="AJ397" s="13"/>
      <c r="AK397" s="20" t="str">
        <f aca="false">IF(AH397="","",IF(ABS(AH397+AI397+AJ397-1)&lt;0.000001,"OK","ОШИБКА"))</f>
        <v/>
      </c>
      <c r="AL397" s="13"/>
      <c r="AM397" s="12"/>
      <c r="AN397" s="12"/>
      <c r="AO397" s="12"/>
      <c r="AP397" s="12"/>
      <c r="AQ397" s="18" t="str">
        <f aca="false">IF(A397="","",N(AQ396)+N(AA397))</f>
        <v/>
      </c>
      <c r="AR397" s="18" t="str">
        <f aca="false">IF(AQ397="","",MAX(0,MAX($AQ$8:AQ397))-AQ397)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3"/>
      <c r="M398" s="13"/>
      <c r="N398" s="13"/>
      <c r="O398" s="14" t="str">
        <f aca="false">IF(OR(L398="",L398=0),"",(1-M398)/L398)</f>
        <v/>
      </c>
      <c r="P398" s="15"/>
      <c r="Q398" s="12"/>
      <c r="R398" s="12"/>
      <c r="S398" s="13"/>
      <c r="T398" s="16" t="str">
        <f aca="false">IF(OR(S398="",L398=""),"",L398/(1-M398)-S398)</f>
        <v/>
      </c>
      <c r="U398" s="16" t="str">
        <f aca="false">IF(OR(L398="",P398=""),"",L398*(P398-1)-N398)</f>
        <v/>
      </c>
      <c r="V398" s="13"/>
      <c r="W398" s="17"/>
      <c r="X398" s="12"/>
      <c r="Y398" s="12"/>
      <c r="Z398" s="12"/>
      <c r="AA398" s="18" t="str">
        <f aca="false">IF(K398&lt;&gt;"ВИРТУАЛЬНЫЙ ВЫБОР","",IF(Z398="✅ ЗАШЛО",W398*(P398-1),IF(Z398="❌ НЕ ЗАШЛО",-W398,IF(Z398="½ ЗАШЛО",W398*(P398-1)/2,IF(Z398="½ НЕ ЗАШЛО",-W398/2,IF(Z398="ВОЗВРАТ",0,""))))))</f>
        <v/>
      </c>
      <c r="AB398" s="18" t="str">
        <f aca="false">IF(AND(K398="ВИРТУАЛЬНЫЙ ВЫБОР",OR(Z398="✅ ЗАШЛО",Z398="❌ НЕ ЗАШЛО",Z398="½ ЗАШЛО",Z398="½ НЕ ЗАШЛО",Z398="ВОЗВРАТ")),W398,"")</f>
        <v/>
      </c>
      <c r="AC398" s="15"/>
      <c r="AD398" s="16" t="str">
        <f aca="false">IF(OR(AC398="",P398=""),"",P398/AC398-1)</f>
        <v/>
      </c>
      <c r="AE398" s="19" t="str">
        <f aca="false">IF(AND(M398=0,OR(Z398="✅ ЗАШЛО",Z398="❌ НЕ ЗАШЛО"),L398&lt;&gt;""),(L398-IF(Z398="✅ ЗАШЛО",1,0))^2,"")</f>
        <v/>
      </c>
      <c r="AF398" s="15"/>
      <c r="AG398" s="15"/>
      <c r="AH398" s="13"/>
      <c r="AI398" s="13"/>
      <c r="AJ398" s="13"/>
      <c r="AK398" s="20" t="str">
        <f aca="false">IF(AH398="","",IF(ABS(AH398+AI398+AJ398-1)&lt;0.000001,"OK","ОШИБКА"))</f>
        <v/>
      </c>
      <c r="AL398" s="13"/>
      <c r="AM398" s="12"/>
      <c r="AN398" s="12"/>
      <c r="AO398" s="12"/>
      <c r="AP398" s="12"/>
      <c r="AQ398" s="18" t="str">
        <f aca="false">IF(A398="","",N(AQ397)+N(AA398))</f>
        <v/>
      </c>
      <c r="AR398" s="18" t="str">
        <f aca="false">IF(AQ398="","",MAX(0,MAX($AQ$8:AQ398))-AQ398)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3"/>
      <c r="M399" s="13"/>
      <c r="N399" s="13"/>
      <c r="O399" s="14" t="str">
        <f aca="false">IF(OR(L399="",L399=0),"",(1-M399)/L399)</f>
        <v/>
      </c>
      <c r="P399" s="15"/>
      <c r="Q399" s="12"/>
      <c r="R399" s="12"/>
      <c r="S399" s="13"/>
      <c r="T399" s="16" t="str">
        <f aca="false">IF(OR(S399="",L399=""),"",L399/(1-M399)-S399)</f>
        <v/>
      </c>
      <c r="U399" s="16" t="str">
        <f aca="false">IF(OR(L399="",P399=""),"",L399*(P399-1)-N399)</f>
        <v/>
      </c>
      <c r="V399" s="13"/>
      <c r="W399" s="17"/>
      <c r="X399" s="12"/>
      <c r="Y399" s="12"/>
      <c r="Z399" s="12"/>
      <c r="AA399" s="18" t="str">
        <f aca="false">IF(K399&lt;&gt;"ВИРТУАЛЬНЫЙ ВЫБОР","",IF(Z399="✅ ЗАШЛО",W399*(P399-1),IF(Z399="❌ НЕ ЗАШЛО",-W399,IF(Z399="½ ЗАШЛО",W399*(P399-1)/2,IF(Z399="½ НЕ ЗАШЛО",-W399/2,IF(Z399="ВОЗВРАТ",0,""))))))</f>
        <v/>
      </c>
      <c r="AB399" s="18" t="str">
        <f aca="false">IF(AND(K399="ВИРТУАЛЬНЫЙ ВЫБОР",OR(Z399="✅ ЗАШЛО",Z399="❌ НЕ ЗАШЛО",Z399="½ ЗАШЛО",Z399="½ НЕ ЗАШЛО",Z399="ВОЗВРАТ")),W399,"")</f>
        <v/>
      </c>
      <c r="AC399" s="15"/>
      <c r="AD399" s="16" t="str">
        <f aca="false">IF(OR(AC399="",P399=""),"",P399/AC399-1)</f>
        <v/>
      </c>
      <c r="AE399" s="19" t="str">
        <f aca="false">IF(AND(M399=0,OR(Z399="✅ ЗАШЛО",Z399="❌ НЕ ЗАШЛО"),L399&lt;&gt;""),(L399-IF(Z399="✅ ЗАШЛО",1,0))^2,"")</f>
        <v/>
      </c>
      <c r="AF399" s="15"/>
      <c r="AG399" s="15"/>
      <c r="AH399" s="13"/>
      <c r="AI399" s="13"/>
      <c r="AJ399" s="13"/>
      <c r="AK399" s="20" t="str">
        <f aca="false">IF(AH399="","",IF(ABS(AH399+AI399+AJ399-1)&lt;0.000001,"OK","ОШИБКА"))</f>
        <v/>
      </c>
      <c r="AL399" s="13"/>
      <c r="AM399" s="12"/>
      <c r="AN399" s="12"/>
      <c r="AO399" s="12"/>
      <c r="AP399" s="12"/>
      <c r="AQ399" s="18" t="str">
        <f aca="false">IF(A399="","",N(AQ398)+N(AA399))</f>
        <v/>
      </c>
      <c r="AR399" s="18" t="str">
        <f aca="false">IF(AQ399="","",MAX(0,MAX($AQ$8:AQ399))-AQ399)</f>
        <v/>
      </c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3"/>
      <c r="M400" s="13"/>
      <c r="N400" s="13"/>
      <c r="O400" s="14" t="str">
        <f aca="false">IF(OR(L400="",L400=0),"",(1-M400)/L400)</f>
        <v/>
      </c>
      <c r="P400" s="15"/>
      <c r="Q400" s="12"/>
      <c r="R400" s="12"/>
      <c r="S400" s="13"/>
      <c r="T400" s="16" t="str">
        <f aca="false">IF(OR(S400="",L400=""),"",L400/(1-M400)-S400)</f>
        <v/>
      </c>
      <c r="U400" s="16" t="str">
        <f aca="false">IF(OR(L400="",P400=""),"",L400*(P400-1)-N400)</f>
        <v/>
      </c>
      <c r="V400" s="13"/>
      <c r="W400" s="17"/>
      <c r="X400" s="12"/>
      <c r="Y400" s="12"/>
      <c r="Z400" s="12"/>
      <c r="AA400" s="18" t="str">
        <f aca="false">IF(K400&lt;&gt;"ВИРТУАЛЬНЫЙ ВЫБОР","",IF(Z400="✅ ЗАШЛО",W400*(P400-1),IF(Z400="❌ НЕ ЗАШЛО",-W400,IF(Z400="½ ЗАШЛО",W400*(P400-1)/2,IF(Z400="½ НЕ ЗАШЛО",-W400/2,IF(Z400="ВОЗВРАТ",0,""))))))</f>
        <v/>
      </c>
      <c r="AB400" s="18" t="str">
        <f aca="false">IF(AND(K400="ВИРТУАЛЬНЫЙ ВЫБОР",OR(Z400="✅ ЗАШЛО",Z400="❌ НЕ ЗАШЛО",Z400="½ ЗАШЛО",Z400="½ НЕ ЗАШЛО",Z400="ВОЗВРАТ")),W400,"")</f>
        <v/>
      </c>
      <c r="AC400" s="15"/>
      <c r="AD400" s="16" t="str">
        <f aca="false">IF(OR(AC400="",P400=""),"",P400/AC400-1)</f>
        <v/>
      </c>
      <c r="AE400" s="19" t="str">
        <f aca="false">IF(AND(M400=0,OR(Z400="✅ ЗАШЛО",Z400="❌ НЕ ЗАШЛО"),L400&lt;&gt;""),(L400-IF(Z400="✅ ЗАШЛО",1,0))^2,"")</f>
        <v/>
      </c>
      <c r="AF400" s="15"/>
      <c r="AG400" s="15"/>
      <c r="AH400" s="13"/>
      <c r="AI400" s="13"/>
      <c r="AJ400" s="13"/>
      <c r="AK400" s="20" t="str">
        <f aca="false">IF(AH400="","",IF(ABS(AH400+AI400+AJ400-1)&lt;0.000001,"OK","ОШИБКА"))</f>
        <v/>
      </c>
      <c r="AL400" s="13"/>
      <c r="AM400" s="12"/>
      <c r="AN400" s="12"/>
      <c r="AO400" s="12"/>
      <c r="AP400" s="12"/>
      <c r="AQ400" s="18" t="str">
        <f aca="false">IF(A400="","",N(AQ399)+N(AA400))</f>
        <v/>
      </c>
      <c r="AR400" s="18" t="str">
        <f aca="false">IF(AQ400="","",MAX(0,MAX($AQ$8:AQ400))-AQ400)</f>
        <v/>
      </c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3"/>
      <c r="M401" s="13"/>
      <c r="N401" s="13"/>
      <c r="O401" s="14" t="str">
        <f aca="false">IF(OR(L401="",L401=0),"",(1-M401)/L401)</f>
        <v/>
      </c>
      <c r="P401" s="15"/>
      <c r="Q401" s="12"/>
      <c r="R401" s="12"/>
      <c r="S401" s="13"/>
      <c r="T401" s="16" t="str">
        <f aca="false">IF(OR(S401="",L401=""),"",L401/(1-M401)-S401)</f>
        <v/>
      </c>
      <c r="U401" s="16" t="str">
        <f aca="false">IF(OR(L401="",P401=""),"",L401*(P401-1)-N401)</f>
        <v/>
      </c>
      <c r="V401" s="13"/>
      <c r="W401" s="17"/>
      <c r="X401" s="12"/>
      <c r="Y401" s="12"/>
      <c r="Z401" s="12"/>
      <c r="AA401" s="18" t="str">
        <f aca="false">IF(K401&lt;&gt;"ВИРТУАЛЬНЫЙ ВЫБОР","",IF(Z401="✅ ЗАШЛО",W401*(P401-1),IF(Z401="❌ НЕ ЗАШЛО",-W401,IF(Z401="½ ЗАШЛО",W401*(P401-1)/2,IF(Z401="½ НЕ ЗАШЛО",-W401/2,IF(Z401="ВОЗВРАТ",0,""))))))</f>
        <v/>
      </c>
      <c r="AB401" s="18" t="str">
        <f aca="false">IF(AND(K401="ВИРТУАЛЬНЫЙ ВЫБОР",OR(Z401="✅ ЗАШЛО",Z401="❌ НЕ ЗАШЛО",Z401="½ ЗАШЛО",Z401="½ НЕ ЗАШЛО",Z401="ВОЗВРАТ")),W401,"")</f>
        <v/>
      </c>
      <c r="AC401" s="15"/>
      <c r="AD401" s="16" t="str">
        <f aca="false">IF(OR(AC401="",P401=""),"",P401/AC401-1)</f>
        <v/>
      </c>
      <c r="AE401" s="19" t="str">
        <f aca="false">IF(AND(M401=0,OR(Z401="✅ ЗАШЛО",Z401="❌ НЕ ЗАШЛО"),L401&lt;&gt;""),(L401-IF(Z401="✅ ЗАШЛО",1,0))^2,"")</f>
        <v/>
      </c>
      <c r="AF401" s="15"/>
      <c r="AG401" s="15"/>
      <c r="AH401" s="13"/>
      <c r="AI401" s="13"/>
      <c r="AJ401" s="13"/>
      <c r="AK401" s="20" t="str">
        <f aca="false">IF(AH401="","",IF(ABS(AH401+AI401+AJ401-1)&lt;0.000001,"OK","ОШИБКА"))</f>
        <v/>
      </c>
      <c r="AL401" s="13"/>
      <c r="AM401" s="12"/>
      <c r="AN401" s="12"/>
      <c r="AO401" s="12"/>
      <c r="AP401" s="12"/>
      <c r="AQ401" s="18" t="str">
        <f aca="false">IF(A401="","",N(AQ400)+N(AA401))</f>
        <v/>
      </c>
      <c r="AR401" s="18" t="str">
        <f aca="false">IF(AQ401="","",MAX(0,MAX($AQ$8:AQ401))-AQ401)</f>
        <v/>
      </c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3"/>
      <c r="M402" s="13"/>
      <c r="N402" s="13"/>
      <c r="O402" s="14" t="str">
        <f aca="false">IF(OR(L402="",L402=0),"",(1-M402)/L402)</f>
        <v/>
      </c>
      <c r="P402" s="15"/>
      <c r="Q402" s="12"/>
      <c r="R402" s="12"/>
      <c r="S402" s="13"/>
      <c r="T402" s="16" t="str">
        <f aca="false">IF(OR(S402="",L402=""),"",L402/(1-M402)-S402)</f>
        <v/>
      </c>
      <c r="U402" s="16" t="str">
        <f aca="false">IF(OR(L402="",P402=""),"",L402*(P402-1)-N402)</f>
        <v/>
      </c>
      <c r="V402" s="13"/>
      <c r="W402" s="17"/>
      <c r="X402" s="12"/>
      <c r="Y402" s="12"/>
      <c r="Z402" s="12"/>
      <c r="AA402" s="18" t="str">
        <f aca="false">IF(K402&lt;&gt;"ВИРТУАЛЬНЫЙ ВЫБОР","",IF(Z402="✅ ЗАШЛО",W402*(P402-1),IF(Z402="❌ НЕ ЗАШЛО",-W402,IF(Z402="½ ЗАШЛО",W402*(P402-1)/2,IF(Z402="½ НЕ ЗАШЛО",-W402/2,IF(Z402="ВОЗВРАТ",0,""))))))</f>
        <v/>
      </c>
      <c r="AB402" s="18" t="str">
        <f aca="false">IF(AND(K402="ВИРТУАЛЬНЫЙ ВЫБОР",OR(Z402="✅ ЗАШЛО",Z402="❌ НЕ ЗАШЛО",Z402="½ ЗАШЛО",Z402="½ НЕ ЗАШЛО",Z402="ВОЗВРАТ")),W402,"")</f>
        <v/>
      </c>
      <c r="AC402" s="15"/>
      <c r="AD402" s="16" t="str">
        <f aca="false">IF(OR(AC402="",P402=""),"",P402/AC402-1)</f>
        <v/>
      </c>
      <c r="AE402" s="19" t="str">
        <f aca="false">IF(AND(M402=0,OR(Z402="✅ ЗАШЛО",Z402="❌ НЕ ЗАШЛО"),L402&lt;&gt;""),(L402-IF(Z402="✅ ЗАШЛО",1,0))^2,"")</f>
        <v/>
      </c>
      <c r="AF402" s="15"/>
      <c r="AG402" s="15"/>
      <c r="AH402" s="13"/>
      <c r="AI402" s="13"/>
      <c r="AJ402" s="13"/>
      <c r="AK402" s="20" t="str">
        <f aca="false">IF(AH402="","",IF(ABS(AH402+AI402+AJ402-1)&lt;0.000001,"OK","ОШИБКА"))</f>
        <v/>
      </c>
      <c r="AL402" s="13"/>
      <c r="AM402" s="12"/>
      <c r="AN402" s="12"/>
      <c r="AO402" s="12"/>
      <c r="AP402" s="12"/>
      <c r="AQ402" s="18" t="str">
        <f aca="false">IF(A402="","",N(AQ401)+N(AA402))</f>
        <v/>
      </c>
      <c r="AR402" s="18" t="str">
        <f aca="false">IF(AQ402="","",MAX(0,MAX($AQ$8:AQ402))-AQ402)</f>
        <v/>
      </c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3"/>
      <c r="M403" s="13"/>
      <c r="N403" s="13"/>
      <c r="O403" s="14" t="str">
        <f aca="false">IF(OR(L403="",L403=0),"",(1-M403)/L403)</f>
        <v/>
      </c>
      <c r="P403" s="15"/>
      <c r="Q403" s="12"/>
      <c r="R403" s="12"/>
      <c r="S403" s="13"/>
      <c r="T403" s="16" t="str">
        <f aca="false">IF(OR(S403="",L403=""),"",L403/(1-M403)-S403)</f>
        <v/>
      </c>
      <c r="U403" s="16" t="str">
        <f aca="false">IF(OR(L403="",P403=""),"",L403*(P403-1)-N403)</f>
        <v/>
      </c>
      <c r="V403" s="13"/>
      <c r="W403" s="17"/>
      <c r="X403" s="12"/>
      <c r="Y403" s="12"/>
      <c r="Z403" s="12"/>
      <c r="AA403" s="18" t="str">
        <f aca="false">IF(K403&lt;&gt;"ВИРТУАЛЬНЫЙ ВЫБОР","",IF(Z403="✅ ЗАШЛО",W403*(P403-1),IF(Z403="❌ НЕ ЗАШЛО",-W403,IF(Z403="½ ЗАШЛО",W403*(P403-1)/2,IF(Z403="½ НЕ ЗАШЛО",-W403/2,IF(Z403="ВОЗВРАТ",0,""))))))</f>
        <v/>
      </c>
      <c r="AB403" s="18" t="str">
        <f aca="false">IF(AND(K403="ВИРТУАЛЬНЫЙ ВЫБОР",OR(Z403="✅ ЗАШЛО",Z403="❌ НЕ ЗАШЛО",Z403="½ ЗАШЛО",Z403="½ НЕ ЗАШЛО",Z403="ВОЗВРАТ")),W403,"")</f>
        <v/>
      </c>
      <c r="AC403" s="15"/>
      <c r="AD403" s="16" t="str">
        <f aca="false">IF(OR(AC403="",P403=""),"",P403/AC403-1)</f>
        <v/>
      </c>
      <c r="AE403" s="19" t="str">
        <f aca="false">IF(AND(M403=0,OR(Z403="✅ ЗАШЛО",Z403="❌ НЕ ЗАШЛО"),L403&lt;&gt;""),(L403-IF(Z403="✅ ЗАШЛО",1,0))^2,"")</f>
        <v/>
      </c>
      <c r="AF403" s="15"/>
      <c r="AG403" s="15"/>
      <c r="AH403" s="13"/>
      <c r="AI403" s="13"/>
      <c r="AJ403" s="13"/>
      <c r="AK403" s="20" t="str">
        <f aca="false">IF(AH403="","",IF(ABS(AH403+AI403+AJ403-1)&lt;0.000001,"OK","ОШИБКА"))</f>
        <v/>
      </c>
      <c r="AL403" s="13"/>
      <c r="AM403" s="12"/>
      <c r="AN403" s="12"/>
      <c r="AO403" s="12"/>
      <c r="AP403" s="12"/>
      <c r="AQ403" s="18" t="str">
        <f aca="false">IF(A403="","",N(AQ402)+N(AA403))</f>
        <v/>
      </c>
      <c r="AR403" s="18" t="str">
        <f aca="false">IF(AQ403="","",MAX(0,MAX($AQ$8:AQ403))-AQ403)</f>
        <v/>
      </c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3"/>
      <c r="M404" s="13"/>
      <c r="N404" s="13"/>
      <c r="O404" s="14" t="str">
        <f aca="false">IF(OR(L404="",L404=0),"",(1-M404)/L404)</f>
        <v/>
      </c>
      <c r="P404" s="15"/>
      <c r="Q404" s="12"/>
      <c r="R404" s="12"/>
      <c r="S404" s="13"/>
      <c r="T404" s="16" t="str">
        <f aca="false">IF(OR(S404="",L404=""),"",L404/(1-M404)-S404)</f>
        <v/>
      </c>
      <c r="U404" s="16" t="str">
        <f aca="false">IF(OR(L404="",P404=""),"",L404*(P404-1)-N404)</f>
        <v/>
      </c>
      <c r="V404" s="13"/>
      <c r="W404" s="17"/>
      <c r="X404" s="12"/>
      <c r="Y404" s="12"/>
      <c r="Z404" s="12"/>
      <c r="AA404" s="18" t="str">
        <f aca="false">IF(K404&lt;&gt;"ВИРТУАЛЬНЫЙ ВЫБОР","",IF(Z404="✅ ЗАШЛО",W404*(P404-1),IF(Z404="❌ НЕ ЗАШЛО",-W404,IF(Z404="½ ЗАШЛО",W404*(P404-1)/2,IF(Z404="½ НЕ ЗАШЛО",-W404/2,IF(Z404="ВОЗВРАТ",0,""))))))</f>
        <v/>
      </c>
      <c r="AB404" s="18" t="str">
        <f aca="false">IF(AND(K404="ВИРТУАЛЬНЫЙ ВЫБОР",OR(Z404="✅ ЗАШЛО",Z404="❌ НЕ ЗАШЛО",Z404="½ ЗАШЛО",Z404="½ НЕ ЗАШЛО",Z404="ВОЗВРАТ")),W404,"")</f>
        <v/>
      </c>
      <c r="AC404" s="15"/>
      <c r="AD404" s="16" t="str">
        <f aca="false">IF(OR(AC404="",P404=""),"",P404/AC404-1)</f>
        <v/>
      </c>
      <c r="AE404" s="19" t="str">
        <f aca="false">IF(AND(M404=0,OR(Z404="✅ ЗАШЛО",Z404="❌ НЕ ЗАШЛО"),L404&lt;&gt;""),(L404-IF(Z404="✅ ЗАШЛО",1,0))^2,"")</f>
        <v/>
      </c>
      <c r="AF404" s="15"/>
      <c r="AG404" s="15"/>
      <c r="AH404" s="13"/>
      <c r="AI404" s="13"/>
      <c r="AJ404" s="13"/>
      <c r="AK404" s="20" t="str">
        <f aca="false">IF(AH404="","",IF(ABS(AH404+AI404+AJ404-1)&lt;0.000001,"OK","ОШИБКА"))</f>
        <v/>
      </c>
      <c r="AL404" s="13"/>
      <c r="AM404" s="12"/>
      <c r="AN404" s="12"/>
      <c r="AO404" s="12"/>
      <c r="AP404" s="12"/>
      <c r="AQ404" s="18" t="str">
        <f aca="false">IF(A404="","",N(AQ403)+N(AA404))</f>
        <v/>
      </c>
      <c r="AR404" s="18" t="str">
        <f aca="false">IF(AQ404="","",MAX(0,MAX($AQ$8:AQ404))-AQ404)</f>
        <v/>
      </c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3"/>
      <c r="M405" s="13"/>
      <c r="N405" s="13"/>
      <c r="O405" s="14" t="str">
        <f aca="false">IF(OR(L405="",L405=0),"",(1-M405)/L405)</f>
        <v/>
      </c>
      <c r="P405" s="15"/>
      <c r="Q405" s="12"/>
      <c r="R405" s="12"/>
      <c r="S405" s="13"/>
      <c r="T405" s="16" t="str">
        <f aca="false">IF(OR(S405="",L405=""),"",L405/(1-M405)-S405)</f>
        <v/>
      </c>
      <c r="U405" s="16" t="str">
        <f aca="false">IF(OR(L405="",P405=""),"",L405*(P405-1)-N405)</f>
        <v/>
      </c>
      <c r="V405" s="13"/>
      <c r="W405" s="17"/>
      <c r="X405" s="12"/>
      <c r="Y405" s="12"/>
      <c r="Z405" s="12"/>
      <c r="AA405" s="18" t="str">
        <f aca="false">IF(K405&lt;&gt;"ВИРТУАЛЬНЫЙ ВЫБОР","",IF(Z405="✅ ЗАШЛО",W405*(P405-1),IF(Z405="❌ НЕ ЗАШЛО",-W405,IF(Z405="½ ЗАШЛО",W405*(P405-1)/2,IF(Z405="½ НЕ ЗАШЛО",-W405/2,IF(Z405="ВОЗВРАТ",0,""))))))</f>
        <v/>
      </c>
      <c r="AB405" s="18" t="str">
        <f aca="false">IF(AND(K405="ВИРТУАЛЬНЫЙ ВЫБОР",OR(Z405="✅ ЗАШЛО",Z405="❌ НЕ ЗАШЛО",Z405="½ ЗАШЛО",Z405="½ НЕ ЗАШЛО",Z405="ВОЗВРАТ")),W405,"")</f>
        <v/>
      </c>
      <c r="AC405" s="15"/>
      <c r="AD405" s="16" t="str">
        <f aca="false">IF(OR(AC405="",P405=""),"",P405/AC405-1)</f>
        <v/>
      </c>
      <c r="AE405" s="19" t="str">
        <f aca="false">IF(AND(M405=0,OR(Z405="✅ ЗАШЛО",Z405="❌ НЕ ЗАШЛО"),L405&lt;&gt;""),(L405-IF(Z405="✅ ЗАШЛО",1,0))^2,"")</f>
        <v/>
      </c>
      <c r="AF405" s="15"/>
      <c r="AG405" s="15"/>
      <c r="AH405" s="13"/>
      <c r="AI405" s="13"/>
      <c r="AJ405" s="13"/>
      <c r="AK405" s="20" t="str">
        <f aca="false">IF(AH405="","",IF(ABS(AH405+AI405+AJ405-1)&lt;0.000001,"OK","ОШИБКА"))</f>
        <v/>
      </c>
      <c r="AL405" s="13"/>
      <c r="AM405" s="12"/>
      <c r="AN405" s="12"/>
      <c r="AO405" s="12"/>
      <c r="AP405" s="12"/>
      <c r="AQ405" s="18" t="str">
        <f aca="false">IF(A405="","",N(AQ404)+N(AA405))</f>
        <v/>
      </c>
      <c r="AR405" s="18" t="str">
        <f aca="false">IF(AQ405="","",MAX(0,MAX($AQ$8:AQ405))-AQ405)</f>
        <v/>
      </c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3"/>
      <c r="M406" s="13"/>
      <c r="N406" s="13"/>
      <c r="O406" s="14" t="str">
        <f aca="false">IF(OR(L406="",L406=0),"",(1-M406)/L406)</f>
        <v/>
      </c>
      <c r="P406" s="15"/>
      <c r="Q406" s="12"/>
      <c r="R406" s="12"/>
      <c r="S406" s="13"/>
      <c r="T406" s="16" t="str">
        <f aca="false">IF(OR(S406="",L406=""),"",L406/(1-M406)-S406)</f>
        <v/>
      </c>
      <c r="U406" s="16" t="str">
        <f aca="false">IF(OR(L406="",P406=""),"",L406*(P406-1)-N406)</f>
        <v/>
      </c>
      <c r="V406" s="13"/>
      <c r="W406" s="17"/>
      <c r="X406" s="12"/>
      <c r="Y406" s="12"/>
      <c r="Z406" s="12"/>
      <c r="AA406" s="18" t="str">
        <f aca="false">IF(K406&lt;&gt;"ВИРТУАЛЬНЫЙ ВЫБОР","",IF(Z406="✅ ЗАШЛО",W406*(P406-1),IF(Z406="❌ НЕ ЗАШЛО",-W406,IF(Z406="½ ЗАШЛО",W406*(P406-1)/2,IF(Z406="½ НЕ ЗАШЛО",-W406/2,IF(Z406="ВОЗВРАТ",0,""))))))</f>
        <v/>
      </c>
      <c r="AB406" s="18" t="str">
        <f aca="false">IF(AND(K406="ВИРТУАЛЬНЫЙ ВЫБОР",OR(Z406="✅ ЗАШЛО",Z406="❌ НЕ ЗАШЛО",Z406="½ ЗАШЛО",Z406="½ НЕ ЗАШЛО",Z406="ВОЗВРАТ")),W406,"")</f>
        <v/>
      </c>
      <c r="AC406" s="15"/>
      <c r="AD406" s="16" t="str">
        <f aca="false">IF(OR(AC406="",P406=""),"",P406/AC406-1)</f>
        <v/>
      </c>
      <c r="AE406" s="19" t="str">
        <f aca="false">IF(AND(M406=0,OR(Z406="✅ ЗАШЛО",Z406="❌ НЕ ЗАШЛО"),L406&lt;&gt;""),(L406-IF(Z406="✅ ЗАШЛО",1,0))^2,"")</f>
        <v/>
      </c>
      <c r="AF406" s="15"/>
      <c r="AG406" s="15"/>
      <c r="AH406" s="13"/>
      <c r="AI406" s="13"/>
      <c r="AJ406" s="13"/>
      <c r="AK406" s="20" t="str">
        <f aca="false">IF(AH406="","",IF(ABS(AH406+AI406+AJ406-1)&lt;0.000001,"OK","ОШИБКА"))</f>
        <v/>
      </c>
      <c r="AL406" s="13"/>
      <c r="AM406" s="12"/>
      <c r="AN406" s="12"/>
      <c r="AO406" s="12"/>
      <c r="AP406" s="12"/>
      <c r="AQ406" s="18" t="str">
        <f aca="false">IF(A406="","",N(AQ405)+N(AA406))</f>
        <v/>
      </c>
      <c r="AR406" s="18" t="str">
        <f aca="false">IF(AQ406="","",MAX(0,MAX($AQ$8:AQ406))-AQ406)</f>
        <v/>
      </c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3"/>
      <c r="M407" s="13"/>
      <c r="N407" s="13"/>
      <c r="O407" s="14" t="str">
        <f aca="false">IF(OR(L407="",L407=0),"",(1-M407)/L407)</f>
        <v/>
      </c>
      <c r="P407" s="15"/>
      <c r="Q407" s="12"/>
      <c r="R407" s="12"/>
      <c r="S407" s="13"/>
      <c r="T407" s="16" t="str">
        <f aca="false">IF(OR(S407="",L407=""),"",L407/(1-M407)-S407)</f>
        <v/>
      </c>
      <c r="U407" s="16" t="str">
        <f aca="false">IF(OR(L407="",P407=""),"",L407*(P407-1)-N407)</f>
        <v/>
      </c>
      <c r="V407" s="13"/>
      <c r="W407" s="17"/>
      <c r="X407" s="12"/>
      <c r="Y407" s="12"/>
      <c r="Z407" s="12"/>
      <c r="AA407" s="18" t="str">
        <f aca="false">IF(K407&lt;&gt;"ВИРТУАЛЬНЫЙ ВЫБОР","",IF(Z407="✅ ЗАШЛО",W407*(P407-1),IF(Z407="❌ НЕ ЗАШЛО",-W407,IF(Z407="½ ЗАШЛО",W407*(P407-1)/2,IF(Z407="½ НЕ ЗАШЛО",-W407/2,IF(Z407="ВОЗВРАТ",0,""))))))</f>
        <v/>
      </c>
      <c r="AB407" s="18" t="str">
        <f aca="false">IF(AND(K407="ВИРТУАЛЬНЫЙ ВЫБОР",OR(Z407="✅ ЗАШЛО",Z407="❌ НЕ ЗАШЛО",Z407="½ ЗАШЛО",Z407="½ НЕ ЗАШЛО",Z407="ВОЗВРАТ")),W407,"")</f>
        <v/>
      </c>
      <c r="AC407" s="15"/>
      <c r="AD407" s="16" t="str">
        <f aca="false">IF(OR(AC407="",P407=""),"",P407/AC407-1)</f>
        <v/>
      </c>
      <c r="AE407" s="19" t="str">
        <f aca="false">IF(AND(M407=0,OR(Z407="✅ ЗАШЛО",Z407="❌ НЕ ЗАШЛО"),L407&lt;&gt;""),(L407-IF(Z407="✅ ЗАШЛО",1,0))^2,"")</f>
        <v/>
      </c>
      <c r="AF407" s="15"/>
      <c r="AG407" s="15"/>
      <c r="AH407" s="13"/>
      <c r="AI407" s="13"/>
      <c r="AJ407" s="13"/>
      <c r="AK407" s="20" t="str">
        <f aca="false">IF(AH407="","",IF(ABS(AH407+AI407+AJ407-1)&lt;0.000001,"OK","ОШИБКА"))</f>
        <v/>
      </c>
      <c r="AL407" s="13"/>
      <c r="AM407" s="12"/>
      <c r="AN407" s="12"/>
      <c r="AO407" s="12"/>
      <c r="AP407" s="12"/>
      <c r="AQ407" s="18" t="str">
        <f aca="false">IF(A407="","",N(AQ406)+N(AA407))</f>
        <v/>
      </c>
      <c r="AR407" s="18" t="str">
        <f aca="false">IF(AQ407="","",MAX(0,MAX($AQ$8:AQ407))-AQ407)</f>
        <v/>
      </c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3"/>
      <c r="M408" s="13"/>
      <c r="N408" s="13"/>
      <c r="O408" s="14" t="str">
        <f aca="false">IF(OR(L408="",L408=0),"",(1-M408)/L408)</f>
        <v/>
      </c>
      <c r="P408" s="15"/>
      <c r="Q408" s="12"/>
      <c r="R408" s="12"/>
      <c r="S408" s="13"/>
      <c r="T408" s="16" t="str">
        <f aca="false">IF(OR(S408="",L408=""),"",L408/(1-M408)-S408)</f>
        <v/>
      </c>
      <c r="U408" s="16" t="str">
        <f aca="false">IF(OR(L408="",P408=""),"",L408*(P408-1)-N408)</f>
        <v/>
      </c>
      <c r="V408" s="13"/>
      <c r="W408" s="17"/>
      <c r="X408" s="12"/>
      <c r="Y408" s="12"/>
      <c r="Z408" s="12"/>
      <c r="AA408" s="18" t="str">
        <f aca="false">IF(K408&lt;&gt;"ВИРТУАЛЬНЫЙ ВЫБОР","",IF(Z408="✅ ЗАШЛО",W408*(P408-1),IF(Z408="❌ НЕ ЗАШЛО",-W408,IF(Z408="½ ЗАШЛО",W408*(P408-1)/2,IF(Z408="½ НЕ ЗАШЛО",-W408/2,IF(Z408="ВОЗВРАТ",0,""))))))</f>
        <v/>
      </c>
      <c r="AB408" s="18" t="str">
        <f aca="false">IF(AND(K408="ВИРТУАЛЬНЫЙ ВЫБОР",OR(Z408="✅ ЗАШЛО",Z408="❌ НЕ ЗАШЛО",Z408="½ ЗАШЛО",Z408="½ НЕ ЗАШЛО",Z408="ВОЗВРАТ")),W408,"")</f>
        <v/>
      </c>
      <c r="AC408" s="15"/>
      <c r="AD408" s="16" t="str">
        <f aca="false">IF(OR(AC408="",P408=""),"",P408/AC408-1)</f>
        <v/>
      </c>
      <c r="AE408" s="19" t="str">
        <f aca="false">IF(AND(M408=0,OR(Z408="✅ ЗАШЛО",Z408="❌ НЕ ЗАШЛО"),L408&lt;&gt;""),(L408-IF(Z408="✅ ЗАШЛО",1,0))^2,"")</f>
        <v/>
      </c>
      <c r="AF408" s="15"/>
      <c r="AG408" s="15"/>
      <c r="AH408" s="13"/>
      <c r="AI408" s="13"/>
      <c r="AJ408" s="13"/>
      <c r="AK408" s="20" t="str">
        <f aca="false">IF(AH408="","",IF(ABS(AH408+AI408+AJ408-1)&lt;0.000001,"OK","ОШИБКА"))</f>
        <v/>
      </c>
      <c r="AL408" s="13"/>
      <c r="AM408" s="12"/>
      <c r="AN408" s="12"/>
      <c r="AO408" s="12"/>
      <c r="AP408" s="12"/>
      <c r="AQ408" s="18" t="str">
        <f aca="false">IF(A408="","",N(AQ407)+N(AA408))</f>
        <v/>
      </c>
      <c r="AR408" s="18" t="str">
        <f aca="false">IF(AQ408="","",MAX(0,MAX($AQ$8:AQ408))-AQ408)</f>
        <v/>
      </c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3"/>
      <c r="M409" s="13"/>
      <c r="N409" s="13"/>
      <c r="O409" s="14" t="str">
        <f aca="false">IF(OR(L409="",L409=0),"",(1-M409)/L409)</f>
        <v/>
      </c>
      <c r="P409" s="15"/>
      <c r="Q409" s="12"/>
      <c r="R409" s="12"/>
      <c r="S409" s="13"/>
      <c r="T409" s="16" t="str">
        <f aca="false">IF(OR(S409="",L409=""),"",L409/(1-M409)-S409)</f>
        <v/>
      </c>
      <c r="U409" s="16" t="str">
        <f aca="false">IF(OR(L409="",P409=""),"",L409*(P409-1)-N409)</f>
        <v/>
      </c>
      <c r="V409" s="13"/>
      <c r="W409" s="17"/>
      <c r="X409" s="12"/>
      <c r="Y409" s="12"/>
      <c r="Z409" s="12"/>
      <c r="AA409" s="18" t="str">
        <f aca="false">IF(K409&lt;&gt;"ВИРТУАЛЬНЫЙ ВЫБОР","",IF(Z409="✅ ЗАШЛО",W409*(P409-1),IF(Z409="❌ НЕ ЗАШЛО",-W409,IF(Z409="½ ЗАШЛО",W409*(P409-1)/2,IF(Z409="½ НЕ ЗАШЛО",-W409/2,IF(Z409="ВОЗВРАТ",0,""))))))</f>
        <v/>
      </c>
      <c r="AB409" s="18" t="str">
        <f aca="false">IF(AND(K409="ВИРТУАЛЬНЫЙ ВЫБОР",OR(Z409="✅ ЗАШЛО",Z409="❌ НЕ ЗАШЛО",Z409="½ ЗАШЛО",Z409="½ НЕ ЗАШЛО",Z409="ВОЗВРАТ")),W409,"")</f>
        <v/>
      </c>
      <c r="AC409" s="15"/>
      <c r="AD409" s="16" t="str">
        <f aca="false">IF(OR(AC409="",P409=""),"",P409/AC409-1)</f>
        <v/>
      </c>
      <c r="AE409" s="19" t="str">
        <f aca="false">IF(AND(M409=0,OR(Z409="✅ ЗАШЛО",Z409="❌ НЕ ЗАШЛО"),L409&lt;&gt;""),(L409-IF(Z409="✅ ЗАШЛО",1,0))^2,"")</f>
        <v/>
      </c>
      <c r="AF409" s="15"/>
      <c r="AG409" s="15"/>
      <c r="AH409" s="13"/>
      <c r="AI409" s="13"/>
      <c r="AJ409" s="13"/>
      <c r="AK409" s="20" t="str">
        <f aca="false">IF(AH409="","",IF(ABS(AH409+AI409+AJ409-1)&lt;0.000001,"OK","ОШИБКА"))</f>
        <v/>
      </c>
      <c r="AL409" s="13"/>
      <c r="AM409" s="12"/>
      <c r="AN409" s="12"/>
      <c r="AO409" s="12"/>
      <c r="AP409" s="12"/>
      <c r="AQ409" s="18" t="str">
        <f aca="false">IF(A409="","",N(AQ408)+N(AA409))</f>
        <v/>
      </c>
      <c r="AR409" s="18" t="str">
        <f aca="false">IF(AQ409="","",MAX(0,MAX($AQ$8:AQ409))-AQ409)</f>
        <v/>
      </c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3"/>
      <c r="M410" s="13"/>
      <c r="N410" s="13"/>
      <c r="O410" s="14" t="str">
        <f aca="false">IF(OR(L410="",L410=0),"",(1-M410)/L410)</f>
        <v/>
      </c>
      <c r="P410" s="15"/>
      <c r="Q410" s="12"/>
      <c r="R410" s="12"/>
      <c r="S410" s="13"/>
      <c r="T410" s="16" t="str">
        <f aca="false">IF(OR(S410="",L410=""),"",L410/(1-M410)-S410)</f>
        <v/>
      </c>
      <c r="U410" s="16" t="str">
        <f aca="false">IF(OR(L410="",P410=""),"",L410*(P410-1)-N410)</f>
        <v/>
      </c>
      <c r="V410" s="13"/>
      <c r="W410" s="17"/>
      <c r="X410" s="12"/>
      <c r="Y410" s="12"/>
      <c r="Z410" s="12"/>
      <c r="AA410" s="18" t="str">
        <f aca="false">IF(K410&lt;&gt;"ВИРТУАЛЬНЫЙ ВЫБОР","",IF(Z410="✅ ЗАШЛО",W410*(P410-1),IF(Z410="❌ НЕ ЗАШЛО",-W410,IF(Z410="½ ЗАШЛО",W410*(P410-1)/2,IF(Z410="½ НЕ ЗАШЛО",-W410/2,IF(Z410="ВОЗВРАТ",0,""))))))</f>
        <v/>
      </c>
      <c r="AB410" s="18" t="str">
        <f aca="false">IF(AND(K410="ВИРТУАЛЬНЫЙ ВЫБОР",OR(Z410="✅ ЗАШЛО",Z410="❌ НЕ ЗАШЛО",Z410="½ ЗАШЛО",Z410="½ НЕ ЗАШЛО",Z410="ВОЗВРАТ")),W410,"")</f>
        <v/>
      </c>
      <c r="AC410" s="15"/>
      <c r="AD410" s="16" t="str">
        <f aca="false">IF(OR(AC410="",P410=""),"",P410/AC410-1)</f>
        <v/>
      </c>
      <c r="AE410" s="19" t="str">
        <f aca="false">IF(AND(M410=0,OR(Z410="✅ ЗАШЛО",Z410="❌ НЕ ЗАШЛО"),L410&lt;&gt;""),(L410-IF(Z410="✅ ЗАШЛО",1,0))^2,"")</f>
        <v/>
      </c>
      <c r="AF410" s="15"/>
      <c r="AG410" s="15"/>
      <c r="AH410" s="13"/>
      <c r="AI410" s="13"/>
      <c r="AJ410" s="13"/>
      <c r="AK410" s="20" t="str">
        <f aca="false">IF(AH410="","",IF(ABS(AH410+AI410+AJ410-1)&lt;0.000001,"OK","ОШИБКА"))</f>
        <v/>
      </c>
      <c r="AL410" s="13"/>
      <c r="AM410" s="12"/>
      <c r="AN410" s="12"/>
      <c r="AO410" s="12"/>
      <c r="AP410" s="12"/>
      <c r="AQ410" s="18" t="str">
        <f aca="false">IF(A410="","",N(AQ409)+N(AA410))</f>
        <v/>
      </c>
      <c r="AR410" s="18" t="str">
        <f aca="false">IF(AQ410="","",MAX(0,MAX($AQ$8:AQ410))-AQ410)</f>
        <v/>
      </c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3"/>
      <c r="M411" s="13"/>
      <c r="N411" s="13"/>
      <c r="O411" s="14" t="str">
        <f aca="false">IF(OR(L411="",L411=0),"",(1-M411)/L411)</f>
        <v/>
      </c>
      <c r="P411" s="15"/>
      <c r="Q411" s="12"/>
      <c r="R411" s="12"/>
      <c r="S411" s="13"/>
      <c r="T411" s="16" t="str">
        <f aca="false">IF(OR(S411="",L411=""),"",L411/(1-M411)-S411)</f>
        <v/>
      </c>
      <c r="U411" s="16" t="str">
        <f aca="false">IF(OR(L411="",P411=""),"",L411*(P411-1)-N411)</f>
        <v/>
      </c>
      <c r="V411" s="13"/>
      <c r="W411" s="17"/>
      <c r="X411" s="12"/>
      <c r="Y411" s="12"/>
      <c r="Z411" s="12"/>
      <c r="AA411" s="18" t="str">
        <f aca="false">IF(K411&lt;&gt;"ВИРТУАЛЬНЫЙ ВЫБОР","",IF(Z411="✅ ЗАШЛО",W411*(P411-1),IF(Z411="❌ НЕ ЗАШЛО",-W411,IF(Z411="½ ЗАШЛО",W411*(P411-1)/2,IF(Z411="½ НЕ ЗАШЛО",-W411/2,IF(Z411="ВОЗВРАТ",0,""))))))</f>
        <v/>
      </c>
      <c r="AB411" s="18" t="str">
        <f aca="false">IF(AND(K411="ВИРТУАЛЬНЫЙ ВЫБОР",OR(Z411="✅ ЗАШЛО",Z411="❌ НЕ ЗАШЛО",Z411="½ ЗАШЛО",Z411="½ НЕ ЗАШЛО",Z411="ВОЗВРАТ")),W411,"")</f>
        <v/>
      </c>
      <c r="AC411" s="15"/>
      <c r="AD411" s="16" t="str">
        <f aca="false">IF(OR(AC411="",P411=""),"",P411/AC411-1)</f>
        <v/>
      </c>
      <c r="AE411" s="19" t="str">
        <f aca="false">IF(AND(M411=0,OR(Z411="✅ ЗАШЛО",Z411="❌ НЕ ЗАШЛО"),L411&lt;&gt;""),(L411-IF(Z411="✅ ЗАШЛО",1,0))^2,"")</f>
        <v/>
      </c>
      <c r="AF411" s="15"/>
      <c r="AG411" s="15"/>
      <c r="AH411" s="13"/>
      <c r="AI411" s="13"/>
      <c r="AJ411" s="13"/>
      <c r="AK411" s="20" t="str">
        <f aca="false">IF(AH411="","",IF(ABS(AH411+AI411+AJ411-1)&lt;0.000001,"OK","ОШИБКА"))</f>
        <v/>
      </c>
      <c r="AL411" s="13"/>
      <c r="AM411" s="12"/>
      <c r="AN411" s="12"/>
      <c r="AO411" s="12"/>
      <c r="AP411" s="12"/>
      <c r="AQ411" s="18" t="str">
        <f aca="false">IF(A411="","",N(AQ410)+N(AA411))</f>
        <v/>
      </c>
      <c r="AR411" s="18" t="str">
        <f aca="false">IF(AQ411="","",MAX(0,MAX($AQ$8:AQ411))-AQ411)</f>
        <v/>
      </c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3"/>
      <c r="M412" s="13"/>
      <c r="N412" s="13"/>
      <c r="O412" s="14" t="str">
        <f aca="false">IF(OR(L412="",L412=0),"",(1-M412)/L412)</f>
        <v/>
      </c>
      <c r="P412" s="15"/>
      <c r="Q412" s="12"/>
      <c r="R412" s="12"/>
      <c r="S412" s="13"/>
      <c r="T412" s="16" t="str">
        <f aca="false">IF(OR(S412="",L412=""),"",L412/(1-M412)-S412)</f>
        <v/>
      </c>
      <c r="U412" s="16" t="str">
        <f aca="false">IF(OR(L412="",P412=""),"",L412*(P412-1)-N412)</f>
        <v/>
      </c>
      <c r="V412" s="13"/>
      <c r="W412" s="17"/>
      <c r="X412" s="12"/>
      <c r="Y412" s="12"/>
      <c r="Z412" s="12"/>
      <c r="AA412" s="18" t="str">
        <f aca="false">IF(K412&lt;&gt;"ВИРТУАЛЬНЫЙ ВЫБОР","",IF(Z412="✅ ЗАШЛО",W412*(P412-1),IF(Z412="❌ НЕ ЗАШЛО",-W412,IF(Z412="½ ЗАШЛО",W412*(P412-1)/2,IF(Z412="½ НЕ ЗАШЛО",-W412/2,IF(Z412="ВОЗВРАТ",0,""))))))</f>
        <v/>
      </c>
      <c r="AB412" s="18" t="str">
        <f aca="false">IF(AND(K412="ВИРТУАЛЬНЫЙ ВЫБОР",OR(Z412="✅ ЗАШЛО",Z412="❌ НЕ ЗАШЛО",Z412="½ ЗАШЛО",Z412="½ НЕ ЗАШЛО",Z412="ВОЗВРАТ")),W412,"")</f>
        <v/>
      </c>
      <c r="AC412" s="15"/>
      <c r="AD412" s="16" t="str">
        <f aca="false">IF(OR(AC412="",P412=""),"",P412/AC412-1)</f>
        <v/>
      </c>
      <c r="AE412" s="19" t="str">
        <f aca="false">IF(AND(M412=0,OR(Z412="✅ ЗАШЛО",Z412="❌ НЕ ЗАШЛО"),L412&lt;&gt;""),(L412-IF(Z412="✅ ЗАШЛО",1,0))^2,"")</f>
        <v/>
      </c>
      <c r="AF412" s="15"/>
      <c r="AG412" s="15"/>
      <c r="AH412" s="13"/>
      <c r="AI412" s="13"/>
      <c r="AJ412" s="13"/>
      <c r="AK412" s="20" t="str">
        <f aca="false">IF(AH412="","",IF(ABS(AH412+AI412+AJ412-1)&lt;0.000001,"OK","ОШИБКА"))</f>
        <v/>
      </c>
      <c r="AL412" s="13"/>
      <c r="AM412" s="12"/>
      <c r="AN412" s="12"/>
      <c r="AO412" s="12"/>
      <c r="AP412" s="12"/>
      <c r="AQ412" s="18" t="str">
        <f aca="false">IF(A412="","",N(AQ411)+N(AA412))</f>
        <v/>
      </c>
      <c r="AR412" s="18" t="str">
        <f aca="false">IF(AQ412="","",MAX(0,MAX($AQ$8:AQ412))-AQ412)</f>
        <v/>
      </c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3"/>
      <c r="M413" s="13"/>
      <c r="N413" s="13"/>
      <c r="O413" s="14" t="str">
        <f aca="false">IF(OR(L413="",L413=0),"",(1-M413)/L413)</f>
        <v/>
      </c>
      <c r="P413" s="15"/>
      <c r="Q413" s="12"/>
      <c r="R413" s="12"/>
      <c r="S413" s="13"/>
      <c r="T413" s="16" t="str">
        <f aca="false">IF(OR(S413="",L413=""),"",L413/(1-M413)-S413)</f>
        <v/>
      </c>
      <c r="U413" s="16" t="str">
        <f aca="false">IF(OR(L413="",P413=""),"",L413*(P413-1)-N413)</f>
        <v/>
      </c>
      <c r="V413" s="13"/>
      <c r="W413" s="17"/>
      <c r="X413" s="12"/>
      <c r="Y413" s="12"/>
      <c r="Z413" s="12"/>
      <c r="AA413" s="18" t="str">
        <f aca="false">IF(K413&lt;&gt;"ВИРТУАЛЬНЫЙ ВЫБОР","",IF(Z413="✅ ЗАШЛО",W413*(P413-1),IF(Z413="❌ НЕ ЗАШЛО",-W413,IF(Z413="½ ЗАШЛО",W413*(P413-1)/2,IF(Z413="½ НЕ ЗАШЛО",-W413/2,IF(Z413="ВОЗВРАТ",0,""))))))</f>
        <v/>
      </c>
      <c r="AB413" s="18" t="str">
        <f aca="false">IF(AND(K413="ВИРТУАЛЬНЫЙ ВЫБОР",OR(Z413="✅ ЗАШЛО",Z413="❌ НЕ ЗАШЛО",Z413="½ ЗАШЛО",Z413="½ НЕ ЗАШЛО",Z413="ВОЗВРАТ")),W413,"")</f>
        <v/>
      </c>
      <c r="AC413" s="15"/>
      <c r="AD413" s="16" t="str">
        <f aca="false">IF(OR(AC413="",P413=""),"",P413/AC413-1)</f>
        <v/>
      </c>
      <c r="AE413" s="19" t="str">
        <f aca="false">IF(AND(M413=0,OR(Z413="✅ ЗАШЛО",Z413="❌ НЕ ЗАШЛО"),L413&lt;&gt;""),(L413-IF(Z413="✅ ЗАШЛО",1,0))^2,"")</f>
        <v/>
      </c>
      <c r="AF413" s="15"/>
      <c r="AG413" s="15"/>
      <c r="AH413" s="13"/>
      <c r="AI413" s="13"/>
      <c r="AJ413" s="13"/>
      <c r="AK413" s="20" t="str">
        <f aca="false">IF(AH413="","",IF(ABS(AH413+AI413+AJ413-1)&lt;0.000001,"OK","ОШИБКА"))</f>
        <v/>
      </c>
      <c r="AL413" s="13"/>
      <c r="AM413" s="12"/>
      <c r="AN413" s="12"/>
      <c r="AO413" s="12"/>
      <c r="AP413" s="12"/>
      <c r="AQ413" s="18" t="str">
        <f aca="false">IF(A413="","",N(AQ412)+N(AA413))</f>
        <v/>
      </c>
      <c r="AR413" s="18" t="str">
        <f aca="false">IF(AQ413="","",MAX(0,MAX($AQ$8:AQ413))-AQ413)</f>
        <v/>
      </c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3"/>
      <c r="M414" s="13"/>
      <c r="N414" s="13"/>
      <c r="O414" s="14" t="str">
        <f aca="false">IF(OR(L414="",L414=0),"",(1-M414)/L414)</f>
        <v/>
      </c>
      <c r="P414" s="15"/>
      <c r="Q414" s="12"/>
      <c r="R414" s="12"/>
      <c r="S414" s="13"/>
      <c r="T414" s="16" t="str">
        <f aca="false">IF(OR(S414="",L414=""),"",L414/(1-M414)-S414)</f>
        <v/>
      </c>
      <c r="U414" s="16" t="str">
        <f aca="false">IF(OR(L414="",P414=""),"",L414*(P414-1)-N414)</f>
        <v/>
      </c>
      <c r="V414" s="13"/>
      <c r="W414" s="17"/>
      <c r="X414" s="12"/>
      <c r="Y414" s="12"/>
      <c r="Z414" s="12"/>
      <c r="AA414" s="18" t="str">
        <f aca="false">IF(K414&lt;&gt;"ВИРТУАЛЬНЫЙ ВЫБОР","",IF(Z414="✅ ЗАШЛО",W414*(P414-1),IF(Z414="❌ НЕ ЗАШЛО",-W414,IF(Z414="½ ЗАШЛО",W414*(P414-1)/2,IF(Z414="½ НЕ ЗАШЛО",-W414/2,IF(Z414="ВОЗВРАТ",0,""))))))</f>
        <v/>
      </c>
      <c r="AB414" s="18" t="str">
        <f aca="false">IF(AND(K414="ВИРТУАЛЬНЫЙ ВЫБОР",OR(Z414="✅ ЗАШЛО",Z414="❌ НЕ ЗАШЛО",Z414="½ ЗАШЛО",Z414="½ НЕ ЗАШЛО",Z414="ВОЗВРАТ")),W414,"")</f>
        <v/>
      </c>
      <c r="AC414" s="15"/>
      <c r="AD414" s="16" t="str">
        <f aca="false">IF(OR(AC414="",P414=""),"",P414/AC414-1)</f>
        <v/>
      </c>
      <c r="AE414" s="19" t="str">
        <f aca="false">IF(AND(M414=0,OR(Z414="✅ ЗАШЛО",Z414="❌ НЕ ЗАШЛО"),L414&lt;&gt;""),(L414-IF(Z414="✅ ЗАШЛО",1,0))^2,"")</f>
        <v/>
      </c>
      <c r="AF414" s="15"/>
      <c r="AG414" s="15"/>
      <c r="AH414" s="13"/>
      <c r="AI414" s="13"/>
      <c r="AJ414" s="13"/>
      <c r="AK414" s="20" t="str">
        <f aca="false">IF(AH414="","",IF(ABS(AH414+AI414+AJ414-1)&lt;0.000001,"OK","ОШИБКА"))</f>
        <v/>
      </c>
      <c r="AL414" s="13"/>
      <c r="AM414" s="12"/>
      <c r="AN414" s="12"/>
      <c r="AO414" s="12"/>
      <c r="AP414" s="12"/>
      <c r="AQ414" s="18" t="str">
        <f aca="false">IF(A414="","",N(AQ413)+N(AA414))</f>
        <v/>
      </c>
      <c r="AR414" s="18" t="str">
        <f aca="false">IF(AQ414="","",MAX(0,MAX($AQ$8:AQ414))-AQ414)</f>
        <v/>
      </c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3"/>
      <c r="M415" s="13"/>
      <c r="N415" s="13"/>
      <c r="O415" s="14" t="str">
        <f aca="false">IF(OR(L415="",L415=0),"",(1-M415)/L415)</f>
        <v/>
      </c>
      <c r="P415" s="15"/>
      <c r="Q415" s="12"/>
      <c r="R415" s="12"/>
      <c r="S415" s="13"/>
      <c r="T415" s="16" t="str">
        <f aca="false">IF(OR(S415="",L415=""),"",L415/(1-M415)-S415)</f>
        <v/>
      </c>
      <c r="U415" s="16" t="str">
        <f aca="false">IF(OR(L415="",P415=""),"",L415*(P415-1)-N415)</f>
        <v/>
      </c>
      <c r="V415" s="13"/>
      <c r="W415" s="17"/>
      <c r="X415" s="12"/>
      <c r="Y415" s="12"/>
      <c r="Z415" s="12"/>
      <c r="AA415" s="18" t="str">
        <f aca="false">IF(K415&lt;&gt;"ВИРТУАЛЬНЫЙ ВЫБОР","",IF(Z415="✅ ЗАШЛО",W415*(P415-1),IF(Z415="❌ НЕ ЗАШЛО",-W415,IF(Z415="½ ЗАШЛО",W415*(P415-1)/2,IF(Z415="½ НЕ ЗАШЛО",-W415/2,IF(Z415="ВОЗВРАТ",0,""))))))</f>
        <v/>
      </c>
      <c r="AB415" s="18" t="str">
        <f aca="false">IF(AND(K415="ВИРТУАЛЬНЫЙ ВЫБОР",OR(Z415="✅ ЗАШЛО",Z415="❌ НЕ ЗАШЛО",Z415="½ ЗАШЛО",Z415="½ НЕ ЗАШЛО",Z415="ВОЗВРАТ")),W415,"")</f>
        <v/>
      </c>
      <c r="AC415" s="15"/>
      <c r="AD415" s="16" t="str">
        <f aca="false">IF(OR(AC415="",P415=""),"",P415/AC415-1)</f>
        <v/>
      </c>
      <c r="AE415" s="19" t="str">
        <f aca="false">IF(AND(M415=0,OR(Z415="✅ ЗАШЛО",Z415="❌ НЕ ЗАШЛО"),L415&lt;&gt;""),(L415-IF(Z415="✅ ЗАШЛО",1,0))^2,"")</f>
        <v/>
      </c>
      <c r="AF415" s="15"/>
      <c r="AG415" s="15"/>
      <c r="AH415" s="13"/>
      <c r="AI415" s="13"/>
      <c r="AJ415" s="13"/>
      <c r="AK415" s="20" t="str">
        <f aca="false">IF(AH415="","",IF(ABS(AH415+AI415+AJ415-1)&lt;0.000001,"OK","ОШИБКА"))</f>
        <v/>
      </c>
      <c r="AL415" s="13"/>
      <c r="AM415" s="12"/>
      <c r="AN415" s="12"/>
      <c r="AO415" s="12"/>
      <c r="AP415" s="12"/>
      <c r="AQ415" s="18" t="str">
        <f aca="false">IF(A415="","",N(AQ414)+N(AA415))</f>
        <v/>
      </c>
      <c r="AR415" s="18" t="str">
        <f aca="false">IF(AQ415="","",MAX(0,MAX($AQ$8:AQ415))-AQ415)</f>
        <v/>
      </c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3"/>
      <c r="M416" s="13"/>
      <c r="N416" s="13"/>
      <c r="O416" s="14" t="str">
        <f aca="false">IF(OR(L416="",L416=0),"",(1-M416)/L416)</f>
        <v/>
      </c>
      <c r="P416" s="15"/>
      <c r="Q416" s="12"/>
      <c r="R416" s="12"/>
      <c r="S416" s="13"/>
      <c r="T416" s="16" t="str">
        <f aca="false">IF(OR(S416="",L416=""),"",L416/(1-M416)-S416)</f>
        <v/>
      </c>
      <c r="U416" s="16" t="str">
        <f aca="false">IF(OR(L416="",P416=""),"",L416*(P416-1)-N416)</f>
        <v/>
      </c>
      <c r="V416" s="13"/>
      <c r="W416" s="17"/>
      <c r="X416" s="12"/>
      <c r="Y416" s="12"/>
      <c r="Z416" s="12"/>
      <c r="AA416" s="18" t="str">
        <f aca="false">IF(K416&lt;&gt;"ВИРТУАЛЬНЫЙ ВЫБОР","",IF(Z416="✅ ЗАШЛО",W416*(P416-1),IF(Z416="❌ НЕ ЗАШЛО",-W416,IF(Z416="½ ЗАШЛО",W416*(P416-1)/2,IF(Z416="½ НЕ ЗАШЛО",-W416/2,IF(Z416="ВОЗВРАТ",0,""))))))</f>
        <v/>
      </c>
      <c r="AB416" s="18" t="str">
        <f aca="false">IF(AND(K416="ВИРТУАЛЬНЫЙ ВЫБОР",OR(Z416="✅ ЗАШЛО",Z416="❌ НЕ ЗАШЛО",Z416="½ ЗАШЛО",Z416="½ НЕ ЗАШЛО",Z416="ВОЗВРАТ")),W416,"")</f>
        <v/>
      </c>
      <c r="AC416" s="15"/>
      <c r="AD416" s="16" t="str">
        <f aca="false">IF(OR(AC416="",P416=""),"",P416/AC416-1)</f>
        <v/>
      </c>
      <c r="AE416" s="19" t="str">
        <f aca="false">IF(AND(M416=0,OR(Z416="✅ ЗАШЛО",Z416="❌ НЕ ЗАШЛО"),L416&lt;&gt;""),(L416-IF(Z416="✅ ЗАШЛО",1,0))^2,"")</f>
        <v/>
      </c>
      <c r="AF416" s="15"/>
      <c r="AG416" s="15"/>
      <c r="AH416" s="13"/>
      <c r="AI416" s="13"/>
      <c r="AJ416" s="13"/>
      <c r="AK416" s="20" t="str">
        <f aca="false">IF(AH416="","",IF(ABS(AH416+AI416+AJ416-1)&lt;0.000001,"OK","ОШИБКА"))</f>
        <v/>
      </c>
      <c r="AL416" s="13"/>
      <c r="AM416" s="12"/>
      <c r="AN416" s="12"/>
      <c r="AO416" s="12"/>
      <c r="AP416" s="12"/>
      <c r="AQ416" s="18" t="str">
        <f aca="false">IF(A416="","",N(AQ415)+N(AA416))</f>
        <v/>
      </c>
      <c r="AR416" s="18" t="str">
        <f aca="false">IF(AQ416="","",MAX(0,MAX($AQ$8:AQ416))-AQ416)</f>
        <v/>
      </c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3"/>
      <c r="M417" s="13"/>
      <c r="N417" s="13"/>
      <c r="O417" s="14" t="str">
        <f aca="false">IF(OR(L417="",L417=0),"",(1-M417)/L417)</f>
        <v/>
      </c>
      <c r="P417" s="15"/>
      <c r="Q417" s="12"/>
      <c r="R417" s="12"/>
      <c r="S417" s="13"/>
      <c r="T417" s="16" t="str">
        <f aca="false">IF(OR(S417="",L417=""),"",L417/(1-M417)-S417)</f>
        <v/>
      </c>
      <c r="U417" s="16" t="str">
        <f aca="false">IF(OR(L417="",P417=""),"",L417*(P417-1)-N417)</f>
        <v/>
      </c>
      <c r="V417" s="13"/>
      <c r="W417" s="17"/>
      <c r="X417" s="12"/>
      <c r="Y417" s="12"/>
      <c r="Z417" s="12"/>
      <c r="AA417" s="18" t="str">
        <f aca="false">IF(K417&lt;&gt;"ВИРТУАЛЬНЫЙ ВЫБОР","",IF(Z417="✅ ЗАШЛО",W417*(P417-1),IF(Z417="❌ НЕ ЗАШЛО",-W417,IF(Z417="½ ЗАШЛО",W417*(P417-1)/2,IF(Z417="½ НЕ ЗАШЛО",-W417/2,IF(Z417="ВОЗВРАТ",0,""))))))</f>
        <v/>
      </c>
      <c r="AB417" s="18" t="str">
        <f aca="false">IF(AND(K417="ВИРТУАЛЬНЫЙ ВЫБОР",OR(Z417="✅ ЗАШЛО",Z417="❌ НЕ ЗАШЛО",Z417="½ ЗАШЛО",Z417="½ НЕ ЗАШЛО",Z417="ВОЗВРАТ")),W417,"")</f>
        <v/>
      </c>
      <c r="AC417" s="15"/>
      <c r="AD417" s="16" t="str">
        <f aca="false">IF(OR(AC417="",P417=""),"",P417/AC417-1)</f>
        <v/>
      </c>
      <c r="AE417" s="19" t="str">
        <f aca="false">IF(AND(M417=0,OR(Z417="✅ ЗАШЛО",Z417="❌ НЕ ЗАШЛО"),L417&lt;&gt;""),(L417-IF(Z417="✅ ЗАШЛО",1,0))^2,"")</f>
        <v/>
      </c>
      <c r="AF417" s="15"/>
      <c r="AG417" s="15"/>
      <c r="AH417" s="13"/>
      <c r="AI417" s="13"/>
      <c r="AJ417" s="13"/>
      <c r="AK417" s="20" t="str">
        <f aca="false">IF(AH417="","",IF(ABS(AH417+AI417+AJ417-1)&lt;0.000001,"OK","ОШИБКА"))</f>
        <v/>
      </c>
      <c r="AL417" s="13"/>
      <c r="AM417" s="12"/>
      <c r="AN417" s="12"/>
      <c r="AO417" s="12"/>
      <c r="AP417" s="12"/>
      <c r="AQ417" s="18" t="str">
        <f aca="false">IF(A417="","",N(AQ416)+N(AA417))</f>
        <v/>
      </c>
      <c r="AR417" s="18" t="str">
        <f aca="false">IF(AQ417="","",MAX(0,MAX($AQ$8:AQ417))-AQ417)</f>
        <v/>
      </c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3"/>
      <c r="M418" s="13"/>
      <c r="N418" s="13"/>
      <c r="O418" s="14" t="str">
        <f aca="false">IF(OR(L418="",L418=0),"",(1-M418)/L418)</f>
        <v/>
      </c>
      <c r="P418" s="15"/>
      <c r="Q418" s="12"/>
      <c r="R418" s="12"/>
      <c r="S418" s="13"/>
      <c r="T418" s="16" t="str">
        <f aca="false">IF(OR(S418="",L418=""),"",L418/(1-M418)-S418)</f>
        <v/>
      </c>
      <c r="U418" s="16" t="str">
        <f aca="false">IF(OR(L418="",P418=""),"",L418*(P418-1)-N418)</f>
        <v/>
      </c>
      <c r="V418" s="13"/>
      <c r="W418" s="17"/>
      <c r="X418" s="12"/>
      <c r="Y418" s="12"/>
      <c r="Z418" s="12"/>
      <c r="AA418" s="18" t="str">
        <f aca="false">IF(K418&lt;&gt;"ВИРТУАЛЬНЫЙ ВЫБОР","",IF(Z418="✅ ЗАШЛО",W418*(P418-1),IF(Z418="❌ НЕ ЗАШЛО",-W418,IF(Z418="½ ЗАШЛО",W418*(P418-1)/2,IF(Z418="½ НЕ ЗАШЛО",-W418/2,IF(Z418="ВОЗВРАТ",0,""))))))</f>
        <v/>
      </c>
      <c r="AB418" s="18" t="str">
        <f aca="false">IF(AND(K418="ВИРТУАЛЬНЫЙ ВЫБОР",OR(Z418="✅ ЗАШЛО",Z418="❌ НЕ ЗАШЛО",Z418="½ ЗАШЛО",Z418="½ НЕ ЗАШЛО",Z418="ВОЗВРАТ")),W418,"")</f>
        <v/>
      </c>
      <c r="AC418" s="15"/>
      <c r="AD418" s="16" t="str">
        <f aca="false">IF(OR(AC418="",P418=""),"",P418/AC418-1)</f>
        <v/>
      </c>
      <c r="AE418" s="19" t="str">
        <f aca="false">IF(AND(M418=0,OR(Z418="✅ ЗАШЛО",Z418="❌ НЕ ЗАШЛО"),L418&lt;&gt;""),(L418-IF(Z418="✅ ЗАШЛО",1,0))^2,"")</f>
        <v/>
      </c>
      <c r="AF418" s="15"/>
      <c r="AG418" s="15"/>
      <c r="AH418" s="13"/>
      <c r="AI418" s="13"/>
      <c r="AJ418" s="13"/>
      <c r="AK418" s="20" t="str">
        <f aca="false">IF(AH418="","",IF(ABS(AH418+AI418+AJ418-1)&lt;0.000001,"OK","ОШИБКА"))</f>
        <v/>
      </c>
      <c r="AL418" s="13"/>
      <c r="AM418" s="12"/>
      <c r="AN418" s="12"/>
      <c r="AO418" s="12"/>
      <c r="AP418" s="12"/>
      <c r="AQ418" s="18" t="str">
        <f aca="false">IF(A418="","",N(AQ417)+N(AA418))</f>
        <v/>
      </c>
      <c r="AR418" s="18" t="str">
        <f aca="false">IF(AQ418="","",MAX(0,MAX($AQ$8:AQ418))-AQ418)</f>
        <v/>
      </c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3"/>
      <c r="M419" s="13"/>
      <c r="N419" s="13"/>
      <c r="O419" s="14" t="str">
        <f aca="false">IF(OR(L419="",L419=0),"",(1-M419)/L419)</f>
        <v/>
      </c>
      <c r="P419" s="15"/>
      <c r="Q419" s="12"/>
      <c r="R419" s="12"/>
      <c r="S419" s="13"/>
      <c r="T419" s="16" t="str">
        <f aca="false">IF(OR(S419="",L419=""),"",L419/(1-M419)-S419)</f>
        <v/>
      </c>
      <c r="U419" s="16" t="str">
        <f aca="false">IF(OR(L419="",P419=""),"",L419*(P419-1)-N419)</f>
        <v/>
      </c>
      <c r="V419" s="13"/>
      <c r="W419" s="17"/>
      <c r="X419" s="12"/>
      <c r="Y419" s="12"/>
      <c r="Z419" s="12"/>
      <c r="AA419" s="18" t="str">
        <f aca="false">IF(K419&lt;&gt;"ВИРТУАЛЬНЫЙ ВЫБОР","",IF(Z419="✅ ЗАШЛО",W419*(P419-1),IF(Z419="❌ НЕ ЗАШЛО",-W419,IF(Z419="½ ЗАШЛО",W419*(P419-1)/2,IF(Z419="½ НЕ ЗАШЛО",-W419/2,IF(Z419="ВОЗВРАТ",0,""))))))</f>
        <v/>
      </c>
      <c r="AB419" s="18" t="str">
        <f aca="false">IF(AND(K419="ВИРТУАЛЬНЫЙ ВЫБОР",OR(Z419="✅ ЗАШЛО",Z419="❌ НЕ ЗАШЛО",Z419="½ ЗАШЛО",Z419="½ НЕ ЗАШЛО",Z419="ВОЗВРАТ")),W419,"")</f>
        <v/>
      </c>
      <c r="AC419" s="15"/>
      <c r="AD419" s="16" t="str">
        <f aca="false">IF(OR(AC419="",P419=""),"",P419/AC419-1)</f>
        <v/>
      </c>
      <c r="AE419" s="19" t="str">
        <f aca="false">IF(AND(M419=0,OR(Z419="✅ ЗАШЛО",Z419="❌ НЕ ЗАШЛО"),L419&lt;&gt;""),(L419-IF(Z419="✅ ЗАШЛО",1,0))^2,"")</f>
        <v/>
      </c>
      <c r="AF419" s="15"/>
      <c r="AG419" s="15"/>
      <c r="AH419" s="13"/>
      <c r="AI419" s="13"/>
      <c r="AJ419" s="13"/>
      <c r="AK419" s="20" t="str">
        <f aca="false">IF(AH419="","",IF(ABS(AH419+AI419+AJ419-1)&lt;0.000001,"OK","ОШИБКА"))</f>
        <v/>
      </c>
      <c r="AL419" s="13"/>
      <c r="AM419" s="12"/>
      <c r="AN419" s="12"/>
      <c r="AO419" s="12"/>
      <c r="AP419" s="12"/>
      <c r="AQ419" s="18" t="str">
        <f aca="false">IF(A419="","",N(AQ418)+N(AA419))</f>
        <v/>
      </c>
      <c r="AR419" s="18" t="str">
        <f aca="false">IF(AQ419="","",MAX(0,MAX($AQ$8:AQ419))-AQ419)</f>
        <v/>
      </c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3"/>
      <c r="M420" s="13"/>
      <c r="N420" s="13"/>
      <c r="O420" s="14" t="str">
        <f aca="false">IF(OR(L420="",L420=0),"",(1-M420)/L420)</f>
        <v/>
      </c>
      <c r="P420" s="15"/>
      <c r="Q420" s="12"/>
      <c r="R420" s="12"/>
      <c r="S420" s="13"/>
      <c r="T420" s="16" t="str">
        <f aca="false">IF(OR(S420="",L420=""),"",L420/(1-M420)-S420)</f>
        <v/>
      </c>
      <c r="U420" s="16" t="str">
        <f aca="false">IF(OR(L420="",P420=""),"",L420*(P420-1)-N420)</f>
        <v/>
      </c>
      <c r="V420" s="13"/>
      <c r="W420" s="17"/>
      <c r="X420" s="12"/>
      <c r="Y420" s="12"/>
      <c r="Z420" s="12"/>
      <c r="AA420" s="18" t="str">
        <f aca="false">IF(K420&lt;&gt;"ВИРТУАЛЬНЫЙ ВЫБОР","",IF(Z420="✅ ЗАШЛО",W420*(P420-1),IF(Z420="❌ НЕ ЗАШЛО",-W420,IF(Z420="½ ЗАШЛО",W420*(P420-1)/2,IF(Z420="½ НЕ ЗАШЛО",-W420/2,IF(Z420="ВОЗВРАТ",0,""))))))</f>
        <v/>
      </c>
      <c r="AB420" s="18" t="str">
        <f aca="false">IF(AND(K420="ВИРТУАЛЬНЫЙ ВЫБОР",OR(Z420="✅ ЗАШЛО",Z420="❌ НЕ ЗАШЛО",Z420="½ ЗАШЛО",Z420="½ НЕ ЗАШЛО",Z420="ВОЗВРАТ")),W420,"")</f>
        <v/>
      </c>
      <c r="AC420" s="15"/>
      <c r="AD420" s="16" t="str">
        <f aca="false">IF(OR(AC420="",P420=""),"",P420/AC420-1)</f>
        <v/>
      </c>
      <c r="AE420" s="19" t="str">
        <f aca="false">IF(AND(M420=0,OR(Z420="✅ ЗАШЛО",Z420="❌ НЕ ЗАШЛО"),L420&lt;&gt;""),(L420-IF(Z420="✅ ЗАШЛО",1,0))^2,"")</f>
        <v/>
      </c>
      <c r="AF420" s="15"/>
      <c r="AG420" s="15"/>
      <c r="AH420" s="13"/>
      <c r="AI420" s="13"/>
      <c r="AJ420" s="13"/>
      <c r="AK420" s="20" t="str">
        <f aca="false">IF(AH420="","",IF(ABS(AH420+AI420+AJ420-1)&lt;0.000001,"OK","ОШИБКА"))</f>
        <v/>
      </c>
      <c r="AL420" s="13"/>
      <c r="AM420" s="12"/>
      <c r="AN420" s="12"/>
      <c r="AO420" s="12"/>
      <c r="AP420" s="12"/>
      <c r="AQ420" s="18" t="str">
        <f aca="false">IF(A420="","",N(AQ419)+N(AA420))</f>
        <v/>
      </c>
      <c r="AR420" s="18" t="str">
        <f aca="false">IF(AQ420="","",MAX(0,MAX($AQ$8:AQ420))-AQ420)</f>
        <v/>
      </c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3"/>
      <c r="M421" s="13"/>
      <c r="N421" s="13"/>
      <c r="O421" s="14" t="str">
        <f aca="false">IF(OR(L421="",L421=0),"",(1-M421)/L421)</f>
        <v/>
      </c>
      <c r="P421" s="15"/>
      <c r="Q421" s="12"/>
      <c r="R421" s="12"/>
      <c r="S421" s="13"/>
      <c r="T421" s="16" t="str">
        <f aca="false">IF(OR(S421="",L421=""),"",L421/(1-M421)-S421)</f>
        <v/>
      </c>
      <c r="U421" s="16" t="str">
        <f aca="false">IF(OR(L421="",P421=""),"",L421*(P421-1)-N421)</f>
        <v/>
      </c>
      <c r="V421" s="13"/>
      <c r="W421" s="17"/>
      <c r="X421" s="12"/>
      <c r="Y421" s="12"/>
      <c r="Z421" s="12"/>
      <c r="AA421" s="18" t="str">
        <f aca="false">IF(K421&lt;&gt;"ВИРТУАЛЬНЫЙ ВЫБОР","",IF(Z421="✅ ЗАШЛО",W421*(P421-1),IF(Z421="❌ НЕ ЗАШЛО",-W421,IF(Z421="½ ЗАШЛО",W421*(P421-1)/2,IF(Z421="½ НЕ ЗАШЛО",-W421/2,IF(Z421="ВОЗВРАТ",0,""))))))</f>
        <v/>
      </c>
      <c r="AB421" s="18" t="str">
        <f aca="false">IF(AND(K421="ВИРТУАЛЬНЫЙ ВЫБОР",OR(Z421="✅ ЗАШЛО",Z421="❌ НЕ ЗАШЛО",Z421="½ ЗАШЛО",Z421="½ НЕ ЗАШЛО",Z421="ВОЗВРАТ")),W421,"")</f>
        <v/>
      </c>
      <c r="AC421" s="15"/>
      <c r="AD421" s="16" t="str">
        <f aca="false">IF(OR(AC421="",P421=""),"",P421/AC421-1)</f>
        <v/>
      </c>
      <c r="AE421" s="19" t="str">
        <f aca="false">IF(AND(M421=0,OR(Z421="✅ ЗАШЛО",Z421="❌ НЕ ЗАШЛО"),L421&lt;&gt;""),(L421-IF(Z421="✅ ЗАШЛО",1,0))^2,"")</f>
        <v/>
      </c>
      <c r="AF421" s="15"/>
      <c r="AG421" s="15"/>
      <c r="AH421" s="13"/>
      <c r="AI421" s="13"/>
      <c r="AJ421" s="13"/>
      <c r="AK421" s="20" t="str">
        <f aca="false">IF(AH421="","",IF(ABS(AH421+AI421+AJ421-1)&lt;0.000001,"OK","ОШИБКА"))</f>
        <v/>
      </c>
      <c r="AL421" s="13"/>
      <c r="AM421" s="12"/>
      <c r="AN421" s="12"/>
      <c r="AO421" s="12"/>
      <c r="AP421" s="12"/>
      <c r="AQ421" s="18" t="str">
        <f aca="false">IF(A421="","",N(AQ420)+N(AA421))</f>
        <v/>
      </c>
      <c r="AR421" s="18" t="str">
        <f aca="false">IF(AQ421="","",MAX(0,MAX($AQ$8:AQ421))-AQ421)</f>
        <v/>
      </c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3"/>
      <c r="M422" s="13"/>
      <c r="N422" s="13"/>
      <c r="O422" s="14" t="str">
        <f aca="false">IF(OR(L422="",L422=0),"",(1-M422)/L422)</f>
        <v/>
      </c>
      <c r="P422" s="15"/>
      <c r="Q422" s="12"/>
      <c r="R422" s="12"/>
      <c r="S422" s="13"/>
      <c r="T422" s="16" t="str">
        <f aca="false">IF(OR(S422="",L422=""),"",L422/(1-M422)-S422)</f>
        <v/>
      </c>
      <c r="U422" s="16" t="str">
        <f aca="false">IF(OR(L422="",P422=""),"",L422*(P422-1)-N422)</f>
        <v/>
      </c>
      <c r="V422" s="13"/>
      <c r="W422" s="17"/>
      <c r="X422" s="12"/>
      <c r="Y422" s="12"/>
      <c r="Z422" s="12"/>
      <c r="AA422" s="18" t="str">
        <f aca="false">IF(K422&lt;&gt;"ВИРТУАЛЬНЫЙ ВЫБОР","",IF(Z422="✅ ЗАШЛО",W422*(P422-1),IF(Z422="❌ НЕ ЗАШЛО",-W422,IF(Z422="½ ЗАШЛО",W422*(P422-1)/2,IF(Z422="½ НЕ ЗАШЛО",-W422/2,IF(Z422="ВОЗВРАТ",0,""))))))</f>
        <v/>
      </c>
      <c r="AB422" s="18" t="str">
        <f aca="false">IF(AND(K422="ВИРТУАЛЬНЫЙ ВЫБОР",OR(Z422="✅ ЗАШЛО",Z422="❌ НЕ ЗАШЛО",Z422="½ ЗАШЛО",Z422="½ НЕ ЗАШЛО",Z422="ВОЗВРАТ")),W422,"")</f>
        <v/>
      </c>
      <c r="AC422" s="15"/>
      <c r="AD422" s="16" t="str">
        <f aca="false">IF(OR(AC422="",P422=""),"",P422/AC422-1)</f>
        <v/>
      </c>
      <c r="AE422" s="19" t="str">
        <f aca="false">IF(AND(M422=0,OR(Z422="✅ ЗАШЛО",Z422="❌ НЕ ЗАШЛО"),L422&lt;&gt;""),(L422-IF(Z422="✅ ЗАШЛО",1,0))^2,"")</f>
        <v/>
      </c>
      <c r="AF422" s="15"/>
      <c r="AG422" s="15"/>
      <c r="AH422" s="13"/>
      <c r="AI422" s="13"/>
      <c r="AJ422" s="13"/>
      <c r="AK422" s="20" t="str">
        <f aca="false">IF(AH422="","",IF(ABS(AH422+AI422+AJ422-1)&lt;0.000001,"OK","ОШИБКА"))</f>
        <v/>
      </c>
      <c r="AL422" s="13"/>
      <c r="AM422" s="12"/>
      <c r="AN422" s="12"/>
      <c r="AO422" s="12"/>
      <c r="AP422" s="12"/>
      <c r="AQ422" s="18" t="str">
        <f aca="false">IF(A422="","",N(AQ421)+N(AA422))</f>
        <v/>
      </c>
      <c r="AR422" s="18" t="str">
        <f aca="false">IF(AQ422="","",MAX(0,MAX($AQ$8:AQ422))-AQ422)</f>
        <v/>
      </c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3"/>
      <c r="M423" s="13"/>
      <c r="N423" s="13"/>
      <c r="O423" s="14" t="str">
        <f aca="false">IF(OR(L423="",L423=0),"",(1-M423)/L423)</f>
        <v/>
      </c>
      <c r="P423" s="15"/>
      <c r="Q423" s="12"/>
      <c r="R423" s="12"/>
      <c r="S423" s="13"/>
      <c r="T423" s="16" t="str">
        <f aca="false">IF(OR(S423="",L423=""),"",L423/(1-M423)-S423)</f>
        <v/>
      </c>
      <c r="U423" s="16" t="str">
        <f aca="false">IF(OR(L423="",P423=""),"",L423*(P423-1)-N423)</f>
        <v/>
      </c>
      <c r="V423" s="13"/>
      <c r="W423" s="17"/>
      <c r="X423" s="12"/>
      <c r="Y423" s="12"/>
      <c r="Z423" s="12"/>
      <c r="AA423" s="18" t="str">
        <f aca="false">IF(K423&lt;&gt;"ВИРТУАЛЬНЫЙ ВЫБОР","",IF(Z423="✅ ЗАШЛО",W423*(P423-1),IF(Z423="❌ НЕ ЗАШЛО",-W423,IF(Z423="½ ЗАШЛО",W423*(P423-1)/2,IF(Z423="½ НЕ ЗАШЛО",-W423/2,IF(Z423="ВОЗВРАТ",0,""))))))</f>
        <v/>
      </c>
      <c r="AB423" s="18" t="str">
        <f aca="false">IF(AND(K423="ВИРТУАЛЬНЫЙ ВЫБОР",OR(Z423="✅ ЗАШЛО",Z423="❌ НЕ ЗАШЛО",Z423="½ ЗАШЛО",Z423="½ НЕ ЗАШЛО",Z423="ВОЗВРАТ")),W423,"")</f>
        <v/>
      </c>
      <c r="AC423" s="15"/>
      <c r="AD423" s="16" t="str">
        <f aca="false">IF(OR(AC423="",P423=""),"",P423/AC423-1)</f>
        <v/>
      </c>
      <c r="AE423" s="19" t="str">
        <f aca="false">IF(AND(M423=0,OR(Z423="✅ ЗАШЛО",Z423="❌ НЕ ЗАШЛО"),L423&lt;&gt;""),(L423-IF(Z423="✅ ЗАШЛО",1,0))^2,"")</f>
        <v/>
      </c>
      <c r="AF423" s="15"/>
      <c r="AG423" s="15"/>
      <c r="AH423" s="13"/>
      <c r="AI423" s="13"/>
      <c r="AJ423" s="13"/>
      <c r="AK423" s="20" t="str">
        <f aca="false">IF(AH423="","",IF(ABS(AH423+AI423+AJ423-1)&lt;0.000001,"OK","ОШИБКА"))</f>
        <v/>
      </c>
      <c r="AL423" s="13"/>
      <c r="AM423" s="12"/>
      <c r="AN423" s="12"/>
      <c r="AO423" s="12"/>
      <c r="AP423" s="12"/>
      <c r="AQ423" s="18" t="str">
        <f aca="false">IF(A423="","",N(AQ422)+N(AA423))</f>
        <v/>
      </c>
      <c r="AR423" s="18" t="str">
        <f aca="false">IF(AQ423="","",MAX(0,MAX($AQ$8:AQ423))-AQ423)</f>
        <v/>
      </c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3"/>
      <c r="M424" s="13"/>
      <c r="N424" s="13"/>
      <c r="O424" s="14" t="str">
        <f aca="false">IF(OR(L424="",L424=0),"",(1-M424)/L424)</f>
        <v/>
      </c>
      <c r="P424" s="15"/>
      <c r="Q424" s="12"/>
      <c r="R424" s="12"/>
      <c r="S424" s="13"/>
      <c r="T424" s="16" t="str">
        <f aca="false">IF(OR(S424="",L424=""),"",L424/(1-M424)-S424)</f>
        <v/>
      </c>
      <c r="U424" s="16" t="str">
        <f aca="false">IF(OR(L424="",P424=""),"",L424*(P424-1)-N424)</f>
        <v/>
      </c>
      <c r="V424" s="13"/>
      <c r="W424" s="17"/>
      <c r="X424" s="12"/>
      <c r="Y424" s="12"/>
      <c r="Z424" s="12"/>
      <c r="AA424" s="18" t="str">
        <f aca="false">IF(K424&lt;&gt;"ВИРТУАЛЬНЫЙ ВЫБОР","",IF(Z424="✅ ЗАШЛО",W424*(P424-1),IF(Z424="❌ НЕ ЗАШЛО",-W424,IF(Z424="½ ЗАШЛО",W424*(P424-1)/2,IF(Z424="½ НЕ ЗАШЛО",-W424/2,IF(Z424="ВОЗВРАТ",0,""))))))</f>
        <v/>
      </c>
      <c r="AB424" s="18" t="str">
        <f aca="false">IF(AND(K424="ВИРТУАЛЬНЫЙ ВЫБОР",OR(Z424="✅ ЗАШЛО",Z424="❌ НЕ ЗАШЛО",Z424="½ ЗАШЛО",Z424="½ НЕ ЗАШЛО",Z424="ВОЗВРАТ")),W424,"")</f>
        <v/>
      </c>
      <c r="AC424" s="15"/>
      <c r="AD424" s="16" t="str">
        <f aca="false">IF(OR(AC424="",P424=""),"",P424/AC424-1)</f>
        <v/>
      </c>
      <c r="AE424" s="19" t="str">
        <f aca="false">IF(AND(M424=0,OR(Z424="✅ ЗАШЛО",Z424="❌ НЕ ЗАШЛО"),L424&lt;&gt;""),(L424-IF(Z424="✅ ЗАШЛО",1,0))^2,"")</f>
        <v/>
      </c>
      <c r="AF424" s="15"/>
      <c r="AG424" s="15"/>
      <c r="AH424" s="13"/>
      <c r="AI424" s="13"/>
      <c r="AJ424" s="13"/>
      <c r="AK424" s="20" t="str">
        <f aca="false">IF(AH424="","",IF(ABS(AH424+AI424+AJ424-1)&lt;0.000001,"OK","ОШИБКА"))</f>
        <v/>
      </c>
      <c r="AL424" s="13"/>
      <c r="AM424" s="12"/>
      <c r="AN424" s="12"/>
      <c r="AO424" s="12"/>
      <c r="AP424" s="12"/>
      <c r="AQ424" s="18" t="str">
        <f aca="false">IF(A424="","",N(AQ423)+N(AA424))</f>
        <v/>
      </c>
      <c r="AR424" s="18" t="str">
        <f aca="false">IF(AQ424="","",MAX(0,MAX($AQ$8:AQ424))-AQ424)</f>
        <v/>
      </c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3"/>
      <c r="M425" s="13"/>
      <c r="N425" s="13"/>
      <c r="O425" s="14" t="str">
        <f aca="false">IF(OR(L425="",L425=0),"",(1-M425)/L425)</f>
        <v/>
      </c>
      <c r="P425" s="15"/>
      <c r="Q425" s="12"/>
      <c r="R425" s="12"/>
      <c r="S425" s="13"/>
      <c r="T425" s="16" t="str">
        <f aca="false">IF(OR(S425="",L425=""),"",L425/(1-M425)-S425)</f>
        <v/>
      </c>
      <c r="U425" s="16" t="str">
        <f aca="false">IF(OR(L425="",P425=""),"",L425*(P425-1)-N425)</f>
        <v/>
      </c>
      <c r="V425" s="13"/>
      <c r="W425" s="17"/>
      <c r="X425" s="12"/>
      <c r="Y425" s="12"/>
      <c r="Z425" s="12"/>
      <c r="AA425" s="18" t="str">
        <f aca="false">IF(K425&lt;&gt;"ВИРТУАЛЬНЫЙ ВЫБОР","",IF(Z425="✅ ЗАШЛО",W425*(P425-1),IF(Z425="❌ НЕ ЗАШЛО",-W425,IF(Z425="½ ЗАШЛО",W425*(P425-1)/2,IF(Z425="½ НЕ ЗАШЛО",-W425/2,IF(Z425="ВОЗВРАТ",0,""))))))</f>
        <v/>
      </c>
      <c r="AB425" s="18" t="str">
        <f aca="false">IF(AND(K425="ВИРТУАЛЬНЫЙ ВЫБОР",OR(Z425="✅ ЗАШЛО",Z425="❌ НЕ ЗАШЛО",Z425="½ ЗАШЛО",Z425="½ НЕ ЗАШЛО",Z425="ВОЗВРАТ")),W425,"")</f>
        <v/>
      </c>
      <c r="AC425" s="15"/>
      <c r="AD425" s="16" t="str">
        <f aca="false">IF(OR(AC425="",P425=""),"",P425/AC425-1)</f>
        <v/>
      </c>
      <c r="AE425" s="19" t="str">
        <f aca="false">IF(AND(M425=0,OR(Z425="✅ ЗАШЛО",Z425="❌ НЕ ЗАШЛО"),L425&lt;&gt;""),(L425-IF(Z425="✅ ЗАШЛО",1,0))^2,"")</f>
        <v/>
      </c>
      <c r="AF425" s="15"/>
      <c r="AG425" s="15"/>
      <c r="AH425" s="13"/>
      <c r="AI425" s="13"/>
      <c r="AJ425" s="13"/>
      <c r="AK425" s="20" t="str">
        <f aca="false">IF(AH425="","",IF(ABS(AH425+AI425+AJ425-1)&lt;0.000001,"OK","ОШИБКА"))</f>
        <v/>
      </c>
      <c r="AL425" s="13"/>
      <c r="AM425" s="12"/>
      <c r="AN425" s="12"/>
      <c r="AO425" s="12"/>
      <c r="AP425" s="12"/>
      <c r="AQ425" s="18" t="str">
        <f aca="false">IF(A425="","",N(AQ424)+N(AA425))</f>
        <v/>
      </c>
      <c r="AR425" s="18" t="str">
        <f aca="false">IF(AQ425="","",MAX(0,MAX($AQ$8:AQ425))-AQ425)</f>
        <v/>
      </c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3"/>
      <c r="M426" s="13"/>
      <c r="N426" s="13"/>
      <c r="O426" s="14" t="str">
        <f aca="false">IF(OR(L426="",L426=0),"",(1-M426)/L426)</f>
        <v/>
      </c>
      <c r="P426" s="15"/>
      <c r="Q426" s="12"/>
      <c r="R426" s="12"/>
      <c r="S426" s="13"/>
      <c r="T426" s="16" t="str">
        <f aca="false">IF(OR(S426="",L426=""),"",L426/(1-M426)-S426)</f>
        <v/>
      </c>
      <c r="U426" s="16" t="str">
        <f aca="false">IF(OR(L426="",P426=""),"",L426*(P426-1)-N426)</f>
        <v/>
      </c>
      <c r="V426" s="13"/>
      <c r="W426" s="17"/>
      <c r="X426" s="12"/>
      <c r="Y426" s="12"/>
      <c r="Z426" s="12"/>
      <c r="AA426" s="18" t="str">
        <f aca="false">IF(K426&lt;&gt;"ВИРТУАЛЬНЫЙ ВЫБОР","",IF(Z426="✅ ЗАШЛО",W426*(P426-1),IF(Z426="❌ НЕ ЗАШЛО",-W426,IF(Z426="½ ЗАШЛО",W426*(P426-1)/2,IF(Z426="½ НЕ ЗАШЛО",-W426/2,IF(Z426="ВОЗВРАТ",0,""))))))</f>
        <v/>
      </c>
      <c r="AB426" s="18" t="str">
        <f aca="false">IF(AND(K426="ВИРТУАЛЬНЫЙ ВЫБОР",OR(Z426="✅ ЗАШЛО",Z426="❌ НЕ ЗАШЛО",Z426="½ ЗАШЛО",Z426="½ НЕ ЗАШЛО",Z426="ВОЗВРАТ")),W426,"")</f>
        <v/>
      </c>
      <c r="AC426" s="15"/>
      <c r="AD426" s="16" t="str">
        <f aca="false">IF(OR(AC426="",P426=""),"",P426/AC426-1)</f>
        <v/>
      </c>
      <c r="AE426" s="19" t="str">
        <f aca="false">IF(AND(M426=0,OR(Z426="✅ ЗАШЛО",Z426="❌ НЕ ЗАШЛО"),L426&lt;&gt;""),(L426-IF(Z426="✅ ЗАШЛО",1,0))^2,"")</f>
        <v/>
      </c>
      <c r="AF426" s="15"/>
      <c r="AG426" s="15"/>
      <c r="AH426" s="13"/>
      <c r="AI426" s="13"/>
      <c r="AJ426" s="13"/>
      <c r="AK426" s="20" t="str">
        <f aca="false">IF(AH426="","",IF(ABS(AH426+AI426+AJ426-1)&lt;0.000001,"OK","ОШИБКА"))</f>
        <v/>
      </c>
      <c r="AL426" s="13"/>
      <c r="AM426" s="12"/>
      <c r="AN426" s="12"/>
      <c r="AO426" s="12"/>
      <c r="AP426" s="12"/>
      <c r="AQ426" s="18" t="str">
        <f aca="false">IF(A426="","",N(AQ425)+N(AA426))</f>
        <v/>
      </c>
      <c r="AR426" s="18" t="str">
        <f aca="false">IF(AQ426="","",MAX(0,MAX($AQ$8:AQ426))-AQ426)</f>
        <v/>
      </c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3"/>
      <c r="M427" s="13"/>
      <c r="N427" s="13"/>
      <c r="O427" s="14" t="str">
        <f aca="false">IF(OR(L427="",L427=0),"",(1-M427)/L427)</f>
        <v/>
      </c>
      <c r="P427" s="15"/>
      <c r="Q427" s="12"/>
      <c r="R427" s="12"/>
      <c r="S427" s="13"/>
      <c r="T427" s="16" t="str">
        <f aca="false">IF(OR(S427="",L427=""),"",L427/(1-M427)-S427)</f>
        <v/>
      </c>
      <c r="U427" s="16" t="str">
        <f aca="false">IF(OR(L427="",P427=""),"",L427*(P427-1)-N427)</f>
        <v/>
      </c>
      <c r="V427" s="13"/>
      <c r="W427" s="17"/>
      <c r="X427" s="12"/>
      <c r="Y427" s="12"/>
      <c r="Z427" s="12"/>
      <c r="AA427" s="18" t="str">
        <f aca="false">IF(K427&lt;&gt;"ВИРТУАЛЬНЫЙ ВЫБОР","",IF(Z427="✅ ЗАШЛО",W427*(P427-1),IF(Z427="❌ НЕ ЗАШЛО",-W427,IF(Z427="½ ЗАШЛО",W427*(P427-1)/2,IF(Z427="½ НЕ ЗАШЛО",-W427/2,IF(Z427="ВОЗВРАТ",0,""))))))</f>
        <v/>
      </c>
      <c r="AB427" s="18" t="str">
        <f aca="false">IF(AND(K427="ВИРТУАЛЬНЫЙ ВЫБОР",OR(Z427="✅ ЗАШЛО",Z427="❌ НЕ ЗАШЛО",Z427="½ ЗАШЛО",Z427="½ НЕ ЗАШЛО",Z427="ВОЗВРАТ")),W427,"")</f>
        <v/>
      </c>
      <c r="AC427" s="15"/>
      <c r="AD427" s="16" t="str">
        <f aca="false">IF(OR(AC427="",P427=""),"",P427/AC427-1)</f>
        <v/>
      </c>
      <c r="AE427" s="19" t="str">
        <f aca="false">IF(AND(M427=0,OR(Z427="✅ ЗАШЛО",Z427="❌ НЕ ЗАШЛО"),L427&lt;&gt;""),(L427-IF(Z427="✅ ЗАШЛО",1,0))^2,"")</f>
        <v/>
      </c>
      <c r="AF427" s="15"/>
      <c r="AG427" s="15"/>
      <c r="AH427" s="13"/>
      <c r="AI427" s="13"/>
      <c r="AJ427" s="13"/>
      <c r="AK427" s="20" t="str">
        <f aca="false">IF(AH427="","",IF(ABS(AH427+AI427+AJ427-1)&lt;0.000001,"OK","ОШИБКА"))</f>
        <v/>
      </c>
      <c r="AL427" s="13"/>
      <c r="AM427" s="12"/>
      <c r="AN427" s="12"/>
      <c r="AO427" s="12"/>
      <c r="AP427" s="12"/>
      <c r="AQ427" s="18" t="str">
        <f aca="false">IF(A427="","",N(AQ426)+N(AA427))</f>
        <v/>
      </c>
      <c r="AR427" s="18" t="str">
        <f aca="false">IF(AQ427="","",MAX(0,MAX($AQ$8:AQ427))-AQ427)</f>
        <v/>
      </c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3"/>
      <c r="M428" s="13"/>
      <c r="N428" s="13"/>
      <c r="O428" s="14" t="str">
        <f aca="false">IF(OR(L428="",L428=0),"",(1-M428)/L428)</f>
        <v/>
      </c>
      <c r="P428" s="15"/>
      <c r="Q428" s="12"/>
      <c r="R428" s="12"/>
      <c r="S428" s="13"/>
      <c r="T428" s="16" t="str">
        <f aca="false">IF(OR(S428="",L428=""),"",L428/(1-M428)-S428)</f>
        <v/>
      </c>
      <c r="U428" s="16" t="str">
        <f aca="false">IF(OR(L428="",P428=""),"",L428*(P428-1)-N428)</f>
        <v/>
      </c>
      <c r="V428" s="13"/>
      <c r="W428" s="17"/>
      <c r="X428" s="12"/>
      <c r="Y428" s="12"/>
      <c r="Z428" s="12"/>
      <c r="AA428" s="18" t="str">
        <f aca="false">IF(K428&lt;&gt;"ВИРТУАЛЬНЫЙ ВЫБОР","",IF(Z428="✅ ЗАШЛО",W428*(P428-1),IF(Z428="❌ НЕ ЗАШЛО",-W428,IF(Z428="½ ЗАШЛО",W428*(P428-1)/2,IF(Z428="½ НЕ ЗАШЛО",-W428/2,IF(Z428="ВОЗВРАТ",0,""))))))</f>
        <v/>
      </c>
      <c r="AB428" s="18" t="str">
        <f aca="false">IF(AND(K428="ВИРТУАЛЬНЫЙ ВЫБОР",OR(Z428="✅ ЗАШЛО",Z428="❌ НЕ ЗАШЛО",Z428="½ ЗАШЛО",Z428="½ НЕ ЗАШЛО",Z428="ВОЗВРАТ")),W428,"")</f>
        <v/>
      </c>
      <c r="AC428" s="15"/>
      <c r="AD428" s="16" t="str">
        <f aca="false">IF(OR(AC428="",P428=""),"",P428/AC428-1)</f>
        <v/>
      </c>
      <c r="AE428" s="19" t="str">
        <f aca="false">IF(AND(M428=0,OR(Z428="✅ ЗАШЛО",Z428="❌ НЕ ЗАШЛО"),L428&lt;&gt;""),(L428-IF(Z428="✅ ЗАШЛО",1,0))^2,"")</f>
        <v/>
      </c>
      <c r="AF428" s="15"/>
      <c r="AG428" s="15"/>
      <c r="AH428" s="13"/>
      <c r="AI428" s="13"/>
      <c r="AJ428" s="13"/>
      <c r="AK428" s="20" t="str">
        <f aca="false">IF(AH428="","",IF(ABS(AH428+AI428+AJ428-1)&lt;0.000001,"OK","ОШИБКА"))</f>
        <v/>
      </c>
      <c r="AL428" s="13"/>
      <c r="AM428" s="12"/>
      <c r="AN428" s="12"/>
      <c r="AO428" s="12"/>
      <c r="AP428" s="12"/>
      <c r="AQ428" s="18" t="str">
        <f aca="false">IF(A428="","",N(AQ427)+N(AA428))</f>
        <v/>
      </c>
      <c r="AR428" s="18" t="str">
        <f aca="false">IF(AQ428="","",MAX(0,MAX($AQ$8:AQ428))-AQ428)</f>
        <v/>
      </c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3"/>
      <c r="M429" s="13"/>
      <c r="N429" s="13"/>
      <c r="O429" s="14" t="str">
        <f aca="false">IF(OR(L429="",L429=0),"",(1-M429)/L429)</f>
        <v/>
      </c>
      <c r="P429" s="15"/>
      <c r="Q429" s="12"/>
      <c r="R429" s="12"/>
      <c r="S429" s="13"/>
      <c r="T429" s="16" t="str">
        <f aca="false">IF(OR(S429="",L429=""),"",L429/(1-M429)-S429)</f>
        <v/>
      </c>
      <c r="U429" s="16" t="str">
        <f aca="false">IF(OR(L429="",P429=""),"",L429*(P429-1)-N429)</f>
        <v/>
      </c>
      <c r="V429" s="13"/>
      <c r="W429" s="17"/>
      <c r="X429" s="12"/>
      <c r="Y429" s="12"/>
      <c r="Z429" s="12"/>
      <c r="AA429" s="18" t="str">
        <f aca="false">IF(K429&lt;&gt;"ВИРТУАЛЬНЫЙ ВЫБОР","",IF(Z429="✅ ЗАШЛО",W429*(P429-1),IF(Z429="❌ НЕ ЗАШЛО",-W429,IF(Z429="½ ЗАШЛО",W429*(P429-1)/2,IF(Z429="½ НЕ ЗАШЛО",-W429/2,IF(Z429="ВОЗВРАТ",0,""))))))</f>
        <v/>
      </c>
      <c r="AB429" s="18" t="str">
        <f aca="false">IF(AND(K429="ВИРТУАЛЬНЫЙ ВЫБОР",OR(Z429="✅ ЗАШЛО",Z429="❌ НЕ ЗАШЛО",Z429="½ ЗАШЛО",Z429="½ НЕ ЗАШЛО",Z429="ВОЗВРАТ")),W429,"")</f>
        <v/>
      </c>
      <c r="AC429" s="15"/>
      <c r="AD429" s="16" t="str">
        <f aca="false">IF(OR(AC429="",P429=""),"",P429/AC429-1)</f>
        <v/>
      </c>
      <c r="AE429" s="19" t="str">
        <f aca="false">IF(AND(M429=0,OR(Z429="✅ ЗАШЛО",Z429="❌ НЕ ЗАШЛО"),L429&lt;&gt;""),(L429-IF(Z429="✅ ЗАШЛО",1,0))^2,"")</f>
        <v/>
      </c>
      <c r="AF429" s="15"/>
      <c r="AG429" s="15"/>
      <c r="AH429" s="13"/>
      <c r="AI429" s="13"/>
      <c r="AJ429" s="13"/>
      <c r="AK429" s="20" t="str">
        <f aca="false">IF(AH429="","",IF(ABS(AH429+AI429+AJ429-1)&lt;0.000001,"OK","ОШИБКА"))</f>
        <v/>
      </c>
      <c r="AL429" s="13"/>
      <c r="AM429" s="12"/>
      <c r="AN429" s="12"/>
      <c r="AO429" s="12"/>
      <c r="AP429" s="12"/>
      <c r="AQ429" s="18" t="str">
        <f aca="false">IF(A429="","",N(AQ428)+N(AA429))</f>
        <v/>
      </c>
      <c r="AR429" s="18" t="str">
        <f aca="false">IF(AQ429="","",MAX(0,MAX($AQ$8:AQ429))-AQ429)</f>
        <v/>
      </c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3"/>
      <c r="M430" s="13"/>
      <c r="N430" s="13"/>
      <c r="O430" s="14" t="str">
        <f aca="false">IF(OR(L430="",L430=0),"",(1-M430)/L430)</f>
        <v/>
      </c>
      <c r="P430" s="15"/>
      <c r="Q430" s="12"/>
      <c r="R430" s="12"/>
      <c r="S430" s="13"/>
      <c r="T430" s="16" t="str">
        <f aca="false">IF(OR(S430="",L430=""),"",L430/(1-M430)-S430)</f>
        <v/>
      </c>
      <c r="U430" s="16" t="str">
        <f aca="false">IF(OR(L430="",P430=""),"",L430*(P430-1)-N430)</f>
        <v/>
      </c>
      <c r="V430" s="13"/>
      <c r="W430" s="17"/>
      <c r="X430" s="12"/>
      <c r="Y430" s="12"/>
      <c r="Z430" s="12"/>
      <c r="AA430" s="18" t="str">
        <f aca="false">IF(K430&lt;&gt;"ВИРТУАЛЬНЫЙ ВЫБОР","",IF(Z430="✅ ЗАШЛО",W430*(P430-1),IF(Z430="❌ НЕ ЗАШЛО",-W430,IF(Z430="½ ЗАШЛО",W430*(P430-1)/2,IF(Z430="½ НЕ ЗАШЛО",-W430/2,IF(Z430="ВОЗВРАТ",0,""))))))</f>
        <v/>
      </c>
      <c r="AB430" s="18" t="str">
        <f aca="false">IF(AND(K430="ВИРТУАЛЬНЫЙ ВЫБОР",OR(Z430="✅ ЗАШЛО",Z430="❌ НЕ ЗАШЛО",Z430="½ ЗАШЛО",Z430="½ НЕ ЗАШЛО",Z430="ВОЗВРАТ")),W430,"")</f>
        <v/>
      </c>
      <c r="AC430" s="15"/>
      <c r="AD430" s="16" t="str">
        <f aca="false">IF(OR(AC430="",P430=""),"",P430/AC430-1)</f>
        <v/>
      </c>
      <c r="AE430" s="19" t="str">
        <f aca="false">IF(AND(M430=0,OR(Z430="✅ ЗАШЛО",Z430="❌ НЕ ЗАШЛО"),L430&lt;&gt;""),(L430-IF(Z430="✅ ЗАШЛО",1,0))^2,"")</f>
        <v/>
      </c>
      <c r="AF430" s="15"/>
      <c r="AG430" s="15"/>
      <c r="AH430" s="13"/>
      <c r="AI430" s="13"/>
      <c r="AJ430" s="13"/>
      <c r="AK430" s="20" t="str">
        <f aca="false">IF(AH430="","",IF(ABS(AH430+AI430+AJ430-1)&lt;0.000001,"OK","ОШИБКА"))</f>
        <v/>
      </c>
      <c r="AL430" s="13"/>
      <c r="AM430" s="12"/>
      <c r="AN430" s="12"/>
      <c r="AO430" s="12"/>
      <c r="AP430" s="12"/>
      <c r="AQ430" s="18" t="str">
        <f aca="false">IF(A430="","",N(AQ429)+N(AA430))</f>
        <v/>
      </c>
      <c r="AR430" s="18" t="str">
        <f aca="false">IF(AQ430="","",MAX(0,MAX($AQ$8:AQ430))-AQ430)</f>
        <v/>
      </c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3"/>
      <c r="M431" s="13"/>
      <c r="N431" s="13"/>
      <c r="O431" s="14" t="str">
        <f aca="false">IF(OR(L431="",L431=0),"",(1-M431)/L431)</f>
        <v/>
      </c>
      <c r="P431" s="15"/>
      <c r="Q431" s="12"/>
      <c r="R431" s="12"/>
      <c r="S431" s="13"/>
      <c r="T431" s="16" t="str">
        <f aca="false">IF(OR(S431="",L431=""),"",L431/(1-M431)-S431)</f>
        <v/>
      </c>
      <c r="U431" s="16" t="str">
        <f aca="false">IF(OR(L431="",P431=""),"",L431*(P431-1)-N431)</f>
        <v/>
      </c>
      <c r="V431" s="13"/>
      <c r="W431" s="17"/>
      <c r="X431" s="12"/>
      <c r="Y431" s="12"/>
      <c r="Z431" s="12"/>
      <c r="AA431" s="18" t="str">
        <f aca="false">IF(K431&lt;&gt;"ВИРТУАЛЬНЫЙ ВЫБОР","",IF(Z431="✅ ЗАШЛО",W431*(P431-1),IF(Z431="❌ НЕ ЗАШЛО",-W431,IF(Z431="½ ЗАШЛО",W431*(P431-1)/2,IF(Z431="½ НЕ ЗАШЛО",-W431/2,IF(Z431="ВОЗВРАТ",0,""))))))</f>
        <v/>
      </c>
      <c r="AB431" s="18" t="str">
        <f aca="false">IF(AND(K431="ВИРТУАЛЬНЫЙ ВЫБОР",OR(Z431="✅ ЗАШЛО",Z431="❌ НЕ ЗАШЛО",Z431="½ ЗАШЛО",Z431="½ НЕ ЗАШЛО",Z431="ВОЗВРАТ")),W431,"")</f>
        <v/>
      </c>
      <c r="AC431" s="15"/>
      <c r="AD431" s="16" t="str">
        <f aca="false">IF(OR(AC431="",P431=""),"",P431/AC431-1)</f>
        <v/>
      </c>
      <c r="AE431" s="19" t="str">
        <f aca="false">IF(AND(M431=0,OR(Z431="✅ ЗАШЛО",Z431="❌ НЕ ЗАШЛО"),L431&lt;&gt;""),(L431-IF(Z431="✅ ЗАШЛО",1,0))^2,"")</f>
        <v/>
      </c>
      <c r="AF431" s="15"/>
      <c r="AG431" s="15"/>
      <c r="AH431" s="13"/>
      <c r="AI431" s="13"/>
      <c r="AJ431" s="13"/>
      <c r="AK431" s="20" t="str">
        <f aca="false">IF(AH431="","",IF(ABS(AH431+AI431+AJ431-1)&lt;0.000001,"OK","ОШИБКА"))</f>
        <v/>
      </c>
      <c r="AL431" s="13"/>
      <c r="AM431" s="12"/>
      <c r="AN431" s="12"/>
      <c r="AO431" s="12"/>
      <c r="AP431" s="12"/>
      <c r="AQ431" s="18" t="str">
        <f aca="false">IF(A431="","",N(AQ430)+N(AA431))</f>
        <v/>
      </c>
      <c r="AR431" s="18" t="str">
        <f aca="false">IF(AQ431="","",MAX(0,MAX($AQ$8:AQ431))-AQ431)</f>
        <v/>
      </c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3"/>
      <c r="M432" s="13"/>
      <c r="N432" s="13"/>
      <c r="O432" s="14" t="str">
        <f aca="false">IF(OR(L432="",L432=0),"",(1-M432)/L432)</f>
        <v/>
      </c>
      <c r="P432" s="15"/>
      <c r="Q432" s="12"/>
      <c r="R432" s="12"/>
      <c r="S432" s="13"/>
      <c r="T432" s="16" t="str">
        <f aca="false">IF(OR(S432="",L432=""),"",L432/(1-M432)-S432)</f>
        <v/>
      </c>
      <c r="U432" s="16" t="str">
        <f aca="false">IF(OR(L432="",P432=""),"",L432*(P432-1)-N432)</f>
        <v/>
      </c>
      <c r="V432" s="13"/>
      <c r="W432" s="17"/>
      <c r="X432" s="12"/>
      <c r="Y432" s="12"/>
      <c r="Z432" s="12"/>
      <c r="AA432" s="18" t="str">
        <f aca="false">IF(K432&lt;&gt;"ВИРТУАЛЬНЫЙ ВЫБОР","",IF(Z432="✅ ЗАШЛО",W432*(P432-1),IF(Z432="❌ НЕ ЗАШЛО",-W432,IF(Z432="½ ЗАШЛО",W432*(P432-1)/2,IF(Z432="½ НЕ ЗАШЛО",-W432/2,IF(Z432="ВОЗВРАТ",0,""))))))</f>
        <v/>
      </c>
      <c r="AB432" s="18" t="str">
        <f aca="false">IF(AND(K432="ВИРТУАЛЬНЫЙ ВЫБОР",OR(Z432="✅ ЗАШЛО",Z432="❌ НЕ ЗАШЛО",Z432="½ ЗАШЛО",Z432="½ НЕ ЗАШЛО",Z432="ВОЗВРАТ")),W432,"")</f>
        <v/>
      </c>
      <c r="AC432" s="15"/>
      <c r="AD432" s="16" t="str">
        <f aca="false">IF(OR(AC432="",P432=""),"",P432/AC432-1)</f>
        <v/>
      </c>
      <c r="AE432" s="19" t="str">
        <f aca="false">IF(AND(M432=0,OR(Z432="✅ ЗАШЛО",Z432="❌ НЕ ЗАШЛО"),L432&lt;&gt;""),(L432-IF(Z432="✅ ЗАШЛО",1,0))^2,"")</f>
        <v/>
      </c>
      <c r="AF432" s="15"/>
      <c r="AG432" s="15"/>
      <c r="AH432" s="13"/>
      <c r="AI432" s="13"/>
      <c r="AJ432" s="13"/>
      <c r="AK432" s="20" t="str">
        <f aca="false">IF(AH432="","",IF(ABS(AH432+AI432+AJ432-1)&lt;0.000001,"OK","ОШИБКА"))</f>
        <v/>
      </c>
      <c r="AL432" s="13"/>
      <c r="AM432" s="12"/>
      <c r="AN432" s="12"/>
      <c r="AO432" s="12"/>
      <c r="AP432" s="12"/>
      <c r="AQ432" s="18" t="str">
        <f aca="false">IF(A432="","",N(AQ431)+N(AA432))</f>
        <v/>
      </c>
      <c r="AR432" s="18" t="str">
        <f aca="false">IF(AQ432="","",MAX(0,MAX($AQ$8:AQ432))-AQ432)</f>
        <v/>
      </c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3"/>
      <c r="M433" s="13"/>
      <c r="N433" s="13"/>
      <c r="O433" s="14" t="str">
        <f aca="false">IF(OR(L433="",L433=0),"",(1-M433)/L433)</f>
        <v/>
      </c>
      <c r="P433" s="15"/>
      <c r="Q433" s="12"/>
      <c r="R433" s="12"/>
      <c r="S433" s="13"/>
      <c r="T433" s="16" t="str">
        <f aca="false">IF(OR(S433="",L433=""),"",L433/(1-M433)-S433)</f>
        <v/>
      </c>
      <c r="U433" s="16" t="str">
        <f aca="false">IF(OR(L433="",P433=""),"",L433*(P433-1)-N433)</f>
        <v/>
      </c>
      <c r="V433" s="13"/>
      <c r="W433" s="17"/>
      <c r="X433" s="12"/>
      <c r="Y433" s="12"/>
      <c r="Z433" s="12"/>
      <c r="AA433" s="18" t="str">
        <f aca="false">IF(K433&lt;&gt;"ВИРТУАЛЬНЫЙ ВЫБОР","",IF(Z433="✅ ЗАШЛО",W433*(P433-1),IF(Z433="❌ НЕ ЗАШЛО",-W433,IF(Z433="½ ЗАШЛО",W433*(P433-1)/2,IF(Z433="½ НЕ ЗАШЛО",-W433/2,IF(Z433="ВОЗВРАТ",0,""))))))</f>
        <v/>
      </c>
      <c r="AB433" s="18" t="str">
        <f aca="false">IF(AND(K433="ВИРТУАЛЬНЫЙ ВЫБОР",OR(Z433="✅ ЗАШЛО",Z433="❌ НЕ ЗАШЛО",Z433="½ ЗАШЛО",Z433="½ НЕ ЗАШЛО",Z433="ВОЗВРАТ")),W433,"")</f>
        <v/>
      </c>
      <c r="AC433" s="15"/>
      <c r="AD433" s="16" t="str">
        <f aca="false">IF(OR(AC433="",P433=""),"",P433/AC433-1)</f>
        <v/>
      </c>
      <c r="AE433" s="19" t="str">
        <f aca="false">IF(AND(M433=0,OR(Z433="✅ ЗАШЛО",Z433="❌ НЕ ЗАШЛО"),L433&lt;&gt;""),(L433-IF(Z433="✅ ЗАШЛО",1,0))^2,"")</f>
        <v/>
      </c>
      <c r="AF433" s="15"/>
      <c r="AG433" s="15"/>
      <c r="AH433" s="13"/>
      <c r="AI433" s="13"/>
      <c r="AJ433" s="13"/>
      <c r="AK433" s="20" t="str">
        <f aca="false">IF(AH433="","",IF(ABS(AH433+AI433+AJ433-1)&lt;0.000001,"OK","ОШИБКА"))</f>
        <v/>
      </c>
      <c r="AL433" s="13"/>
      <c r="AM433" s="12"/>
      <c r="AN433" s="12"/>
      <c r="AO433" s="12"/>
      <c r="AP433" s="12"/>
      <c r="AQ433" s="18" t="str">
        <f aca="false">IF(A433="","",N(AQ432)+N(AA433))</f>
        <v/>
      </c>
      <c r="AR433" s="18" t="str">
        <f aca="false">IF(AQ433="","",MAX(0,MAX($AQ$8:AQ433))-AQ433)</f>
        <v/>
      </c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3"/>
      <c r="M434" s="13"/>
      <c r="N434" s="13"/>
      <c r="O434" s="14" t="str">
        <f aca="false">IF(OR(L434="",L434=0),"",(1-M434)/L434)</f>
        <v/>
      </c>
      <c r="P434" s="15"/>
      <c r="Q434" s="12"/>
      <c r="R434" s="12"/>
      <c r="S434" s="13"/>
      <c r="T434" s="16" t="str">
        <f aca="false">IF(OR(S434="",L434=""),"",L434/(1-M434)-S434)</f>
        <v/>
      </c>
      <c r="U434" s="16" t="str">
        <f aca="false">IF(OR(L434="",P434=""),"",L434*(P434-1)-N434)</f>
        <v/>
      </c>
      <c r="V434" s="13"/>
      <c r="W434" s="17"/>
      <c r="X434" s="12"/>
      <c r="Y434" s="12"/>
      <c r="Z434" s="12"/>
      <c r="AA434" s="18" t="str">
        <f aca="false">IF(K434&lt;&gt;"ВИРТУАЛЬНЫЙ ВЫБОР","",IF(Z434="✅ ЗАШЛО",W434*(P434-1),IF(Z434="❌ НЕ ЗАШЛО",-W434,IF(Z434="½ ЗАШЛО",W434*(P434-1)/2,IF(Z434="½ НЕ ЗАШЛО",-W434/2,IF(Z434="ВОЗВРАТ",0,""))))))</f>
        <v/>
      </c>
      <c r="AB434" s="18" t="str">
        <f aca="false">IF(AND(K434="ВИРТУАЛЬНЫЙ ВЫБОР",OR(Z434="✅ ЗАШЛО",Z434="❌ НЕ ЗАШЛО",Z434="½ ЗАШЛО",Z434="½ НЕ ЗАШЛО",Z434="ВОЗВРАТ")),W434,"")</f>
        <v/>
      </c>
      <c r="AC434" s="15"/>
      <c r="AD434" s="16" t="str">
        <f aca="false">IF(OR(AC434="",P434=""),"",P434/AC434-1)</f>
        <v/>
      </c>
      <c r="AE434" s="19" t="str">
        <f aca="false">IF(AND(M434=0,OR(Z434="✅ ЗАШЛО",Z434="❌ НЕ ЗАШЛО"),L434&lt;&gt;""),(L434-IF(Z434="✅ ЗАШЛО",1,0))^2,"")</f>
        <v/>
      </c>
      <c r="AF434" s="15"/>
      <c r="AG434" s="15"/>
      <c r="AH434" s="13"/>
      <c r="AI434" s="13"/>
      <c r="AJ434" s="13"/>
      <c r="AK434" s="20" t="str">
        <f aca="false">IF(AH434="","",IF(ABS(AH434+AI434+AJ434-1)&lt;0.000001,"OK","ОШИБКА"))</f>
        <v/>
      </c>
      <c r="AL434" s="13"/>
      <c r="AM434" s="12"/>
      <c r="AN434" s="12"/>
      <c r="AO434" s="12"/>
      <c r="AP434" s="12"/>
      <c r="AQ434" s="18" t="str">
        <f aca="false">IF(A434="","",N(AQ433)+N(AA434))</f>
        <v/>
      </c>
      <c r="AR434" s="18" t="str">
        <f aca="false">IF(AQ434="","",MAX(0,MAX($AQ$8:AQ434))-AQ434)</f>
        <v/>
      </c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3"/>
      <c r="M435" s="13"/>
      <c r="N435" s="13"/>
      <c r="O435" s="14" t="str">
        <f aca="false">IF(OR(L435="",L435=0),"",(1-M435)/L435)</f>
        <v/>
      </c>
      <c r="P435" s="15"/>
      <c r="Q435" s="12"/>
      <c r="R435" s="12"/>
      <c r="S435" s="13"/>
      <c r="T435" s="16" t="str">
        <f aca="false">IF(OR(S435="",L435=""),"",L435/(1-M435)-S435)</f>
        <v/>
      </c>
      <c r="U435" s="16" t="str">
        <f aca="false">IF(OR(L435="",P435=""),"",L435*(P435-1)-N435)</f>
        <v/>
      </c>
      <c r="V435" s="13"/>
      <c r="W435" s="17"/>
      <c r="X435" s="12"/>
      <c r="Y435" s="12"/>
      <c r="Z435" s="12"/>
      <c r="AA435" s="18" t="str">
        <f aca="false">IF(K435&lt;&gt;"ВИРТУАЛЬНЫЙ ВЫБОР","",IF(Z435="✅ ЗАШЛО",W435*(P435-1),IF(Z435="❌ НЕ ЗАШЛО",-W435,IF(Z435="½ ЗАШЛО",W435*(P435-1)/2,IF(Z435="½ НЕ ЗАШЛО",-W435/2,IF(Z435="ВОЗВРАТ",0,""))))))</f>
        <v/>
      </c>
      <c r="AB435" s="18" t="str">
        <f aca="false">IF(AND(K435="ВИРТУАЛЬНЫЙ ВЫБОР",OR(Z435="✅ ЗАШЛО",Z435="❌ НЕ ЗАШЛО",Z435="½ ЗАШЛО",Z435="½ НЕ ЗАШЛО",Z435="ВОЗВРАТ")),W435,"")</f>
        <v/>
      </c>
      <c r="AC435" s="15"/>
      <c r="AD435" s="16" t="str">
        <f aca="false">IF(OR(AC435="",P435=""),"",P435/AC435-1)</f>
        <v/>
      </c>
      <c r="AE435" s="19" t="str">
        <f aca="false">IF(AND(M435=0,OR(Z435="✅ ЗАШЛО",Z435="❌ НЕ ЗАШЛО"),L435&lt;&gt;""),(L435-IF(Z435="✅ ЗАШЛО",1,0))^2,"")</f>
        <v/>
      </c>
      <c r="AF435" s="15"/>
      <c r="AG435" s="15"/>
      <c r="AH435" s="13"/>
      <c r="AI435" s="13"/>
      <c r="AJ435" s="13"/>
      <c r="AK435" s="20" t="str">
        <f aca="false">IF(AH435="","",IF(ABS(AH435+AI435+AJ435-1)&lt;0.000001,"OK","ОШИБКА"))</f>
        <v/>
      </c>
      <c r="AL435" s="13"/>
      <c r="AM435" s="12"/>
      <c r="AN435" s="12"/>
      <c r="AO435" s="12"/>
      <c r="AP435" s="12"/>
      <c r="AQ435" s="18" t="str">
        <f aca="false">IF(A435="","",N(AQ434)+N(AA435))</f>
        <v/>
      </c>
      <c r="AR435" s="18" t="str">
        <f aca="false">IF(AQ435="","",MAX(0,MAX($AQ$8:AQ435))-AQ435)</f>
        <v/>
      </c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3"/>
      <c r="M436" s="13"/>
      <c r="N436" s="13"/>
      <c r="O436" s="14" t="str">
        <f aca="false">IF(OR(L436="",L436=0),"",(1-M436)/L436)</f>
        <v/>
      </c>
      <c r="P436" s="15"/>
      <c r="Q436" s="12"/>
      <c r="R436" s="12"/>
      <c r="S436" s="13"/>
      <c r="T436" s="16" t="str">
        <f aca="false">IF(OR(S436="",L436=""),"",L436/(1-M436)-S436)</f>
        <v/>
      </c>
      <c r="U436" s="16" t="str">
        <f aca="false">IF(OR(L436="",P436=""),"",L436*(P436-1)-N436)</f>
        <v/>
      </c>
      <c r="V436" s="13"/>
      <c r="W436" s="17"/>
      <c r="X436" s="12"/>
      <c r="Y436" s="12"/>
      <c r="Z436" s="12"/>
      <c r="AA436" s="18" t="str">
        <f aca="false">IF(K436&lt;&gt;"ВИРТУАЛЬНЫЙ ВЫБОР","",IF(Z436="✅ ЗАШЛО",W436*(P436-1),IF(Z436="❌ НЕ ЗАШЛО",-W436,IF(Z436="½ ЗАШЛО",W436*(P436-1)/2,IF(Z436="½ НЕ ЗАШЛО",-W436/2,IF(Z436="ВОЗВРАТ",0,""))))))</f>
        <v/>
      </c>
      <c r="AB436" s="18" t="str">
        <f aca="false">IF(AND(K436="ВИРТУАЛЬНЫЙ ВЫБОР",OR(Z436="✅ ЗАШЛО",Z436="❌ НЕ ЗАШЛО",Z436="½ ЗАШЛО",Z436="½ НЕ ЗАШЛО",Z436="ВОЗВРАТ")),W436,"")</f>
        <v/>
      </c>
      <c r="AC436" s="15"/>
      <c r="AD436" s="16" t="str">
        <f aca="false">IF(OR(AC436="",P436=""),"",P436/AC436-1)</f>
        <v/>
      </c>
      <c r="AE436" s="19" t="str">
        <f aca="false">IF(AND(M436=0,OR(Z436="✅ ЗАШЛО",Z436="❌ НЕ ЗАШЛО"),L436&lt;&gt;""),(L436-IF(Z436="✅ ЗАШЛО",1,0))^2,"")</f>
        <v/>
      </c>
      <c r="AF436" s="15"/>
      <c r="AG436" s="15"/>
      <c r="AH436" s="13"/>
      <c r="AI436" s="13"/>
      <c r="AJ436" s="13"/>
      <c r="AK436" s="20" t="str">
        <f aca="false">IF(AH436="","",IF(ABS(AH436+AI436+AJ436-1)&lt;0.000001,"OK","ОШИБКА"))</f>
        <v/>
      </c>
      <c r="AL436" s="13"/>
      <c r="AM436" s="12"/>
      <c r="AN436" s="12"/>
      <c r="AO436" s="12"/>
      <c r="AP436" s="12"/>
      <c r="AQ436" s="18" t="str">
        <f aca="false">IF(A436="","",N(AQ435)+N(AA436))</f>
        <v/>
      </c>
      <c r="AR436" s="18" t="str">
        <f aca="false">IF(AQ436="","",MAX(0,MAX($AQ$8:AQ436))-AQ436)</f>
        <v/>
      </c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3"/>
      <c r="M437" s="13"/>
      <c r="N437" s="13"/>
      <c r="O437" s="14" t="str">
        <f aca="false">IF(OR(L437="",L437=0),"",(1-M437)/L437)</f>
        <v/>
      </c>
      <c r="P437" s="15"/>
      <c r="Q437" s="12"/>
      <c r="R437" s="12"/>
      <c r="S437" s="13"/>
      <c r="T437" s="16" t="str">
        <f aca="false">IF(OR(S437="",L437=""),"",L437/(1-M437)-S437)</f>
        <v/>
      </c>
      <c r="U437" s="16" t="str">
        <f aca="false">IF(OR(L437="",P437=""),"",L437*(P437-1)-N437)</f>
        <v/>
      </c>
      <c r="V437" s="13"/>
      <c r="W437" s="17"/>
      <c r="X437" s="12"/>
      <c r="Y437" s="12"/>
      <c r="Z437" s="12"/>
      <c r="AA437" s="18" t="str">
        <f aca="false">IF(K437&lt;&gt;"ВИРТУАЛЬНЫЙ ВЫБОР","",IF(Z437="✅ ЗАШЛО",W437*(P437-1),IF(Z437="❌ НЕ ЗАШЛО",-W437,IF(Z437="½ ЗАШЛО",W437*(P437-1)/2,IF(Z437="½ НЕ ЗАШЛО",-W437/2,IF(Z437="ВОЗВРАТ",0,""))))))</f>
        <v/>
      </c>
      <c r="AB437" s="18" t="str">
        <f aca="false">IF(AND(K437="ВИРТУАЛЬНЫЙ ВЫБОР",OR(Z437="✅ ЗАШЛО",Z437="❌ НЕ ЗАШЛО",Z437="½ ЗАШЛО",Z437="½ НЕ ЗАШЛО",Z437="ВОЗВРАТ")),W437,"")</f>
        <v/>
      </c>
      <c r="AC437" s="15"/>
      <c r="AD437" s="16" t="str">
        <f aca="false">IF(OR(AC437="",P437=""),"",P437/AC437-1)</f>
        <v/>
      </c>
      <c r="AE437" s="19" t="str">
        <f aca="false">IF(AND(M437=0,OR(Z437="✅ ЗАШЛО",Z437="❌ НЕ ЗАШЛО"),L437&lt;&gt;""),(L437-IF(Z437="✅ ЗАШЛО",1,0))^2,"")</f>
        <v/>
      </c>
      <c r="AF437" s="15"/>
      <c r="AG437" s="15"/>
      <c r="AH437" s="13"/>
      <c r="AI437" s="13"/>
      <c r="AJ437" s="13"/>
      <c r="AK437" s="20" t="str">
        <f aca="false">IF(AH437="","",IF(ABS(AH437+AI437+AJ437-1)&lt;0.000001,"OK","ОШИБКА"))</f>
        <v/>
      </c>
      <c r="AL437" s="13"/>
      <c r="AM437" s="12"/>
      <c r="AN437" s="12"/>
      <c r="AO437" s="12"/>
      <c r="AP437" s="12"/>
      <c r="AQ437" s="18" t="str">
        <f aca="false">IF(A437="","",N(AQ436)+N(AA437))</f>
        <v/>
      </c>
      <c r="AR437" s="18" t="str">
        <f aca="false">IF(AQ437="","",MAX(0,MAX($AQ$8:AQ437))-AQ437)</f>
        <v/>
      </c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3"/>
      <c r="M438" s="13"/>
      <c r="N438" s="13"/>
      <c r="O438" s="14" t="str">
        <f aca="false">IF(OR(L438="",L438=0),"",(1-M438)/L438)</f>
        <v/>
      </c>
      <c r="P438" s="15"/>
      <c r="Q438" s="12"/>
      <c r="R438" s="12"/>
      <c r="S438" s="13"/>
      <c r="T438" s="16" t="str">
        <f aca="false">IF(OR(S438="",L438=""),"",L438/(1-M438)-S438)</f>
        <v/>
      </c>
      <c r="U438" s="16" t="str">
        <f aca="false">IF(OR(L438="",P438=""),"",L438*(P438-1)-N438)</f>
        <v/>
      </c>
      <c r="V438" s="13"/>
      <c r="W438" s="17"/>
      <c r="X438" s="12"/>
      <c r="Y438" s="12"/>
      <c r="Z438" s="12"/>
      <c r="AA438" s="18" t="str">
        <f aca="false">IF(K438&lt;&gt;"ВИРТУАЛЬНЫЙ ВЫБОР","",IF(Z438="✅ ЗАШЛО",W438*(P438-1),IF(Z438="❌ НЕ ЗАШЛО",-W438,IF(Z438="½ ЗАШЛО",W438*(P438-1)/2,IF(Z438="½ НЕ ЗАШЛО",-W438/2,IF(Z438="ВОЗВРАТ",0,""))))))</f>
        <v/>
      </c>
      <c r="AB438" s="18" t="str">
        <f aca="false">IF(AND(K438="ВИРТУАЛЬНЫЙ ВЫБОР",OR(Z438="✅ ЗАШЛО",Z438="❌ НЕ ЗАШЛО",Z438="½ ЗАШЛО",Z438="½ НЕ ЗАШЛО",Z438="ВОЗВРАТ")),W438,"")</f>
        <v/>
      </c>
      <c r="AC438" s="15"/>
      <c r="AD438" s="16" t="str">
        <f aca="false">IF(OR(AC438="",P438=""),"",P438/AC438-1)</f>
        <v/>
      </c>
      <c r="AE438" s="19" t="str">
        <f aca="false">IF(AND(M438=0,OR(Z438="✅ ЗАШЛО",Z438="❌ НЕ ЗАШЛО"),L438&lt;&gt;""),(L438-IF(Z438="✅ ЗАШЛО",1,0))^2,"")</f>
        <v/>
      </c>
      <c r="AF438" s="15"/>
      <c r="AG438" s="15"/>
      <c r="AH438" s="13"/>
      <c r="AI438" s="13"/>
      <c r="AJ438" s="13"/>
      <c r="AK438" s="20" t="str">
        <f aca="false">IF(AH438="","",IF(ABS(AH438+AI438+AJ438-1)&lt;0.000001,"OK","ОШИБКА"))</f>
        <v/>
      </c>
      <c r="AL438" s="13"/>
      <c r="AM438" s="12"/>
      <c r="AN438" s="12"/>
      <c r="AO438" s="12"/>
      <c r="AP438" s="12"/>
      <c r="AQ438" s="18" t="str">
        <f aca="false">IF(A438="","",N(AQ437)+N(AA438))</f>
        <v/>
      </c>
      <c r="AR438" s="18" t="str">
        <f aca="false">IF(AQ438="","",MAX(0,MAX($AQ$8:AQ438))-AQ438)</f>
        <v/>
      </c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3"/>
      <c r="M439" s="13"/>
      <c r="N439" s="13"/>
      <c r="O439" s="14" t="str">
        <f aca="false">IF(OR(L439="",L439=0),"",(1-M439)/L439)</f>
        <v/>
      </c>
      <c r="P439" s="15"/>
      <c r="Q439" s="12"/>
      <c r="R439" s="12"/>
      <c r="S439" s="13"/>
      <c r="T439" s="16" t="str">
        <f aca="false">IF(OR(S439="",L439=""),"",L439/(1-M439)-S439)</f>
        <v/>
      </c>
      <c r="U439" s="16" t="str">
        <f aca="false">IF(OR(L439="",P439=""),"",L439*(P439-1)-N439)</f>
        <v/>
      </c>
      <c r="V439" s="13"/>
      <c r="W439" s="17"/>
      <c r="X439" s="12"/>
      <c r="Y439" s="12"/>
      <c r="Z439" s="12"/>
      <c r="AA439" s="18" t="str">
        <f aca="false">IF(K439&lt;&gt;"ВИРТУАЛЬНЫЙ ВЫБОР","",IF(Z439="✅ ЗАШЛО",W439*(P439-1),IF(Z439="❌ НЕ ЗАШЛО",-W439,IF(Z439="½ ЗАШЛО",W439*(P439-1)/2,IF(Z439="½ НЕ ЗАШЛО",-W439/2,IF(Z439="ВОЗВРАТ",0,""))))))</f>
        <v/>
      </c>
      <c r="AB439" s="18" t="str">
        <f aca="false">IF(AND(K439="ВИРТУАЛЬНЫЙ ВЫБОР",OR(Z439="✅ ЗАШЛО",Z439="❌ НЕ ЗАШЛО",Z439="½ ЗАШЛО",Z439="½ НЕ ЗАШЛО",Z439="ВОЗВРАТ")),W439,"")</f>
        <v/>
      </c>
      <c r="AC439" s="15"/>
      <c r="AD439" s="16" t="str">
        <f aca="false">IF(OR(AC439="",P439=""),"",P439/AC439-1)</f>
        <v/>
      </c>
      <c r="AE439" s="19" t="str">
        <f aca="false">IF(AND(M439=0,OR(Z439="✅ ЗАШЛО",Z439="❌ НЕ ЗАШЛО"),L439&lt;&gt;""),(L439-IF(Z439="✅ ЗАШЛО",1,0))^2,"")</f>
        <v/>
      </c>
      <c r="AF439" s="15"/>
      <c r="AG439" s="15"/>
      <c r="AH439" s="13"/>
      <c r="AI439" s="13"/>
      <c r="AJ439" s="13"/>
      <c r="AK439" s="20" t="str">
        <f aca="false">IF(AH439="","",IF(ABS(AH439+AI439+AJ439-1)&lt;0.000001,"OK","ОШИБКА"))</f>
        <v/>
      </c>
      <c r="AL439" s="13"/>
      <c r="AM439" s="12"/>
      <c r="AN439" s="12"/>
      <c r="AO439" s="12"/>
      <c r="AP439" s="12"/>
      <c r="AQ439" s="18" t="str">
        <f aca="false">IF(A439="","",N(AQ438)+N(AA439))</f>
        <v/>
      </c>
      <c r="AR439" s="18" t="str">
        <f aca="false">IF(AQ439="","",MAX(0,MAX($AQ$8:AQ439))-AQ439)</f>
        <v/>
      </c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3"/>
      <c r="M440" s="13"/>
      <c r="N440" s="13"/>
      <c r="O440" s="14" t="str">
        <f aca="false">IF(OR(L440="",L440=0),"",(1-M440)/L440)</f>
        <v/>
      </c>
      <c r="P440" s="15"/>
      <c r="Q440" s="12"/>
      <c r="R440" s="12"/>
      <c r="S440" s="13"/>
      <c r="T440" s="16" t="str">
        <f aca="false">IF(OR(S440="",L440=""),"",L440/(1-M440)-S440)</f>
        <v/>
      </c>
      <c r="U440" s="16" t="str">
        <f aca="false">IF(OR(L440="",P440=""),"",L440*(P440-1)-N440)</f>
        <v/>
      </c>
      <c r="V440" s="13"/>
      <c r="W440" s="17"/>
      <c r="X440" s="12"/>
      <c r="Y440" s="12"/>
      <c r="Z440" s="12"/>
      <c r="AA440" s="18" t="str">
        <f aca="false">IF(K440&lt;&gt;"ВИРТУАЛЬНЫЙ ВЫБОР","",IF(Z440="✅ ЗАШЛО",W440*(P440-1),IF(Z440="❌ НЕ ЗАШЛО",-W440,IF(Z440="½ ЗАШЛО",W440*(P440-1)/2,IF(Z440="½ НЕ ЗАШЛО",-W440/2,IF(Z440="ВОЗВРАТ",0,""))))))</f>
        <v/>
      </c>
      <c r="AB440" s="18" t="str">
        <f aca="false">IF(AND(K440="ВИРТУАЛЬНЫЙ ВЫБОР",OR(Z440="✅ ЗАШЛО",Z440="❌ НЕ ЗАШЛО",Z440="½ ЗАШЛО",Z440="½ НЕ ЗАШЛО",Z440="ВОЗВРАТ")),W440,"")</f>
        <v/>
      </c>
      <c r="AC440" s="15"/>
      <c r="AD440" s="16" t="str">
        <f aca="false">IF(OR(AC440="",P440=""),"",P440/AC440-1)</f>
        <v/>
      </c>
      <c r="AE440" s="19" t="str">
        <f aca="false">IF(AND(M440=0,OR(Z440="✅ ЗАШЛО",Z440="❌ НЕ ЗАШЛО"),L440&lt;&gt;""),(L440-IF(Z440="✅ ЗАШЛО",1,0))^2,"")</f>
        <v/>
      </c>
      <c r="AF440" s="15"/>
      <c r="AG440" s="15"/>
      <c r="AH440" s="13"/>
      <c r="AI440" s="13"/>
      <c r="AJ440" s="13"/>
      <c r="AK440" s="20" t="str">
        <f aca="false">IF(AH440="","",IF(ABS(AH440+AI440+AJ440-1)&lt;0.000001,"OK","ОШИБКА"))</f>
        <v/>
      </c>
      <c r="AL440" s="13"/>
      <c r="AM440" s="12"/>
      <c r="AN440" s="12"/>
      <c r="AO440" s="12"/>
      <c r="AP440" s="12"/>
      <c r="AQ440" s="18" t="str">
        <f aca="false">IF(A440="","",N(AQ439)+N(AA440))</f>
        <v/>
      </c>
      <c r="AR440" s="18" t="str">
        <f aca="false">IF(AQ440="","",MAX(0,MAX($AQ$8:AQ440))-AQ440)</f>
        <v/>
      </c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3"/>
      <c r="M441" s="13"/>
      <c r="N441" s="13"/>
      <c r="O441" s="14" t="str">
        <f aca="false">IF(OR(L441="",L441=0),"",(1-M441)/L441)</f>
        <v/>
      </c>
      <c r="P441" s="15"/>
      <c r="Q441" s="12"/>
      <c r="R441" s="12"/>
      <c r="S441" s="13"/>
      <c r="T441" s="16" t="str">
        <f aca="false">IF(OR(S441="",L441=""),"",L441/(1-M441)-S441)</f>
        <v/>
      </c>
      <c r="U441" s="16" t="str">
        <f aca="false">IF(OR(L441="",P441=""),"",L441*(P441-1)-N441)</f>
        <v/>
      </c>
      <c r="V441" s="13"/>
      <c r="W441" s="17"/>
      <c r="X441" s="12"/>
      <c r="Y441" s="12"/>
      <c r="Z441" s="12"/>
      <c r="AA441" s="18" t="str">
        <f aca="false">IF(K441&lt;&gt;"ВИРТУАЛЬНЫЙ ВЫБОР","",IF(Z441="✅ ЗАШЛО",W441*(P441-1),IF(Z441="❌ НЕ ЗАШЛО",-W441,IF(Z441="½ ЗАШЛО",W441*(P441-1)/2,IF(Z441="½ НЕ ЗАШЛО",-W441/2,IF(Z441="ВОЗВРАТ",0,""))))))</f>
        <v/>
      </c>
      <c r="AB441" s="18" t="str">
        <f aca="false">IF(AND(K441="ВИРТУАЛЬНЫЙ ВЫБОР",OR(Z441="✅ ЗАШЛО",Z441="❌ НЕ ЗАШЛО",Z441="½ ЗАШЛО",Z441="½ НЕ ЗАШЛО",Z441="ВОЗВРАТ")),W441,"")</f>
        <v/>
      </c>
      <c r="AC441" s="15"/>
      <c r="AD441" s="16" t="str">
        <f aca="false">IF(OR(AC441="",P441=""),"",P441/AC441-1)</f>
        <v/>
      </c>
      <c r="AE441" s="19" t="str">
        <f aca="false">IF(AND(M441=0,OR(Z441="✅ ЗАШЛО",Z441="❌ НЕ ЗАШЛО"),L441&lt;&gt;""),(L441-IF(Z441="✅ ЗАШЛО",1,0))^2,"")</f>
        <v/>
      </c>
      <c r="AF441" s="15"/>
      <c r="AG441" s="15"/>
      <c r="AH441" s="13"/>
      <c r="AI441" s="13"/>
      <c r="AJ441" s="13"/>
      <c r="AK441" s="20" t="str">
        <f aca="false">IF(AH441="","",IF(ABS(AH441+AI441+AJ441-1)&lt;0.000001,"OK","ОШИБКА"))</f>
        <v/>
      </c>
      <c r="AL441" s="13"/>
      <c r="AM441" s="12"/>
      <c r="AN441" s="12"/>
      <c r="AO441" s="12"/>
      <c r="AP441" s="12"/>
      <c r="AQ441" s="18" t="str">
        <f aca="false">IF(A441="","",N(AQ440)+N(AA441))</f>
        <v/>
      </c>
      <c r="AR441" s="18" t="str">
        <f aca="false">IF(AQ441="","",MAX(0,MAX($AQ$8:AQ441))-AQ441)</f>
        <v/>
      </c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3"/>
      <c r="M442" s="13"/>
      <c r="N442" s="13"/>
      <c r="O442" s="14" t="str">
        <f aca="false">IF(OR(L442="",L442=0),"",(1-M442)/L442)</f>
        <v/>
      </c>
      <c r="P442" s="15"/>
      <c r="Q442" s="12"/>
      <c r="R442" s="12"/>
      <c r="S442" s="13"/>
      <c r="T442" s="16" t="str">
        <f aca="false">IF(OR(S442="",L442=""),"",L442/(1-M442)-S442)</f>
        <v/>
      </c>
      <c r="U442" s="16" t="str">
        <f aca="false">IF(OR(L442="",P442=""),"",L442*(P442-1)-N442)</f>
        <v/>
      </c>
      <c r="V442" s="13"/>
      <c r="W442" s="17"/>
      <c r="X442" s="12"/>
      <c r="Y442" s="12"/>
      <c r="Z442" s="12"/>
      <c r="AA442" s="18" t="str">
        <f aca="false">IF(K442&lt;&gt;"ВИРТУАЛЬНЫЙ ВЫБОР","",IF(Z442="✅ ЗАШЛО",W442*(P442-1),IF(Z442="❌ НЕ ЗАШЛО",-W442,IF(Z442="½ ЗАШЛО",W442*(P442-1)/2,IF(Z442="½ НЕ ЗАШЛО",-W442/2,IF(Z442="ВОЗВРАТ",0,""))))))</f>
        <v/>
      </c>
      <c r="AB442" s="18" t="str">
        <f aca="false">IF(AND(K442="ВИРТУАЛЬНЫЙ ВЫБОР",OR(Z442="✅ ЗАШЛО",Z442="❌ НЕ ЗАШЛО",Z442="½ ЗАШЛО",Z442="½ НЕ ЗАШЛО",Z442="ВОЗВРАТ")),W442,"")</f>
        <v/>
      </c>
      <c r="AC442" s="15"/>
      <c r="AD442" s="16" t="str">
        <f aca="false">IF(OR(AC442="",P442=""),"",P442/AC442-1)</f>
        <v/>
      </c>
      <c r="AE442" s="19" t="str">
        <f aca="false">IF(AND(M442=0,OR(Z442="✅ ЗАШЛО",Z442="❌ НЕ ЗАШЛО"),L442&lt;&gt;""),(L442-IF(Z442="✅ ЗАШЛО",1,0))^2,"")</f>
        <v/>
      </c>
      <c r="AF442" s="15"/>
      <c r="AG442" s="15"/>
      <c r="AH442" s="13"/>
      <c r="AI442" s="13"/>
      <c r="AJ442" s="13"/>
      <c r="AK442" s="20" t="str">
        <f aca="false">IF(AH442="","",IF(ABS(AH442+AI442+AJ442-1)&lt;0.000001,"OK","ОШИБКА"))</f>
        <v/>
      </c>
      <c r="AL442" s="13"/>
      <c r="AM442" s="12"/>
      <c r="AN442" s="12"/>
      <c r="AO442" s="12"/>
      <c r="AP442" s="12"/>
      <c r="AQ442" s="18" t="str">
        <f aca="false">IF(A442="","",N(AQ441)+N(AA442))</f>
        <v/>
      </c>
      <c r="AR442" s="18" t="str">
        <f aca="false">IF(AQ442="","",MAX(0,MAX($AQ$8:AQ442))-AQ442)</f>
        <v/>
      </c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3"/>
      <c r="M443" s="13"/>
      <c r="N443" s="13"/>
      <c r="O443" s="14" t="str">
        <f aca="false">IF(OR(L443="",L443=0),"",(1-M443)/L443)</f>
        <v/>
      </c>
      <c r="P443" s="15"/>
      <c r="Q443" s="12"/>
      <c r="R443" s="12"/>
      <c r="S443" s="13"/>
      <c r="T443" s="16" t="str">
        <f aca="false">IF(OR(S443="",L443=""),"",L443/(1-M443)-S443)</f>
        <v/>
      </c>
      <c r="U443" s="16" t="str">
        <f aca="false">IF(OR(L443="",P443=""),"",L443*(P443-1)-N443)</f>
        <v/>
      </c>
      <c r="V443" s="13"/>
      <c r="W443" s="17"/>
      <c r="X443" s="12"/>
      <c r="Y443" s="12"/>
      <c r="Z443" s="12"/>
      <c r="AA443" s="18" t="str">
        <f aca="false">IF(K443&lt;&gt;"ВИРТУАЛЬНЫЙ ВЫБОР","",IF(Z443="✅ ЗАШЛО",W443*(P443-1),IF(Z443="❌ НЕ ЗАШЛО",-W443,IF(Z443="½ ЗАШЛО",W443*(P443-1)/2,IF(Z443="½ НЕ ЗАШЛО",-W443/2,IF(Z443="ВОЗВРАТ",0,""))))))</f>
        <v/>
      </c>
      <c r="AB443" s="18" t="str">
        <f aca="false">IF(AND(K443="ВИРТУАЛЬНЫЙ ВЫБОР",OR(Z443="✅ ЗАШЛО",Z443="❌ НЕ ЗАШЛО",Z443="½ ЗАШЛО",Z443="½ НЕ ЗАШЛО",Z443="ВОЗВРАТ")),W443,"")</f>
        <v/>
      </c>
      <c r="AC443" s="15"/>
      <c r="AD443" s="16" t="str">
        <f aca="false">IF(OR(AC443="",P443=""),"",P443/AC443-1)</f>
        <v/>
      </c>
      <c r="AE443" s="19" t="str">
        <f aca="false">IF(AND(M443=0,OR(Z443="✅ ЗАШЛО",Z443="❌ НЕ ЗАШЛО"),L443&lt;&gt;""),(L443-IF(Z443="✅ ЗАШЛО",1,0))^2,"")</f>
        <v/>
      </c>
      <c r="AF443" s="15"/>
      <c r="AG443" s="15"/>
      <c r="AH443" s="13"/>
      <c r="AI443" s="13"/>
      <c r="AJ443" s="13"/>
      <c r="AK443" s="20" t="str">
        <f aca="false">IF(AH443="","",IF(ABS(AH443+AI443+AJ443-1)&lt;0.000001,"OK","ОШИБКА"))</f>
        <v/>
      </c>
      <c r="AL443" s="13"/>
      <c r="AM443" s="12"/>
      <c r="AN443" s="12"/>
      <c r="AO443" s="12"/>
      <c r="AP443" s="12"/>
      <c r="AQ443" s="18" t="str">
        <f aca="false">IF(A443="","",N(AQ442)+N(AA443))</f>
        <v/>
      </c>
      <c r="AR443" s="18" t="str">
        <f aca="false">IF(AQ443="","",MAX(0,MAX($AQ$8:AQ443))-AQ443)</f>
        <v/>
      </c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3"/>
      <c r="M444" s="13"/>
      <c r="N444" s="13"/>
      <c r="O444" s="14" t="str">
        <f aca="false">IF(OR(L444="",L444=0),"",(1-M444)/L444)</f>
        <v/>
      </c>
      <c r="P444" s="15"/>
      <c r="Q444" s="12"/>
      <c r="R444" s="12"/>
      <c r="S444" s="13"/>
      <c r="T444" s="16" t="str">
        <f aca="false">IF(OR(S444="",L444=""),"",L444/(1-M444)-S444)</f>
        <v/>
      </c>
      <c r="U444" s="16" t="str">
        <f aca="false">IF(OR(L444="",P444=""),"",L444*(P444-1)-N444)</f>
        <v/>
      </c>
      <c r="V444" s="13"/>
      <c r="W444" s="17"/>
      <c r="X444" s="12"/>
      <c r="Y444" s="12"/>
      <c r="Z444" s="12"/>
      <c r="AA444" s="18" t="str">
        <f aca="false">IF(K444&lt;&gt;"ВИРТУАЛЬНЫЙ ВЫБОР","",IF(Z444="✅ ЗАШЛО",W444*(P444-1),IF(Z444="❌ НЕ ЗАШЛО",-W444,IF(Z444="½ ЗАШЛО",W444*(P444-1)/2,IF(Z444="½ НЕ ЗАШЛО",-W444/2,IF(Z444="ВОЗВРАТ",0,""))))))</f>
        <v/>
      </c>
      <c r="AB444" s="18" t="str">
        <f aca="false">IF(AND(K444="ВИРТУАЛЬНЫЙ ВЫБОР",OR(Z444="✅ ЗАШЛО",Z444="❌ НЕ ЗАШЛО",Z444="½ ЗАШЛО",Z444="½ НЕ ЗАШЛО",Z444="ВОЗВРАТ")),W444,"")</f>
        <v/>
      </c>
      <c r="AC444" s="15"/>
      <c r="AD444" s="16" t="str">
        <f aca="false">IF(OR(AC444="",P444=""),"",P444/AC444-1)</f>
        <v/>
      </c>
      <c r="AE444" s="19" t="str">
        <f aca="false">IF(AND(M444=0,OR(Z444="✅ ЗАШЛО",Z444="❌ НЕ ЗАШЛО"),L444&lt;&gt;""),(L444-IF(Z444="✅ ЗАШЛО",1,0))^2,"")</f>
        <v/>
      </c>
      <c r="AF444" s="15"/>
      <c r="AG444" s="15"/>
      <c r="AH444" s="13"/>
      <c r="AI444" s="13"/>
      <c r="AJ444" s="13"/>
      <c r="AK444" s="20" t="str">
        <f aca="false">IF(AH444="","",IF(ABS(AH444+AI444+AJ444-1)&lt;0.000001,"OK","ОШИБКА"))</f>
        <v/>
      </c>
      <c r="AL444" s="13"/>
      <c r="AM444" s="12"/>
      <c r="AN444" s="12"/>
      <c r="AO444" s="12"/>
      <c r="AP444" s="12"/>
      <c r="AQ444" s="18" t="str">
        <f aca="false">IF(A444="","",N(AQ443)+N(AA444))</f>
        <v/>
      </c>
      <c r="AR444" s="18" t="str">
        <f aca="false">IF(AQ444="","",MAX(0,MAX($AQ$8:AQ444))-AQ444)</f>
        <v/>
      </c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3"/>
      <c r="M445" s="13"/>
      <c r="N445" s="13"/>
      <c r="O445" s="14" t="str">
        <f aca="false">IF(OR(L445="",L445=0),"",(1-M445)/L445)</f>
        <v/>
      </c>
      <c r="P445" s="15"/>
      <c r="Q445" s="12"/>
      <c r="R445" s="12"/>
      <c r="S445" s="13"/>
      <c r="T445" s="16" t="str">
        <f aca="false">IF(OR(S445="",L445=""),"",L445/(1-M445)-S445)</f>
        <v/>
      </c>
      <c r="U445" s="16" t="str">
        <f aca="false">IF(OR(L445="",P445=""),"",L445*(P445-1)-N445)</f>
        <v/>
      </c>
      <c r="V445" s="13"/>
      <c r="W445" s="17"/>
      <c r="X445" s="12"/>
      <c r="Y445" s="12"/>
      <c r="Z445" s="12"/>
      <c r="AA445" s="18" t="str">
        <f aca="false">IF(K445&lt;&gt;"ВИРТУАЛЬНЫЙ ВЫБОР","",IF(Z445="✅ ЗАШЛО",W445*(P445-1),IF(Z445="❌ НЕ ЗАШЛО",-W445,IF(Z445="½ ЗАШЛО",W445*(P445-1)/2,IF(Z445="½ НЕ ЗАШЛО",-W445/2,IF(Z445="ВОЗВРАТ",0,""))))))</f>
        <v/>
      </c>
      <c r="AB445" s="18" t="str">
        <f aca="false">IF(AND(K445="ВИРТУАЛЬНЫЙ ВЫБОР",OR(Z445="✅ ЗАШЛО",Z445="❌ НЕ ЗАШЛО",Z445="½ ЗАШЛО",Z445="½ НЕ ЗАШЛО",Z445="ВОЗВРАТ")),W445,"")</f>
        <v/>
      </c>
      <c r="AC445" s="15"/>
      <c r="AD445" s="16" t="str">
        <f aca="false">IF(OR(AC445="",P445=""),"",P445/AC445-1)</f>
        <v/>
      </c>
      <c r="AE445" s="19" t="str">
        <f aca="false">IF(AND(M445=0,OR(Z445="✅ ЗАШЛО",Z445="❌ НЕ ЗАШЛО"),L445&lt;&gt;""),(L445-IF(Z445="✅ ЗАШЛО",1,0))^2,"")</f>
        <v/>
      </c>
      <c r="AF445" s="15"/>
      <c r="AG445" s="15"/>
      <c r="AH445" s="13"/>
      <c r="AI445" s="13"/>
      <c r="AJ445" s="13"/>
      <c r="AK445" s="20" t="str">
        <f aca="false">IF(AH445="","",IF(ABS(AH445+AI445+AJ445-1)&lt;0.000001,"OK","ОШИБКА"))</f>
        <v/>
      </c>
      <c r="AL445" s="13"/>
      <c r="AM445" s="12"/>
      <c r="AN445" s="12"/>
      <c r="AO445" s="12"/>
      <c r="AP445" s="12"/>
      <c r="AQ445" s="18" t="str">
        <f aca="false">IF(A445="","",N(AQ444)+N(AA445))</f>
        <v/>
      </c>
      <c r="AR445" s="18" t="str">
        <f aca="false">IF(AQ445="","",MAX(0,MAX($AQ$8:AQ445))-AQ445)</f>
        <v/>
      </c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3"/>
      <c r="M446" s="13"/>
      <c r="N446" s="13"/>
      <c r="O446" s="14" t="str">
        <f aca="false">IF(OR(L446="",L446=0),"",(1-M446)/L446)</f>
        <v/>
      </c>
      <c r="P446" s="15"/>
      <c r="Q446" s="12"/>
      <c r="R446" s="12"/>
      <c r="S446" s="13"/>
      <c r="T446" s="16" t="str">
        <f aca="false">IF(OR(S446="",L446=""),"",L446/(1-M446)-S446)</f>
        <v/>
      </c>
      <c r="U446" s="16" t="str">
        <f aca="false">IF(OR(L446="",P446=""),"",L446*(P446-1)-N446)</f>
        <v/>
      </c>
      <c r="V446" s="13"/>
      <c r="W446" s="17"/>
      <c r="X446" s="12"/>
      <c r="Y446" s="12"/>
      <c r="Z446" s="12"/>
      <c r="AA446" s="18" t="str">
        <f aca="false">IF(K446&lt;&gt;"ВИРТУАЛЬНЫЙ ВЫБОР","",IF(Z446="✅ ЗАШЛО",W446*(P446-1),IF(Z446="❌ НЕ ЗАШЛО",-W446,IF(Z446="½ ЗАШЛО",W446*(P446-1)/2,IF(Z446="½ НЕ ЗАШЛО",-W446/2,IF(Z446="ВОЗВРАТ",0,""))))))</f>
        <v/>
      </c>
      <c r="AB446" s="18" t="str">
        <f aca="false">IF(AND(K446="ВИРТУАЛЬНЫЙ ВЫБОР",OR(Z446="✅ ЗАШЛО",Z446="❌ НЕ ЗАШЛО",Z446="½ ЗАШЛО",Z446="½ НЕ ЗАШЛО",Z446="ВОЗВРАТ")),W446,"")</f>
        <v/>
      </c>
      <c r="AC446" s="15"/>
      <c r="AD446" s="16" t="str">
        <f aca="false">IF(OR(AC446="",P446=""),"",P446/AC446-1)</f>
        <v/>
      </c>
      <c r="AE446" s="19" t="str">
        <f aca="false">IF(AND(M446=0,OR(Z446="✅ ЗАШЛО",Z446="❌ НЕ ЗАШЛО"),L446&lt;&gt;""),(L446-IF(Z446="✅ ЗАШЛО",1,0))^2,"")</f>
        <v/>
      </c>
      <c r="AF446" s="15"/>
      <c r="AG446" s="15"/>
      <c r="AH446" s="13"/>
      <c r="AI446" s="13"/>
      <c r="AJ446" s="13"/>
      <c r="AK446" s="20" t="str">
        <f aca="false">IF(AH446="","",IF(ABS(AH446+AI446+AJ446-1)&lt;0.000001,"OK","ОШИБКА"))</f>
        <v/>
      </c>
      <c r="AL446" s="13"/>
      <c r="AM446" s="12"/>
      <c r="AN446" s="12"/>
      <c r="AO446" s="12"/>
      <c r="AP446" s="12"/>
      <c r="AQ446" s="18" t="str">
        <f aca="false">IF(A446="","",N(AQ445)+N(AA446))</f>
        <v/>
      </c>
      <c r="AR446" s="18" t="str">
        <f aca="false">IF(AQ446="","",MAX(0,MAX($AQ$8:AQ446))-AQ446)</f>
        <v/>
      </c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3"/>
      <c r="M447" s="13"/>
      <c r="N447" s="13"/>
      <c r="O447" s="14" t="str">
        <f aca="false">IF(OR(L447="",L447=0),"",(1-M447)/L447)</f>
        <v/>
      </c>
      <c r="P447" s="15"/>
      <c r="Q447" s="12"/>
      <c r="R447" s="12"/>
      <c r="S447" s="13"/>
      <c r="T447" s="16" t="str">
        <f aca="false">IF(OR(S447="",L447=""),"",L447/(1-M447)-S447)</f>
        <v/>
      </c>
      <c r="U447" s="16" t="str">
        <f aca="false">IF(OR(L447="",P447=""),"",L447*(P447-1)-N447)</f>
        <v/>
      </c>
      <c r="V447" s="13"/>
      <c r="W447" s="17"/>
      <c r="X447" s="12"/>
      <c r="Y447" s="12"/>
      <c r="Z447" s="12"/>
      <c r="AA447" s="18" t="str">
        <f aca="false">IF(K447&lt;&gt;"ВИРТУАЛЬНЫЙ ВЫБОР","",IF(Z447="✅ ЗАШЛО",W447*(P447-1),IF(Z447="❌ НЕ ЗАШЛО",-W447,IF(Z447="½ ЗАШЛО",W447*(P447-1)/2,IF(Z447="½ НЕ ЗАШЛО",-W447/2,IF(Z447="ВОЗВРАТ",0,""))))))</f>
        <v/>
      </c>
      <c r="AB447" s="18" t="str">
        <f aca="false">IF(AND(K447="ВИРТУАЛЬНЫЙ ВЫБОР",OR(Z447="✅ ЗАШЛО",Z447="❌ НЕ ЗАШЛО",Z447="½ ЗАШЛО",Z447="½ НЕ ЗАШЛО",Z447="ВОЗВРАТ")),W447,"")</f>
        <v/>
      </c>
      <c r="AC447" s="15"/>
      <c r="AD447" s="16" t="str">
        <f aca="false">IF(OR(AC447="",P447=""),"",P447/AC447-1)</f>
        <v/>
      </c>
      <c r="AE447" s="19" t="str">
        <f aca="false">IF(AND(M447=0,OR(Z447="✅ ЗАШЛО",Z447="❌ НЕ ЗАШЛО"),L447&lt;&gt;""),(L447-IF(Z447="✅ ЗАШЛО",1,0))^2,"")</f>
        <v/>
      </c>
      <c r="AF447" s="15"/>
      <c r="AG447" s="15"/>
      <c r="AH447" s="13"/>
      <c r="AI447" s="13"/>
      <c r="AJ447" s="13"/>
      <c r="AK447" s="20" t="str">
        <f aca="false">IF(AH447="","",IF(ABS(AH447+AI447+AJ447-1)&lt;0.000001,"OK","ОШИБКА"))</f>
        <v/>
      </c>
      <c r="AL447" s="13"/>
      <c r="AM447" s="12"/>
      <c r="AN447" s="12"/>
      <c r="AO447" s="12"/>
      <c r="AP447" s="12"/>
      <c r="AQ447" s="18" t="str">
        <f aca="false">IF(A447="","",N(AQ446)+N(AA447))</f>
        <v/>
      </c>
      <c r="AR447" s="18" t="str">
        <f aca="false">IF(AQ447="","",MAX(0,MAX($AQ$8:AQ447))-AQ447)</f>
        <v/>
      </c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3"/>
      <c r="M448" s="13"/>
      <c r="N448" s="13"/>
      <c r="O448" s="14" t="str">
        <f aca="false">IF(OR(L448="",L448=0),"",(1-M448)/L448)</f>
        <v/>
      </c>
      <c r="P448" s="15"/>
      <c r="Q448" s="12"/>
      <c r="R448" s="12"/>
      <c r="S448" s="13"/>
      <c r="T448" s="16" t="str">
        <f aca="false">IF(OR(S448="",L448=""),"",L448/(1-M448)-S448)</f>
        <v/>
      </c>
      <c r="U448" s="16" t="str">
        <f aca="false">IF(OR(L448="",P448=""),"",L448*(P448-1)-N448)</f>
        <v/>
      </c>
      <c r="V448" s="13"/>
      <c r="W448" s="17"/>
      <c r="X448" s="12"/>
      <c r="Y448" s="12"/>
      <c r="Z448" s="12"/>
      <c r="AA448" s="18" t="str">
        <f aca="false">IF(K448&lt;&gt;"ВИРТУАЛЬНЫЙ ВЫБОР","",IF(Z448="✅ ЗАШЛО",W448*(P448-1),IF(Z448="❌ НЕ ЗАШЛО",-W448,IF(Z448="½ ЗАШЛО",W448*(P448-1)/2,IF(Z448="½ НЕ ЗАШЛО",-W448/2,IF(Z448="ВОЗВРАТ",0,""))))))</f>
        <v/>
      </c>
      <c r="AB448" s="18" t="str">
        <f aca="false">IF(AND(K448="ВИРТУАЛЬНЫЙ ВЫБОР",OR(Z448="✅ ЗАШЛО",Z448="❌ НЕ ЗАШЛО",Z448="½ ЗАШЛО",Z448="½ НЕ ЗАШЛО",Z448="ВОЗВРАТ")),W448,"")</f>
        <v/>
      </c>
      <c r="AC448" s="15"/>
      <c r="AD448" s="16" t="str">
        <f aca="false">IF(OR(AC448="",P448=""),"",P448/AC448-1)</f>
        <v/>
      </c>
      <c r="AE448" s="19" t="str">
        <f aca="false">IF(AND(M448=0,OR(Z448="✅ ЗАШЛО",Z448="❌ НЕ ЗАШЛО"),L448&lt;&gt;""),(L448-IF(Z448="✅ ЗАШЛО",1,0))^2,"")</f>
        <v/>
      </c>
      <c r="AF448" s="15"/>
      <c r="AG448" s="15"/>
      <c r="AH448" s="13"/>
      <c r="AI448" s="13"/>
      <c r="AJ448" s="13"/>
      <c r="AK448" s="20" t="str">
        <f aca="false">IF(AH448="","",IF(ABS(AH448+AI448+AJ448-1)&lt;0.000001,"OK","ОШИБКА"))</f>
        <v/>
      </c>
      <c r="AL448" s="13"/>
      <c r="AM448" s="12"/>
      <c r="AN448" s="12"/>
      <c r="AO448" s="12"/>
      <c r="AP448" s="12"/>
      <c r="AQ448" s="18" t="str">
        <f aca="false">IF(A448="","",N(AQ447)+N(AA448))</f>
        <v/>
      </c>
      <c r="AR448" s="18" t="str">
        <f aca="false">IF(AQ448="","",MAX(0,MAX($AQ$8:AQ448))-AQ448)</f>
        <v/>
      </c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3"/>
      <c r="M449" s="13"/>
      <c r="N449" s="13"/>
      <c r="O449" s="14" t="str">
        <f aca="false">IF(OR(L449="",L449=0),"",(1-M449)/L449)</f>
        <v/>
      </c>
      <c r="P449" s="15"/>
      <c r="Q449" s="12"/>
      <c r="R449" s="12"/>
      <c r="S449" s="13"/>
      <c r="T449" s="16" t="str">
        <f aca="false">IF(OR(S449="",L449=""),"",L449/(1-M449)-S449)</f>
        <v/>
      </c>
      <c r="U449" s="16" t="str">
        <f aca="false">IF(OR(L449="",P449=""),"",L449*(P449-1)-N449)</f>
        <v/>
      </c>
      <c r="V449" s="13"/>
      <c r="W449" s="17"/>
      <c r="X449" s="12"/>
      <c r="Y449" s="12"/>
      <c r="Z449" s="12"/>
      <c r="AA449" s="18" t="str">
        <f aca="false">IF(K449&lt;&gt;"ВИРТУАЛЬНЫЙ ВЫБОР","",IF(Z449="✅ ЗАШЛО",W449*(P449-1),IF(Z449="❌ НЕ ЗАШЛО",-W449,IF(Z449="½ ЗАШЛО",W449*(P449-1)/2,IF(Z449="½ НЕ ЗАШЛО",-W449/2,IF(Z449="ВОЗВРАТ",0,""))))))</f>
        <v/>
      </c>
      <c r="AB449" s="18" t="str">
        <f aca="false">IF(AND(K449="ВИРТУАЛЬНЫЙ ВЫБОР",OR(Z449="✅ ЗАШЛО",Z449="❌ НЕ ЗАШЛО",Z449="½ ЗАШЛО",Z449="½ НЕ ЗАШЛО",Z449="ВОЗВРАТ")),W449,"")</f>
        <v/>
      </c>
      <c r="AC449" s="15"/>
      <c r="AD449" s="16" t="str">
        <f aca="false">IF(OR(AC449="",P449=""),"",P449/AC449-1)</f>
        <v/>
      </c>
      <c r="AE449" s="19" t="str">
        <f aca="false">IF(AND(M449=0,OR(Z449="✅ ЗАШЛО",Z449="❌ НЕ ЗАШЛО"),L449&lt;&gt;""),(L449-IF(Z449="✅ ЗАШЛО",1,0))^2,"")</f>
        <v/>
      </c>
      <c r="AF449" s="15"/>
      <c r="AG449" s="15"/>
      <c r="AH449" s="13"/>
      <c r="AI449" s="13"/>
      <c r="AJ449" s="13"/>
      <c r="AK449" s="20" t="str">
        <f aca="false">IF(AH449="","",IF(ABS(AH449+AI449+AJ449-1)&lt;0.000001,"OK","ОШИБКА"))</f>
        <v/>
      </c>
      <c r="AL449" s="13"/>
      <c r="AM449" s="12"/>
      <c r="AN449" s="12"/>
      <c r="AO449" s="12"/>
      <c r="AP449" s="12"/>
      <c r="AQ449" s="18" t="str">
        <f aca="false">IF(A449="","",N(AQ448)+N(AA449))</f>
        <v/>
      </c>
      <c r="AR449" s="18" t="str">
        <f aca="false">IF(AQ449="","",MAX(0,MAX($AQ$8:AQ449))-AQ449)</f>
        <v/>
      </c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3"/>
      <c r="M450" s="13"/>
      <c r="N450" s="13"/>
      <c r="O450" s="14" t="str">
        <f aca="false">IF(OR(L450="",L450=0),"",(1-M450)/L450)</f>
        <v/>
      </c>
      <c r="P450" s="15"/>
      <c r="Q450" s="12"/>
      <c r="R450" s="12"/>
      <c r="S450" s="13"/>
      <c r="T450" s="16" t="str">
        <f aca="false">IF(OR(S450="",L450=""),"",L450/(1-M450)-S450)</f>
        <v/>
      </c>
      <c r="U450" s="16" t="str">
        <f aca="false">IF(OR(L450="",P450=""),"",L450*(P450-1)-N450)</f>
        <v/>
      </c>
      <c r="V450" s="13"/>
      <c r="W450" s="17"/>
      <c r="X450" s="12"/>
      <c r="Y450" s="12"/>
      <c r="Z450" s="12"/>
      <c r="AA450" s="18" t="str">
        <f aca="false">IF(K450&lt;&gt;"ВИРТУАЛЬНЫЙ ВЫБОР","",IF(Z450="✅ ЗАШЛО",W450*(P450-1),IF(Z450="❌ НЕ ЗАШЛО",-W450,IF(Z450="½ ЗАШЛО",W450*(P450-1)/2,IF(Z450="½ НЕ ЗАШЛО",-W450/2,IF(Z450="ВОЗВРАТ",0,""))))))</f>
        <v/>
      </c>
      <c r="AB450" s="18" t="str">
        <f aca="false">IF(AND(K450="ВИРТУАЛЬНЫЙ ВЫБОР",OR(Z450="✅ ЗАШЛО",Z450="❌ НЕ ЗАШЛО",Z450="½ ЗАШЛО",Z450="½ НЕ ЗАШЛО",Z450="ВОЗВРАТ")),W450,"")</f>
        <v/>
      </c>
      <c r="AC450" s="15"/>
      <c r="AD450" s="16" t="str">
        <f aca="false">IF(OR(AC450="",P450=""),"",P450/AC450-1)</f>
        <v/>
      </c>
      <c r="AE450" s="19" t="str">
        <f aca="false">IF(AND(M450=0,OR(Z450="✅ ЗАШЛО",Z450="❌ НЕ ЗАШЛО"),L450&lt;&gt;""),(L450-IF(Z450="✅ ЗАШЛО",1,0))^2,"")</f>
        <v/>
      </c>
      <c r="AF450" s="15"/>
      <c r="AG450" s="15"/>
      <c r="AH450" s="13"/>
      <c r="AI450" s="13"/>
      <c r="AJ450" s="13"/>
      <c r="AK450" s="20" t="str">
        <f aca="false">IF(AH450="","",IF(ABS(AH450+AI450+AJ450-1)&lt;0.000001,"OK","ОШИБКА"))</f>
        <v/>
      </c>
      <c r="AL450" s="13"/>
      <c r="AM450" s="12"/>
      <c r="AN450" s="12"/>
      <c r="AO450" s="12"/>
      <c r="AP450" s="12"/>
      <c r="AQ450" s="18" t="str">
        <f aca="false">IF(A450="","",N(AQ449)+N(AA450))</f>
        <v/>
      </c>
      <c r="AR450" s="18" t="str">
        <f aca="false">IF(AQ450="","",MAX(0,MAX($AQ$8:AQ450))-AQ450)</f>
        <v/>
      </c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3"/>
      <c r="M451" s="13"/>
      <c r="N451" s="13"/>
      <c r="O451" s="14" t="str">
        <f aca="false">IF(OR(L451="",L451=0),"",(1-M451)/L451)</f>
        <v/>
      </c>
      <c r="P451" s="15"/>
      <c r="Q451" s="12"/>
      <c r="R451" s="12"/>
      <c r="S451" s="13"/>
      <c r="T451" s="16" t="str">
        <f aca="false">IF(OR(S451="",L451=""),"",L451/(1-M451)-S451)</f>
        <v/>
      </c>
      <c r="U451" s="16" t="str">
        <f aca="false">IF(OR(L451="",P451=""),"",L451*(P451-1)-N451)</f>
        <v/>
      </c>
      <c r="V451" s="13"/>
      <c r="W451" s="17"/>
      <c r="X451" s="12"/>
      <c r="Y451" s="12"/>
      <c r="Z451" s="12"/>
      <c r="AA451" s="18" t="str">
        <f aca="false">IF(K451&lt;&gt;"ВИРТУАЛЬНЫЙ ВЫБОР","",IF(Z451="✅ ЗАШЛО",W451*(P451-1),IF(Z451="❌ НЕ ЗАШЛО",-W451,IF(Z451="½ ЗАШЛО",W451*(P451-1)/2,IF(Z451="½ НЕ ЗАШЛО",-W451/2,IF(Z451="ВОЗВРАТ",0,""))))))</f>
        <v/>
      </c>
      <c r="AB451" s="18" t="str">
        <f aca="false">IF(AND(K451="ВИРТУАЛЬНЫЙ ВЫБОР",OR(Z451="✅ ЗАШЛО",Z451="❌ НЕ ЗАШЛО",Z451="½ ЗАШЛО",Z451="½ НЕ ЗАШЛО",Z451="ВОЗВРАТ")),W451,"")</f>
        <v/>
      </c>
      <c r="AC451" s="15"/>
      <c r="AD451" s="16" t="str">
        <f aca="false">IF(OR(AC451="",P451=""),"",P451/AC451-1)</f>
        <v/>
      </c>
      <c r="AE451" s="19" t="str">
        <f aca="false">IF(AND(M451=0,OR(Z451="✅ ЗАШЛО",Z451="❌ НЕ ЗАШЛО"),L451&lt;&gt;""),(L451-IF(Z451="✅ ЗАШЛО",1,0))^2,"")</f>
        <v/>
      </c>
      <c r="AF451" s="15"/>
      <c r="AG451" s="15"/>
      <c r="AH451" s="13"/>
      <c r="AI451" s="13"/>
      <c r="AJ451" s="13"/>
      <c r="AK451" s="20" t="str">
        <f aca="false">IF(AH451="","",IF(ABS(AH451+AI451+AJ451-1)&lt;0.000001,"OK","ОШИБКА"))</f>
        <v/>
      </c>
      <c r="AL451" s="13"/>
      <c r="AM451" s="12"/>
      <c r="AN451" s="12"/>
      <c r="AO451" s="12"/>
      <c r="AP451" s="12"/>
      <c r="AQ451" s="18" t="str">
        <f aca="false">IF(A451="","",N(AQ450)+N(AA451))</f>
        <v/>
      </c>
      <c r="AR451" s="18" t="str">
        <f aca="false">IF(AQ451="","",MAX(0,MAX($AQ$8:AQ451))-AQ451)</f>
        <v/>
      </c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3"/>
      <c r="M452" s="13"/>
      <c r="N452" s="13"/>
      <c r="O452" s="14" t="str">
        <f aca="false">IF(OR(L452="",L452=0),"",(1-M452)/L452)</f>
        <v/>
      </c>
      <c r="P452" s="15"/>
      <c r="Q452" s="12"/>
      <c r="R452" s="12"/>
      <c r="S452" s="13"/>
      <c r="T452" s="16" t="str">
        <f aca="false">IF(OR(S452="",L452=""),"",L452/(1-M452)-S452)</f>
        <v/>
      </c>
      <c r="U452" s="16" t="str">
        <f aca="false">IF(OR(L452="",P452=""),"",L452*(P452-1)-N452)</f>
        <v/>
      </c>
      <c r="V452" s="13"/>
      <c r="W452" s="17"/>
      <c r="X452" s="12"/>
      <c r="Y452" s="12"/>
      <c r="Z452" s="12"/>
      <c r="AA452" s="18" t="str">
        <f aca="false">IF(K452&lt;&gt;"ВИРТУАЛЬНЫЙ ВЫБОР","",IF(Z452="✅ ЗАШЛО",W452*(P452-1),IF(Z452="❌ НЕ ЗАШЛО",-W452,IF(Z452="½ ЗАШЛО",W452*(P452-1)/2,IF(Z452="½ НЕ ЗАШЛО",-W452/2,IF(Z452="ВОЗВРАТ",0,""))))))</f>
        <v/>
      </c>
      <c r="AB452" s="18" t="str">
        <f aca="false">IF(AND(K452="ВИРТУАЛЬНЫЙ ВЫБОР",OR(Z452="✅ ЗАШЛО",Z452="❌ НЕ ЗАШЛО",Z452="½ ЗАШЛО",Z452="½ НЕ ЗАШЛО",Z452="ВОЗВРАТ")),W452,"")</f>
        <v/>
      </c>
      <c r="AC452" s="15"/>
      <c r="AD452" s="16" t="str">
        <f aca="false">IF(OR(AC452="",P452=""),"",P452/AC452-1)</f>
        <v/>
      </c>
      <c r="AE452" s="19" t="str">
        <f aca="false">IF(AND(M452=0,OR(Z452="✅ ЗАШЛО",Z452="❌ НЕ ЗАШЛО"),L452&lt;&gt;""),(L452-IF(Z452="✅ ЗАШЛО",1,0))^2,"")</f>
        <v/>
      </c>
      <c r="AF452" s="15"/>
      <c r="AG452" s="15"/>
      <c r="AH452" s="13"/>
      <c r="AI452" s="13"/>
      <c r="AJ452" s="13"/>
      <c r="AK452" s="20" t="str">
        <f aca="false">IF(AH452="","",IF(ABS(AH452+AI452+AJ452-1)&lt;0.000001,"OK","ОШИБКА"))</f>
        <v/>
      </c>
      <c r="AL452" s="13"/>
      <c r="AM452" s="12"/>
      <c r="AN452" s="12"/>
      <c r="AO452" s="12"/>
      <c r="AP452" s="12"/>
      <c r="AQ452" s="18" t="str">
        <f aca="false">IF(A452="","",N(AQ451)+N(AA452))</f>
        <v/>
      </c>
      <c r="AR452" s="18" t="str">
        <f aca="false">IF(AQ452="","",MAX(0,MAX($AQ$8:AQ452))-AQ452)</f>
        <v/>
      </c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3"/>
      <c r="M453" s="13"/>
      <c r="N453" s="13"/>
      <c r="O453" s="14" t="str">
        <f aca="false">IF(OR(L453="",L453=0),"",(1-M453)/L453)</f>
        <v/>
      </c>
      <c r="P453" s="15"/>
      <c r="Q453" s="12"/>
      <c r="R453" s="12"/>
      <c r="S453" s="13"/>
      <c r="T453" s="16" t="str">
        <f aca="false">IF(OR(S453="",L453=""),"",L453/(1-M453)-S453)</f>
        <v/>
      </c>
      <c r="U453" s="16" t="str">
        <f aca="false">IF(OR(L453="",P453=""),"",L453*(P453-1)-N453)</f>
        <v/>
      </c>
      <c r="V453" s="13"/>
      <c r="W453" s="17"/>
      <c r="X453" s="12"/>
      <c r="Y453" s="12"/>
      <c r="Z453" s="12"/>
      <c r="AA453" s="18" t="str">
        <f aca="false">IF(K453&lt;&gt;"ВИРТУАЛЬНЫЙ ВЫБОР","",IF(Z453="✅ ЗАШЛО",W453*(P453-1),IF(Z453="❌ НЕ ЗАШЛО",-W453,IF(Z453="½ ЗАШЛО",W453*(P453-1)/2,IF(Z453="½ НЕ ЗАШЛО",-W453/2,IF(Z453="ВОЗВРАТ",0,""))))))</f>
        <v/>
      </c>
      <c r="AB453" s="18" t="str">
        <f aca="false">IF(AND(K453="ВИРТУАЛЬНЫЙ ВЫБОР",OR(Z453="✅ ЗАШЛО",Z453="❌ НЕ ЗАШЛО",Z453="½ ЗАШЛО",Z453="½ НЕ ЗАШЛО",Z453="ВОЗВРАТ")),W453,"")</f>
        <v/>
      </c>
      <c r="AC453" s="15"/>
      <c r="AD453" s="16" t="str">
        <f aca="false">IF(OR(AC453="",P453=""),"",P453/AC453-1)</f>
        <v/>
      </c>
      <c r="AE453" s="19" t="str">
        <f aca="false">IF(AND(M453=0,OR(Z453="✅ ЗАШЛО",Z453="❌ НЕ ЗАШЛО"),L453&lt;&gt;""),(L453-IF(Z453="✅ ЗАШЛО",1,0))^2,"")</f>
        <v/>
      </c>
      <c r="AF453" s="15"/>
      <c r="AG453" s="15"/>
      <c r="AH453" s="13"/>
      <c r="AI453" s="13"/>
      <c r="AJ453" s="13"/>
      <c r="AK453" s="20" t="str">
        <f aca="false">IF(AH453="","",IF(ABS(AH453+AI453+AJ453-1)&lt;0.000001,"OK","ОШИБКА"))</f>
        <v/>
      </c>
      <c r="AL453" s="13"/>
      <c r="AM453" s="12"/>
      <c r="AN453" s="12"/>
      <c r="AO453" s="12"/>
      <c r="AP453" s="12"/>
      <c r="AQ453" s="18" t="str">
        <f aca="false">IF(A453="","",N(AQ452)+N(AA453))</f>
        <v/>
      </c>
      <c r="AR453" s="18" t="str">
        <f aca="false">IF(AQ453="","",MAX(0,MAX($AQ$8:AQ453))-AQ453)</f>
        <v/>
      </c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3"/>
      <c r="M454" s="13"/>
      <c r="N454" s="13"/>
      <c r="O454" s="14" t="str">
        <f aca="false">IF(OR(L454="",L454=0),"",(1-M454)/L454)</f>
        <v/>
      </c>
      <c r="P454" s="15"/>
      <c r="Q454" s="12"/>
      <c r="R454" s="12"/>
      <c r="S454" s="13"/>
      <c r="T454" s="16" t="str">
        <f aca="false">IF(OR(S454="",L454=""),"",L454/(1-M454)-S454)</f>
        <v/>
      </c>
      <c r="U454" s="16" t="str">
        <f aca="false">IF(OR(L454="",P454=""),"",L454*(P454-1)-N454)</f>
        <v/>
      </c>
      <c r="V454" s="13"/>
      <c r="W454" s="17"/>
      <c r="X454" s="12"/>
      <c r="Y454" s="12"/>
      <c r="Z454" s="12"/>
      <c r="AA454" s="18" t="str">
        <f aca="false">IF(K454&lt;&gt;"ВИРТУАЛЬНЫЙ ВЫБОР","",IF(Z454="✅ ЗАШЛО",W454*(P454-1),IF(Z454="❌ НЕ ЗАШЛО",-W454,IF(Z454="½ ЗАШЛО",W454*(P454-1)/2,IF(Z454="½ НЕ ЗАШЛО",-W454/2,IF(Z454="ВОЗВРАТ",0,""))))))</f>
        <v/>
      </c>
      <c r="AB454" s="18" t="str">
        <f aca="false">IF(AND(K454="ВИРТУАЛЬНЫЙ ВЫБОР",OR(Z454="✅ ЗАШЛО",Z454="❌ НЕ ЗАШЛО",Z454="½ ЗАШЛО",Z454="½ НЕ ЗАШЛО",Z454="ВОЗВРАТ")),W454,"")</f>
        <v/>
      </c>
      <c r="AC454" s="15"/>
      <c r="AD454" s="16" t="str">
        <f aca="false">IF(OR(AC454="",P454=""),"",P454/AC454-1)</f>
        <v/>
      </c>
      <c r="AE454" s="19" t="str">
        <f aca="false">IF(AND(M454=0,OR(Z454="✅ ЗАШЛО",Z454="❌ НЕ ЗАШЛО"),L454&lt;&gt;""),(L454-IF(Z454="✅ ЗАШЛО",1,0))^2,"")</f>
        <v/>
      </c>
      <c r="AF454" s="15"/>
      <c r="AG454" s="15"/>
      <c r="AH454" s="13"/>
      <c r="AI454" s="13"/>
      <c r="AJ454" s="13"/>
      <c r="AK454" s="20" t="str">
        <f aca="false">IF(AH454="","",IF(ABS(AH454+AI454+AJ454-1)&lt;0.000001,"OK","ОШИБКА"))</f>
        <v/>
      </c>
      <c r="AL454" s="13"/>
      <c r="AM454" s="12"/>
      <c r="AN454" s="12"/>
      <c r="AO454" s="12"/>
      <c r="AP454" s="12"/>
      <c r="AQ454" s="18" t="str">
        <f aca="false">IF(A454="","",N(AQ453)+N(AA454))</f>
        <v/>
      </c>
      <c r="AR454" s="18" t="str">
        <f aca="false">IF(AQ454="","",MAX(0,MAX($AQ$8:AQ454))-AQ454)</f>
        <v/>
      </c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3"/>
      <c r="M455" s="13"/>
      <c r="N455" s="13"/>
      <c r="O455" s="14" t="str">
        <f aca="false">IF(OR(L455="",L455=0),"",(1-M455)/L455)</f>
        <v/>
      </c>
      <c r="P455" s="15"/>
      <c r="Q455" s="12"/>
      <c r="R455" s="12"/>
      <c r="S455" s="13"/>
      <c r="T455" s="16" t="str">
        <f aca="false">IF(OR(S455="",L455=""),"",L455/(1-M455)-S455)</f>
        <v/>
      </c>
      <c r="U455" s="16" t="str">
        <f aca="false">IF(OR(L455="",P455=""),"",L455*(P455-1)-N455)</f>
        <v/>
      </c>
      <c r="V455" s="13"/>
      <c r="W455" s="17"/>
      <c r="X455" s="12"/>
      <c r="Y455" s="12"/>
      <c r="Z455" s="12"/>
      <c r="AA455" s="18" t="str">
        <f aca="false">IF(K455&lt;&gt;"ВИРТУАЛЬНЫЙ ВЫБОР","",IF(Z455="✅ ЗАШЛО",W455*(P455-1),IF(Z455="❌ НЕ ЗАШЛО",-W455,IF(Z455="½ ЗАШЛО",W455*(P455-1)/2,IF(Z455="½ НЕ ЗАШЛО",-W455/2,IF(Z455="ВОЗВРАТ",0,""))))))</f>
        <v/>
      </c>
      <c r="AB455" s="18" t="str">
        <f aca="false">IF(AND(K455="ВИРТУАЛЬНЫЙ ВЫБОР",OR(Z455="✅ ЗАШЛО",Z455="❌ НЕ ЗАШЛО",Z455="½ ЗАШЛО",Z455="½ НЕ ЗАШЛО",Z455="ВОЗВРАТ")),W455,"")</f>
        <v/>
      </c>
      <c r="AC455" s="15"/>
      <c r="AD455" s="16" t="str">
        <f aca="false">IF(OR(AC455="",P455=""),"",P455/AC455-1)</f>
        <v/>
      </c>
      <c r="AE455" s="19" t="str">
        <f aca="false">IF(AND(M455=0,OR(Z455="✅ ЗАШЛО",Z455="❌ НЕ ЗАШЛО"),L455&lt;&gt;""),(L455-IF(Z455="✅ ЗАШЛО",1,0))^2,"")</f>
        <v/>
      </c>
      <c r="AF455" s="15"/>
      <c r="AG455" s="15"/>
      <c r="AH455" s="13"/>
      <c r="AI455" s="13"/>
      <c r="AJ455" s="13"/>
      <c r="AK455" s="20" t="str">
        <f aca="false">IF(AH455="","",IF(ABS(AH455+AI455+AJ455-1)&lt;0.000001,"OK","ОШИБКА"))</f>
        <v/>
      </c>
      <c r="AL455" s="13"/>
      <c r="AM455" s="12"/>
      <c r="AN455" s="12"/>
      <c r="AO455" s="12"/>
      <c r="AP455" s="12"/>
      <c r="AQ455" s="18" t="str">
        <f aca="false">IF(A455="","",N(AQ454)+N(AA455))</f>
        <v/>
      </c>
      <c r="AR455" s="18" t="str">
        <f aca="false">IF(AQ455="","",MAX(0,MAX($AQ$8:AQ455))-AQ455)</f>
        <v/>
      </c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3"/>
      <c r="M456" s="13"/>
      <c r="N456" s="13"/>
      <c r="O456" s="14" t="str">
        <f aca="false">IF(OR(L456="",L456=0),"",(1-M456)/L456)</f>
        <v/>
      </c>
      <c r="P456" s="15"/>
      <c r="Q456" s="12"/>
      <c r="R456" s="12"/>
      <c r="S456" s="13"/>
      <c r="T456" s="16" t="str">
        <f aca="false">IF(OR(S456="",L456=""),"",L456/(1-M456)-S456)</f>
        <v/>
      </c>
      <c r="U456" s="16" t="str">
        <f aca="false">IF(OR(L456="",P456=""),"",L456*(P456-1)-N456)</f>
        <v/>
      </c>
      <c r="V456" s="13"/>
      <c r="W456" s="17"/>
      <c r="X456" s="12"/>
      <c r="Y456" s="12"/>
      <c r="Z456" s="12"/>
      <c r="AA456" s="18" t="str">
        <f aca="false">IF(K456&lt;&gt;"ВИРТУАЛЬНЫЙ ВЫБОР","",IF(Z456="✅ ЗАШЛО",W456*(P456-1),IF(Z456="❌ НЕ ЗАШЛО",-W456,IF(Z456="½ ЗАШЛО",W456*(P456-1)/2,IF(Z456="½ НЕ ЗАШЛО",-W456/2,IF(Z456="ВОЗВРАТ",0,""))))))</f>
        <v/>
      </c>
      <c r="AB456" s="18" t="str">
        <f aca="false">IF(AND(K456="ВИРТУАЛЬНЫЙ ВЫБОР",OR(Z456="✅ ЗАШЛО",Z456="❌ НЕ ЗАШЛО",Z456="½ ЗАШЛО",Z456="½ НЕ ЗАШЛО",Z456="ВОЗВРАТ")),W456,"")</f>
        <v/>
      </c>
      <c r="AC456" s="15"/>
      <c r="AD456" s="16" t="str">
        <f aca="false">IF(OR(AC456="",P456=""),"",P456/AC456-1)</f>
        <v/>
      </c>
      <c r="AE456" s="19" t="str">
        <f aca="false">IF(AND(M456=0,OR(Z456="✅ ЗАШЛО",Z456="❌ НЕ ЗАШЛО"),L456&lt;&gt;""),(L456-IF(Z456="✅ ЗАШЛО",1,0))^2,"")</f>
        <v/>
      </c>
      <c r="AF456" s="15"/>
      <c r="AG456" s="15"/>
      <c r="AH456" s="13"/>
      <c r="AI456" s="13"/>
      <c r="AJ456" s="13"/>
      <c r="AK456" s="20" t="str">
        <f aca="false">IF(AH456="","",IF(ABS(AH456+AI456+AJ456-1)&lt;0.000001,"OK","ОШИБКА"))</f>
        <v/>
      </c>
      <c r="AL456" s="13"/>
      <c r="AM456" s="12"/>
      <c r="AN456" s="12"/>
      <c r="AO456" s="12"/>
      <c r="AP456" s="12"/>
      <c r="AQ456" s="18" t="str">
        <f aca="false">IF(A456="","",N(AQ455)+N(AA456))</f>
        <v/>
      </c>
      <c r="AR456" s="18" t="str">
        <f aca="false">IF(AQ456="","",MAX(0,MAX($AQ$8:AQ456))-AQ456)</f>
        <v/>
      </c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3"/>
      <c r="M457" s="13"/>
      <c r="N457" s="13"/>
      <c r="O457" s="14" t="str">
        <f aca="false">IF(OR(L457="",L457=0),"",(1-M457)/L457)</f>
        <v/>
      </c>
      <c r="P457" s="15"/>
      <c r="Q457" s="12"/>
      <c r="R457" s="12"/>
      <c r="S457" s="13"/>
      <c r="T457" s="16" t="str">
        <f aca="false">IF(OR(S457="",L457=""),"",L457/(1-M457)-S457)</f>
        <v/>
      </c>
      <c r="U457" s="16" t="str">
        <f aca="false">IF(OR(L457="",P457=""),"",L457*(P457-1)-N457)</f>
        <v/>
      </c>
      <c r="V457" s="13"/>
      <c r="W457" s="17"/>
      <c r="X457" s="12"/>
      <c r="Y457" s="12"/>
      <c r="Z457" s="12"/>
      <c r="AA457" s="18" t="str">
        <f aca="false">IF(K457&lt;&gt;"ВИРТУАЛЬНЫЙ ВЫБОР","",IF(Z457="✅ ЗАШЛО",W457*(P457-1),IF(Z457="❌ НЕ ЗАШЛО",-W457,IF(Z457="½ ЗАШЛО",W457*(P457-1)/2,IF(Z457="½ НЕ ЗАШЛО",-W457/2,IF(Z457="ВОЗВРАТ",0,""))))))</f>
        <v/>
      </c>
      <c r="AB457" s="18" t="str">
        <f aca="false">IF(AND(K457="ВИРТУАЛЬНЫЙ ВЫБОР",OR(Z457="✅ ЗАШЛО",Z457="❌ НЕ ЗАШЛО",Z457="½ ЗАШЛО",Z457="½ НЕ ЗАШЛО",Z457="ВОЗВРАТ")),W457,"")</f>
        <v/>
      </c>
      <c r="AC457" s="15"/>
      <c r="AD457" s="16" t="str">
        <f aca="false">IF(OR(AC457="",P457=""),"",P457/AC457-1)</f>
        <v/>
      </c>
      <c r="AE457" s="19" t="str">
        <f aca="false">IF(AND(M457=0,OR(Z457="✅ ЗАШЛО",Z457="❌ НЕ ЗАШЛО"),L457&lt;&gt;""),(L457-IF(Z457="✅ ЗАШЛО",1,0))^2,"")</f>
        <v/>
      </c>
      <c r="AF457" s="15"/>
      <c r="AG457" s="15"/>
      <c r="AH457" s="13"/>
      <c r="AI457" s="13"/>
      <c r="AJ457" s="13"/>
      <c r="AK457" s="20" t="str">
        <f aca="false">IF(AH457="","",IF(ABS(AH457+AI457+AJ457-1)&lt;0.000001,"OK","ОШИБКА"))</f>
        <v/>
      </c>
      <c r="AL457" s="13"/>
      <c r="AM457" s="12"/>
      <c r="AN457" s="12"/>
      <c r="AO457" s="12"/>
      <c r="AP457" s="12"/>
      <c r="AQ457" s="18" t="str">
        <f aca="false">IF(A457="","",N(AQ456)+N(AA457))</f>
        <v/>
      </c>
      <c r="AR457" s="18" t="str">
        <f aca="false">IF(AQ457="","",MAX(0,MAX($AQ$8:AQ457))-AQ457)</f>
        <v/>
      </c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3"/>
      <c r="M458" s="13"/>
      <c r="N458" s="13"/>
      <c r="O458" s="14" t="str">
        <f aca="false">IF(OR(L458="",L458=0),"",(1-M458)/L458)</f>
        <v/>
      </c>
      <c r="P458" s="15"/>
      <c r="Q458" s="12"/>
      <c r="R458" s="12"/>
      <c r="S458" s="13"/>
      <c r="T458" s="16" t="str">
        <f aca="false">IF(OR(S458="",L458=""),"",L458/(1-M458)-S458)</f>
        <v/>
      </c>
      <c r="U458" s="16" t="str">
        <f aca="false">IF(OR(L458="",P458=""),"",L458*(P458-1)-N458)</f>
        <v/>
      </c>
      <c r="V458" s="13"/>
      <c r="W458" s="17"/>
      <c r="X458" s="12"/>
      <c r="Y458" s="12"/>
      <c r="Z458" s="12"/>
      <c r="AA458" s="18" t="str">
        <f aca="false">IF(K458&lt;&gt;"ВИРТУАЛЬНЫЙ ВЫБОР","",IF(Z458="✅ ЗАШЛО",W458*(P458-1),IF(Z458="❌ НЕ ЗАШЛО",-W458,IF(Z458="½ ЗАШЛО",W458*(P458-1)/2,IF(Z458="½ НЕ ЗАШЛО",-W458/2,IF(Z458="ВОЗВРАТ",0,""))))))</f>
        <v/>
      </c>
      <c r="AB458" s="18" t="str">
        <f aca="false">IF(AND(K458="ВИРТУАЛЬНЫЙ ВЫБОР",OR(Z458="✅ ЗАШЛО",Z458="❌ НЕ ЗАШЛО",Z458="½ ЗАШЛО",Z458="½ НЕ ЗАШЛО",Z458="ВОЗВРАТ")),W458,"")</f>
        <v/>
      </c>
      <c r="AC458" s="15"/>
      <c r="AD458" s="16" t="str">
        <f aca="false">IF(OR(AC458="",P458=""),"",P458/AC458-1)</f>
        <v/>
      </c>
      <c r="AE458" s="19" t="str">
        <f aca="false">IF(AND(M458=0,OR(Z458="✅ ЗАШЛО",Z458="❌ НЕ ЗАШЛО"),L458&lt;&gt;""),(L458-IF(Z458="✅ ЗАШЛО",1,0))^2,"")</f>
        <v/>
      </c>
      <c r="AF458" s="15"/>
      <c r="AG458" s="15"/>
      <c r="AH458" s="13"/>
      <c r="AI458" s="13"/>
      <c r="AJ458" s="13"/>
      <c r="AK458" s="20" t="str">
        <f aca="false">IF(AH458="","",IF(ABS(AH458+AI458+AJ458-1)&lt;0.000001,"OK","ОШИБКА"))</f>
        <v/>
      </c>
      <c r="AL458" s="13"/>
      <c r="AM458" s="12"/>
      <c r="AN458" s="12"/>
      <c r="AO458" s="12"/>
      <c r="AP458" s="12"/>
      <c r="AQ458" s="18" t="str">
        <f aca="false">IF(A458="","",N(AQ457)+N(AA458))</f>
        <v/>
      </c>
      <c r="AR458" s="18" t="str">
        <f aca="false">IF(AQ458="","",MAX(0,MAX($AQ$8:AQ458))-AQ458)</f>
        <v/>
      </c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3"/>
      <c r="M459" s="13"/>
      <c r="N459" s="13"/>
      <c r="O459" s="14" t="str">
        <f aca="false">IF(OR(L459="",L459=0),"",(1-M459)/L459)</f>
        <v/>
      </c>
      <c r="P459" s="15"/>
      <c r="Q459" s="12"/>
      <c r="R459" s="12"/>
      <c r="S459" s="13"/>
      <c r="T459" s="16" t="str">
        <f aca="false">IF(OR(S459="",L459=""),"",L459/(1-M459)-S459)</f>
        <v/>
      </c>
      <c r="U459" s="16" t="str">
        <f aca="false">IF(OR(L459="",P459=""),"",L459*(P459-1)-N459)</f>
        <v/>
      </c>
      <c r="V459" s="13"/>
      <c r="W459" s="17"/>
      <c r="X459" s="12"/>
      <c r="Y459" s="12"/>
      <c r="Z459" s="12"/>
      <c r="AA459" s="18" t="str">
        <f aca="false">IF(K459&lt;&gt;"ВИРТУАЛЬНЫЙ ВЫБОР","",IF(Z459="✅ ЗАШЛО",W459*(P459-1),IF(Z459="❌ НЕ ЗАШЛО",-W459,IF(Z459="½ ЗАШЛО",W459*(P459-1)/2,IF(Z459="½ НЕ ЗАШЛО",-W459/2,IF(Z459="ВОЗВРАТ",0,""))))))</f>
        <v/>
      </c>
      <c r="AB459" s="18" t="str">
        <f aca="false">IF(AND(K459="ВИРТУАЛЬНЫЙ ВЫБОР",OR(Z459="✅ ЗАШЛО",Z459="❌ НЕ ЗАШЛО",Z459="½ ЗАШЛО",Z459="½ НЕ ЗАШЛО",Z459="ВОЗВРАТ")),W459,"")</f>
        <v/>
      </c>
      <c r="AC459" s="15"/>
      <c r="AD459" s="16" t="str">
        <f aca="false">IF(OR(AC459="",P459=""),"",P459/AC459-1)</f>
        <v/>
      </c>
      <c r="AE459" s="19" t="str">
        <f aca="false">IF(AND(M459=0,OR(Z459="✅ ЗАШЛО",Z459="❌ НЕ ЗАШЛО"),L459&lt;&gt;""),(L459-IF(Z459="✅ ЗАШЛО",1,0))^2,"")</f>
        <v/>
      </c>
      <c r="AF459" s="15"/>
      <c r="AG459" s="15"/>
      <c r="AH459" s="13"/>
      <c r="AI459" s="13"/>
      <c r="AJ459" s="13"/>
      <c r="AK459" s="20" t="str">
        <f aca="false">IF(AH459="","",IF(ABS(AH459+AI459+AJ459-1)&lt;0.000001,"OK","ОШИБКА"))</f>
        <v/>
      </c>
      <c r="AL459" s="13"/>
      <c r="AM459" s="12"/>
      <c r="AN459" s="12"/>
      <c r="AO459" s="12"/>
      <c r="AP459" s="12"/>
      <c r="AQ459" s="18" t="str">
        <f aca="false">IF(A459="","",N(AQ458)+N(AA459))</f>
        <v/>
      </c>
      <c r="AR459" s="18" t="str">
        <f aca="false">IF(AQ459="","",MAX(0,MAX($AQ$8:AQ459))-AQ459)</f>
        <v/>
      </c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3"/>
      <c r="M460" s="13"/>
      <c r="N460" s="13"/>
      <c r="O460" s="14" t="str">
        <f aca="false">IF(OR(L460="",L460=0),"",(1-M460)/L460)</f>
        <v/>
      </c>
      <c r="P460" s="15"/>
      <c r="Q460" s="12"/>
      <c r="R460" s="12"/>
      <c r="S460" s="13"/>
      <c r="T460" s="16" t="str">
        <f aca="false">IF(OR(S460="",L460=""),"",L460/(1-M460)-S460)</f>
        <v/>
      </c>
      <c r="U460" s="16" t="str">
        <f aca="false">IF(OR(L460="",P460=""),"",L460*(P460-1)-N460)</f>
        <v/>
      </c>
      <c r="V460" s="13"/>
      <c r="W460" s="17"/>
      <c r="X460" s="12"/>
      <c r="Y460" s="12"/>
      <c r="Z460" s="12"/>
      <c r="AA460" s="18" t="str">
        <f aca="false">IF(K460&lt;&gt;"ВИРТУАЛЬНЫЙ ВЫБОР","",IF(Z460="✅ ЗАШЛО",W460*(P460-1),IF(Z460="❌ НЕ ЗАШЛО",-W460,IF(Z460="½ ЗАШЛО",W460*(P460-1)/2,IF(Z460="½ НЕ ЗАШЛО",-W460/2,IF(Z460="ВОЗВРАТ",0,""))))))</f>
        <v/>
      </c>
      <c r="AB460" s="18" t="str">
        <f aca="false">IF(AND(K460="ВИРТУАЛЬНЫЙ ВЫБОР",OR(Z460="✅ ЗАШЛО",Z460="❌ НЕ ЗАШЛО",Z460="½ ЗАШЛО",Z460="½ НЕ ЗАШЛО",Z460="ВОЗВРАТ")),W460,"")</f>
        <v/>
      </c>
      <c r="AC460" s="15"/>
      <c r="AD460" s="16" t="str">
        <f aca="false">IF(OR(AC460="",P460=""),"",P460/AC460-1)</f>
        <v/>
      </c>
      <c r="AE460" s="19" t="str">
        <f aca="false">IF(AND(M460=0,OR(Z460="✅ ЗАШЛО",Z460="❌ НЕ ЗАШЛО"),L460&lt;&gt;""),(L460-IF(Z460="✅ ЗАШЛО",1,0))^2,"")</f>
        <v/>
      </c>
      <c r="AF460" s="15"/>
      <c r="AG460" s="15"/>
      <c r="AH460" s="13"/>
      <c r="AI460" s="13"/>
      <c r="AJ460" s="13"/>
      <c r="AK460" s="20" t="str">
        <f aca="false">IF(AH460="","",IF(ABS(AH460+AI460+AJ460-1)&lt;0.000001,"OK","ОШИБКА"))</f>
        <v/>
      </c>
      <c r="AL460" s="13"/>
      <c r="AM460" s="12"/>
      <c r="AN460" s="12"/>
      <c r="AO460" s="12"/>
      <c r="AP460" s="12"/>
      <c r="AQ460" s="18" t="str">
        <f aca="false">IF(A460="","",N(AQ459)+N(AA460))</f>
        <v/>
      </c>
      <c r="AR460" s="18" t="str">
        <f aca="false">IF(AQ460="","",MAX(0,MAX($AQ$8:AQ460))-AQ460)</f>
        <v/>
      </c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3"/>
      <c r="M461" s="13"/>
      <c r="N461" s="13"/>
      <c r="O461" s="14" t="str">
        <f aca="false">IF(OR(L461="",L461=0),"",(1-M461)/L461)</f>
        <v/>
      </c>
      <c r="P461" s="15"/>
      <c r="Q461" s="12"/>
      <c r="R461" s="12"/>
      <c r="S461" s="13"/>
      <c r="T461" s="16" t="str">
        <f aca="false">IF(OR(S461="",L461=""),"",L461/(1-M461)-S461)</f>
        <v/>
      </c>
      <c r="U461" s="16" t="str">
        <f aca="false">IF(OR(L461="",P461=""),"",L461*(P461-1)-N461)</f>
        <v/>
      </c>
      <c r="V461" s="13"/>
      <c r="W461" s="17"/>
      <c r="X461" s="12"/>
      <c r="Y461" s="12"/>
      <c r="Z461" s="12"/>
      <c r="AA461" s="18" t="str">
        <f aca="false">IF(K461&lt;&gt;"ВИРТУАЛЬНЫЙ ВЫБОР","",IF(Z461="✅ ЗАШЛО",W461*(P461-1),IF(Z461="❌ НЕ ЗАШЛО",-W461,IF(Z461="½ ЗАШЛО",W461*(P461-1)/2,IF(Z461="½ НЕ ЗАШЛО",-W461/2,IF(Z461="ВОЗВРАТ",0,""))))))</f>
        <v/>
      </c>
      <c r="AB461" s="18" t="str">
        <f aca="false">IF(AND(K461="ВИРТУАЛЬНЫЙ ВЫБОР",OR(Z461="✅ ЗАШЛО",Z461="❌ НЕ ЗАШЛО",Z461="½ ЗАШЛО",Z461="½ НЕ ЗАШЛО",Z461="ВОЗВРАТ")),W461,"")</f>
        <v/>
      </c>
      <c r="AC461" s="15"/>
      <c r="AD461" s="16" t="str">
        <f aca="false">IF(OR(AC461="",P461=""),"",P461/AC461-1)</f>
        <v/>
      </c>
      <c r="AE461" s="19" t="str">
        <f aca="false">IF(AND(M461=0,OR(Z461="✅ ЗАШЛО",Z461="❌ НЕ ЗАШЛО"),L461&lt;&gt;""),(L461-IF(Z461="✅ ЗАШЛО",1,0))^2,"")</f>
        <v/>
      </c>
      <c r="AF461" s="15"/>
      <c r="AG461" s="15"/>
      <c r="AH461" s="13"/>
      <c r="AI461" s="13"/>
      <c r="AJ461" s="13"/>
      <c r="AK461" s="20" t="str">
        <f aca="false">IF(AH461="","",IF(ABS(AH461+AI461+AJ461-1)&lt;0.000001,"OK","ОШИБКА"))</f>
        <v/>
      </c>
      <c r="AL461" s="13"/>
      <c r="AM461" s="12"/>
      <c r="AN461" s="12"/>
      <c r="AO461" s="12"/>
      <c r="AP461" s="12"/>
      <c r="AQ461" s="18" t="str">
        <f aca="false">IF(A461="","",N(AQ460)+N(AA461))</f>
        <v/>
      </c>
      <c r="AR461" s="18" t="str">
        <f aca="false">IF(AQ461="","",MAX(0,MAX($AQ$8:AQ461))-AQ461)</f>
        <v/>
      </c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3"/>
      <c r="M462" s="13"/>
      <c r="N462" s="13"/>
      <c r="O462" s="14" t="str">
        <f aca="false">IF(OR(L462="",L462=0),"",(1-M462)/L462)</f>
        <v/>
      </c>
      <c r="P462" s="15"/>
      <c r="Q462" s="12"/>
      <c r="R462" s="12"/>
      <c r="S462" s="13"/>
      <c r="T462" s="16" t="str">
        <f aca="false">IF(OR(S462="",L462=""),"",L462/(1-M462)-S462)</f>
        <v/>
      </c>
      <c r="U462" s="16" t="str">
        <f aca="false">IF(OR(L462="",P462=""),"",L462*(P462-1)-N462)</f>
        <v/>
      </c>
      <c r="V462" s="13"/>
      <c r="W462" s="17"/>
      <c r="X462" s="12"/>
      <c r="Y462" s="12"/>
      <c r="Z462" s="12"/>
      <c r="AA462" s="18" t="str">
        <f aca="false">IF(K462&lt;&gt;"ВИРТУАЛЬНЫЙ ВЫБОР","",IF(Z462="✅ ЗАШЛО",W462*(P462-1),IF(Z462="❌ НЕ ЗАШЛО",-W462,IF(Z462="½ ЗАШЛО",W462*(P462-1)/2,IF(Z462="½ НЕ ЗАШЛО",-W462/2,IF(Z462="ВОЗВРАТ",0,""))))))</f>
        <v/>
      </c>
      <c r="AB462" s="18" t="str">
        <f aca="false">IF(AND(K462="ВИРТУАЛЬНЫЙ ВЫБОР",OR(Z462="✅ ЗАШЛО",Z462="❌ НЕ ЗАШЛО",Z462="½ ЗАШЛО",Z462="½ НЕ ЗАШЛО",Z462="ВОЗВРАТ")),W462,"")</f>
        <v/>
      </c>
      <c r="AC462" s="15"/>
      <c r="AD462" s="16" t="str">
        <f aca="false">IF(OR(AC462="",P462=""),"",P462/AC462-1)</f>
        <v/>
      </c>
      <c r="AE462" s="19" t="str">
        <f aca="false">IF(AND(M462=0,OR(Z462="✅ ЗАШЛО",Z462="❌ НЕ ЗАШЛО"),L462&lt;&gt;""),(L462-IF(Z462="✅ ЗАШЛО",1,0))^2,"")</f>
        <v/>
      </c>
      <c r="AF462" s="15"/>
      <c r="AG462" s="15"/>
      <c r="AH462" s="13"/>
      <c r="AI462" s="13"/>
      <c r="AJ462" s="13"/>
      <c r="AK462" s="20" t="str">
        <f aca="false">IF(AH462="","",IF(ABS(AH462+AI462+AJ462-1)&lt;0.000001,"OK","ОШИБКА"))</f>
        <v/>
      </c>
      <c r="AL462" s="13"/>
      <c r="AM462" s="12"/>
      <c r="AN462" s="12"/>
      <c r="AO462" s="12"/>
      <c r="AP462" s="12"/>
      <c r="AQ462" s="18" t="str">
        <f aca="false">IF(A462="","",N(AQ461)+N(AA462))</f>
        <v/>
      </c>
      <c r="AR462" s="18" t="str">
        <f aca="false">IF(AQ462="","",MAX(0,MAX($AQ$8:AQ462))-AQ462)</f>
        <v/>
      </c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3"/>
      <c r="M463" s="13"/>
      <c r="N463" s="13"/>
      <c r="O463" s="14" t="str">
        <f aca="false">IF(OR(L463="",L463=0),"",(1-M463)/L463)</f>
        <v/>
      </c>
      <c r="P463" s="15"/>
      <c r="Q463" s="12"/>
      <c r="R463" s="12"/>
      <c r="S463" s="13"/>
      <c r="T463" s="16" t="str">
        <f aca="false">IF(OR(S463="",L463=""),"",L463/(1-M463)-S463)</f>
        <v/>
      </c>
      <c r="U463" s="16" t="str">
        <f aca="false">IF(OR(L463="",P463=""),"",L463*(P463-1)-N463)</f>
        <v/>
      </c>
      <c r="V463" s="13"/>
      <c r="W463" s="17"/>
      <c r="X463" s="12"/>
      <c r="Y463" s="12"/>
      <c r="Z463" s="12"/>
      <c r="AA463" s="18" t="str">
        <f aca="false">IF(K463&lt;&gt;"ВИРТУАЛЬНЫЙ ВЫБОР","",IF(Z463="✅ ЗАШЛО",W463*(P463-1),IF(Z463="❌ НЕ ЗАШЛО",-W463,IF(Z463="½ ЗАШЛО",W463*(P463-1)/2,IF(Z463="½ НЕ ЗАШЛО",-W463/2,IF(Z463="ВОЗВРАТ",0,""))))))</f>
        <v/>
      </c>
      <c r="AB463" s="18" t="str">
        <f aca="false">IF(AND(K463="ВИРТУАЛЬНЫЙ ВЫБОР",OR(Z463="✅ ЗАШЛО",Z463="❌ НЕ ЗАШЛО",Z463="½ ЗАШЛО",Z463="½ НЕ ЗАШЛО",Z463="ВОЗВРАТ")),W463,"")</f>
        <v/>
      </c>
      <c r="AC463" s="15"/>
      <c r="AD463" s="16" t="str">
        <f aca="false">IF(OR(AC463="",P463=""),"",P463/AC463-1)</f>
        <v/>
      </c>
      <c r="AE463" s="19" t="str">
        <f aca="false">IF(AND(M463=0,OR(Z463="✅ ЗАШЛО",Z463="❌ НЕ ЗАШЛО"),L463&lt;&gt;""),(L463-IF(Z463="✅ ЗАШЛО",1,0))^2,"")</f>
        <v/>
      </c>
      <c r="AF463" s="15"/>
      <c r="AG463" s="15"/>
      <c r="AH463" s="13"/>
      <c r="AI463" s="13"/>
      <c r="AJ463" s="13"/>
      <c r="AK463" s="20" t="str">
        <f aca="false">IF(AH463="","",IF(ABS(AH463+AI463+AJ463-1)&lt;0.000001,"OK","ОШИБКА"))</f>
        <v/>
      </c>
      <c r="AL463" s="13"/>
      <c r="AM463" s="12"/>
      <c r="AN463" s="12"/>
      <c r="AO463" s="12"/>
      <c r="AP463" s="12"/>
      <c r="AQ463" s="18" t="str">
        <f aca="false">IF(A463="","",N(AQ462)+N(AA463))</f>
        <v/>
      </c>
      <c r="AR463" s="18" t="str">
        <f aca="false">IF(AQ463="","",MAX(0,MAX($AQ$8:AQ463))-AQ463)</f>
        <v/>
      </c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3"/>
      <c r="M464" s="13"/>
      <c r="N464" s="13"/>
      <c r="O464" s="14" t="str">
        <f aca="false">IF(OR(L464="",L464=0),"",(1-M464)/L464)</f>
        <v/>
      </c>
      <c r="P464" s="15"/>
      <c r="Q464" s="12"/>
      <c r="R464" s="12"/>
      <c r="S464" s="13"/>
      <c r="T464" s="16" t="str">
        <f aca="false">IF(OR(S464="",L464=""),"",L464/(1-M464)-S464)</f>
        <v/>
      </c>
      <c r="U464" s="16" t="str">
        <f aca="false">IF(OR(L464="",P464=""),"",L464*(P464-1)-N464)</f>
        <v/>
      </c>
      <c r="V464" s="13"/>
      <c r="W464" s="17"/>
      <c r="X464" s="12"/>
      <c r="Y464" s="12"/>
      <c r="Z464" s="12"/>
      <c r="AA464" s="18" t="str">
        <f aca="false">IF(K464&lt;&gt;"ВИРТУАЛЬНЫЙ ВЫБОР","",IF(Z464="✅ ЗАШЛО",W464*(P464-1),IF(Z464="❌ НЕ ЗАШЛО",-W464,IF(Z464="½ ЗАШЛО",W464*(P464-1)/2,IF(Z464="½ НЕ ЗАШЛО",-W464/2,IF(Z464="ВОЗВРАТ",0,""))))))</f>
        <v/>
      </c>
      <c r="AB464" s="18" t="str">
        <f aca="false">IF(AND(K464="ВИРТУАЛЬНЫЙ ВЫБОР",OR(Z464="✅ ЗАШЛО",Z464="❌ НЕ ЗАШЛО",Z464="½ ЗАШЛО",Z464="½ НЕ ЗАШЛО",Z464="ВОЗВРАТ")),W464,"")</f>
        <v/>
      </c>
      <c r="AC464" s="15"/>
      <c r="AD464" s="16" t="str">
        <f aca="false">IF(OR(AC464="",P464=""),"",P464/AC464-1)</f>
        <v/>
      </c>
      <c r="AE464" s="19" t="str">
        <f aca="false">IF(AND(M464=0,OR(Z464="✅ ЗАШЛО",Z464="❌ НЕ ЗАШЛО"),L464&lt;&gt;""),(L464-IF(Z464="✅ ЗАШЛО",1,0))^2,"")</f>
        <v/>
      </c>
      <c r="AF464" s="15"/>
      <c r="AG464" s="15"/>
      <c r="AH464" s="13"/>
      <c r="AI464" s="13"/>
      <c r="AJ464" s="13"/>
      <c r="AK464" s="20" t="str">
        <f aca="false">IF(AH464="","",IF(ABS(AH464+AI464+AJ464-1)&lt;0.000001,"OK","ОШИБКА"))</f>
        <v/>
      </c>
      <c r="AL464" s="13"/>
      <c r="AM464" s="12"/>
      <c r="AN464" s="12"/>
      <c r="AO464" s="12"/>
      <c r="AP464" s="12"/>
      <c r="AQ464" s="18" t="str">
        <f aca="false">IF(A464="","",N(AQ463)+N(AA464))</f>
        <v/>
      </c>
      <c r="AR464" s="18" t="str">
        <f aca="false">IF(AQ464="","",MAX(0,MAX($AQ$8:AQ464))-AQ464)</f>
        <v/>
      </c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3"/>
      <c r="M465" s="13"/>
      <c r="N465" s="13"/>
      <c r="O465" s="14" t="str">
        <f aca="false">IF(OR(L465="",L465=0),"",(1-M465)/L465)</f>
        <v/>
      </c>
      <c r="P465" s="15"/>
      <c r="Q465" s="12"/>
      <c r="R465" s="12"/>
      <c r="S465" s="13"/>
      <c r="T465" s="16" t="str">
        <f aca="false">IF(OR(S465="",L465=""),"",L465/(1-M465)-S465)</f>
        <v/>
      </c>
      <c r="U465" s="16" t="str">
        <f aca="false">IF(OR(L465="",P465=""),"",L465*(P465-1)-N465)</f>
        <v/>
      </c>
      <c r="V465" s="13"/>
      <c r="W465" s="17"/>
      <c r="X465" s="12"/>
      <c r="Y465" s="12"/>
      <c r="Z465" s="12"/>
      <c r="AA465" s="18" t="str">
        <f aca="false">IF(K465&lt;&gt;"ВИРТУАЛЬНЫЙ ВЫБОР","",IF(Z465="✅ ЗАШЛО",W465*(P465-1),IF(Z465="❌ НЕ ЗАШЛО",-W465,IF(Z465="½ ЗАШЛО",W465*(P465-1)/2,IF(Z465="½ НЕ ЗАШЛО",-W465/2,IF(Z465="ВОЗВРАТ",0,""))))))</f>
        <v/>
      </c>
      <c r="AB465" s="18" t="str">
        <f aca="false">IF(AND(K465="ВИРТУАЛЬНЫЙ ВЫБОР",OR(Z465="✅ ЗАШЛО",Z465="❌ НЕ ЗАШЛО",Z465="½ ЗАШЛО",Z465="½ НЕ ЗАШЛО",Z465="ВОЗВРАТ")),W465,"")</f>
        <v/>
      </c>
      <c r="AC465" s="15"/>
      <c r="AD465" s="16" t="str">
        <f aca="false">IF(OR(AC465="",P465=""),"",P465/AC465-1)</f>
        <v/>
      </c>
      <c r="AE465" s="19" t="str">
        <f aca="false">IF(AND(M465=0,OR(Z465="✅ ЗАШЛО",Z465="❌ НЕ ЗАШЛО"),L465&lt;&gt;""),(L465-IF(Z465="✅ ЗАШЛО",1,0))^2,"")</f>
        <v/>
      </c>
      <c r="AF465" s="15"/>
      <c r="AG465" s="15"/>
      <c r="AH465" s="13"/>
      <c r="AI465" s="13"/>
      <c r="AJ465" s="13"/>
      <c r="AK465" s="20" t="str">
        <f aca="false">IF(AH465="","",IF(ABS(AH465+AI465+AJ465-1)&lt;0.000001,"OK","ОШИБКА"))</f>
        <v/>
      </c>
      <c r="AL465" s="13"/>
      <c r="AM465" s="12"/>
      <c r="AN465" s="12"/>
      <c r="AO465" s="12"/>
      <c r="AP465" s="12"/>
      <c r="AQ465" s="18" t="str">
        <f aca="false">IF(A465="","",N(AQ464)+N(AA465))</f>
        <v/>
      </c>
      <c r="AR465" s="18" t="str">
        <f aca="false">IF(AQ465="","",MAX(0,MAX($AQ$8:AQ465))-AQ465)</f>
        <v/>
      </c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3"/>
      <c r="M466" s="13"/>
      <c r="N466" s="13"/>
      <c r="O466" s="14" t="str">
        <f aca="false">IF(OR(L466="",L466=0),"",(1-M466)/L466)</f>
        <v/>
      </c>
      <c r="P466" s="15"/>
      <c r="Q466" s="12"/>
      <c r="R466" s="12"/>
      <c r="S466" s="13"/>
      <c r="T466" s="16" t="str">
        <f aca="false">IF(OR(S466="",L466=""),"",L466/(1-M466)-S466)</f>
        <v/>
      </c>
      <c r="U466" s="16" t="str">
        <f aca="false">IF(OR(L466="",P466=""),"",L466*(P466-1)-N466)</f>
        <v/>
      </c>
      <c r="V466" s="13"/>
      <c r="W466" s="17"/>
      <c r="X466" s="12"/>
      <c r="Y466" s="12"/>
      <c r="Z466" s="12"/>
      <c r="AA466" s="18" t="str">
        <f aca="false">IF(K466&lt;&gt;"ВИРТУАЛЬНЫЙ ВЫБОР","",IF(Z466="✅ ЗАШЛО",W466*(P466-1),IF(Z466="❌ НЕ ЗАШЛО",-W466,IF(Z466="½ ЗАШЛО",W466*(P466-1)/2,IF(Z466="½ НЕ ЗАШЛО",-W466/2,IF(Z466="ВОЗВРАТ",0,""))))))</f>
        <v/>
      </c>
      <c r="AB466" s="18" t="str">
        <f aca="false">IF(AND(K466="ВИРТУАЛЬНЫЙ ВЫБОР",OR(Z466="✅ ЗАШЛО",Z466="❌ НЕ ЗАШЛО",Z466="½ ЗАШЛО",Z466="½ НЕ ЗАШЛО",Z466="ВОЗВРАТ")),W466,"")</f>
        <v/>
      </c>
      <c r="AC466" s="15"/>
      <c r="AD466" s="16" t="str">
        <f aca="false">IF(OR(AC466="",P466=""),"",P466/AC466-1)</f>
        <v/>
      </c>
      <c r="AE466" s="19" t="str">
        <f aca="false">IF(AND(M466=0,OR(Z466="✅ ЗАШЛО",Z466="❌ НЕ ЗАШЛО"),L466&lt;&gt;""),(L466-IF(Z466="✅ ЗАШЛО",1,0))^2,"")</f>
        <v/>
      </c>
      <c r="AF466" s="15"/>
      <c r="AG466" s="15"/>
      <c r="AH466" s="13"/>
      <c r="AI466" s="13"/>
      <c r="AJ466" s="13"/>
      <c r="AK466" s="20" t="str">
        <f aca="false">IF(AH466="","",IF(ABS(AH466+AI466+AJ466-1)&lt;0.000001,"OK","ОШИБКА"))</f>
        <v/>
      </c>
      <c r="AL466" s="13"/>
      <c r="AM466" s="12"/>
      <c r="AN466" s="12"/>
      <c r="AO466" s="12"/>
      <c r="AP466" s="12"/>
      <c r="AQ466" s="18" t="str">
        <f aca="false">IF(A466="","",N(AQ465)+N(AA466))</f>
        <v/>
      </c>
      <c r="AR466" s="18" t="str">
        <f aca="false">IF(AQ466="","",MAX(0,MAX($AQ$8:AQ466))-AQ466)</f>
        <v/>
      </c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3"/>
      <c r="M467" s="13"/>
      <c r="N467" s="13"/>
      <c r="O467" s="14" t="str">
        <f aca="false">IF(OR(L467="",L467=0),"",(1-M467)/L467)</f>
        <v/>
      </c>
      <c r="P467" s="15"/>
      <c r="Q467" s="12"/>
      <c r="R467" s="12"/>
      <c r="S467" s="13"/>
      <c r="T467" s="16" t="str">
        <f aca="false">IF(OR(S467="",L467=""),"",L467/(1-M467)-S467)</f>
        <v/>
      </c>
      <c r="U467" s="16" t="str">
        <f aca="false">IF(OR(L467="",P467=""),"",L467*(P467-1)-N467)</f>
        <v/>
      </c>
      <c r="V467" s="13"/>
      <c r="W467" s="17"/>
      <c r="X467" s="12"/>
      <c r="Y467" s="12"/>
      <c r="Z467" s="12"/>
      <c r="AA467" s="18" t="str">
        <f aca="false">IF(K467&lt;&gt;"ВИРТУАЛЬНЫЙ ВЫБОР","",IF(Z467="✅ ЗАШЛО",W467*(P467-1),IF(Z467="❌ НЕ ЗАШЛО",-W467,IF(Z467="½ ЗАШЛО",W467*(P467-1)/2,IF(Z467="½ НЕ ЗАШЛО",-W467/2,IF(Z467="ВОЗВРАТ",0,""))))))</f>
        <v/>
      </c>
      <c r="AB467" s="18" t="str">
        <f aca="false">IF(AND(K467="ВИРТУАЛЬНЫЙ ВЫБОР",OR(Z467="✅ ЗАШЛО",Z467="❌ НЕ ЗАШЛО",Z467="½ ЗАШЛО",Z467="½ НЕ ЗАШЛО",Z467="ВОЗВРАТ")),W467,"")</f>
        <v/>
      </c>
      <c r="AC467" s="15"/>
      <c r="AD467" s="16" t="str">
        <f aca="false">IF(OR(AC467="",P467=""),"",P467/AC467-1)</f>
        <v/>
      </c>
      <c r="AE467" s="19" t="str">
        <f aca="false">IF(AND(M467=0,OR(Z467="✅ ЗАШЛО",Z467="❌ НЕ ЗАШЛО"),L467&lt;&gt;""),(L467-IF(Z467="✅ ЗАШЛО",1,0))^2,"")</f>
        <v/>
      </c>
      <c r="AF467" s="15"/>
      <c r="AG467" s="15"/>
      <c r="AH467" s="13"/>
      <c r="AI467" s="13"/>
      <c r="AJ467" s="13"/>
      <c r="AK467" s="20" t="str">
        <f aca="false">IF(AH467="","",IF(ABS(AH467+AI467+AJ467-1)&lt;0.000001,"OK","ОШИБКА"))</f>
        <v/>
      </c>
      <c r="AL467" s="13"/>
      <c r="AM467" s="12"/>
      <c r="AN467" s="12"/>
      <c r="AO467" s="12"/>
      <c r="AP467" s="12"/>
      <c r="AQ467" s="18" t="str">
        <f aca="false">IF(A467="","",N(AQ466)+N(AA467))</f>
        <v/>
      </c>
      <c r="AR467" s="18" t="str">
        <f aca="false">IF(AQ467="","",MAX(0,MAX($AQ$8:AQ467))-AQ467)</f>
        <v/>
      </c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3"/>
      <c r="M468" s="13"/>
      <c r="N468" s="13"/>
      <c r="O468" s="14" t="str">
        <f aca="false">IF(OR(L468="",L468=0),"",(1-M468)/L468)</f>
        <v/>
      </c>
      <c r="P468" s="15"/>
      <c r="Q468" s="12"/>
      <c r="R468" s="12"/>
      <c r="S468" s="13"/>
      <c r="T468" s="16" t="str">
        <f aca="false">IF(OR(S468="",L468=""),"",L468/(1-M468)-S468)</f>
        <v/>
      </c>
      <c r="U468" s="16" t="str">
        <f aca="false">IF(OR(L468="",P468=""),"",L468*(P468-1)-N468)</f>
        <v/>
      </c>
      <c r="V468" s="13"/>
      <c r="W468" s="17"/>
      <c r="X468" s="12"/>
      <c r="Y468" s="12"/>
      <c r="Z468" s="12"/>
      <c r="AA468" s="18" t="str">
        <f aca="false">IF(K468&lt;&gt;"ВИРТУАЛЬНЫЙ ВЫБОР","",IF(Z468="✅ ЗАШЛО",W468*(P468-1),IF(Z468="❌ НЕ ЗАШЛО",-W468,IF(Z468="½ ЗАШЛО",W468*(P468-1)/2,IF(Z468="½ НЕ ЗАШЛО",-W468/2,IF(Z468="ВОЗВРАТ",0,""))))))</f>
        <v/>
      </c>
      <c r="AB468" s="18" t="str">
        <f aca="false">IF(AND(K468="ВИРТУАЛЬНЫЙ ВЫБОР",OR(Z468="✅ ЗАШЛО",Z468="❌ НЕ ЗАШЛО",Z468="½ ЗАШЛО",Z468="½ НЕ ЗАШЛО",Z468="ВОЗВРАТ")),W468,"")</f>
        <v/>
      </c>
      <c r="AC468" s="15"/>
      <c r="AD468" s="16" t="str">
        <f aca="false">IF(OR(AC468="",P468=""),"",P468/AC468-1)</f>
        <v/>
      </c>
      <c r="AE468" s="19" t="str">
        <f aca="false">IF(AND(M468=0,OR(Z468="✅ ЗАШЛО",Z468="❌ НЕ ЗАШЛО"),L468&lt;&gt;""),(L468-IF(Z468="✅ ЗАШЛО",1,0))^2,"")</f>
        <v/>
      </c>
      <c r="AF468" s="15"/>
      <c r="AG468" s="15"/>
      <c r="AH468" s="13"/>
      <c r="AI468" s="13"/>
      <c r="AJ468" s="13"/>
      <c r="AK468" s="20" t="str">
        <f aca="false">IF(AH468="","",IF(ABS(AH468+AI468+AJ468-1)&lt;0.000001,"OK","ОШИБКА"))</f>
        <v/>
      </c>
      <c r="AL468" s="13"/>
      <c r="AM468" s="12"/>
      <c r="AN468" s="12"/>
      <c r="AO468" s="12"/>
      <c r="AP468" s="12"/>
      <c r="AQ468" s="18" t="str">
        <f aca="false">IF(A468="","",N(AQ467)+N(AA468))</f>
        <v/>
      </c>
      <c r="AR468" s="18" t="str">
        <f aca="false">IF(AQ468="","",MAX(0,MAX($AQ$8:AQ468))-AQ468)</f>
        <v/>
      </c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3"/>
      <c r="M469" s="13"/>
      <c r="N469" s="13"/>
      <c r="O469" s="14" t="str">
        <f aca="false">IF(OR(L469="",L469=0),"",(1-M469)/L469)</f>
        <v/>
      </c>
      <c r="P469" s="15"/>
      <c r="Q469" s="12"/>
      <c r="R469" s="12"/>
      <c r="S469" s="13"/>
      <c r="T469" s="16" t="str">
        <f aca="false">IF(OR(S469="",L469=""),"",L469/(1-M469)-S469)</f>
        <v/>
      </c>
      <c r="U469" s="16" t="str">
        <f aca="false">IF(OR(L469="",P469=""),"",L469*(P469-1)-N469)</f>
        <v/>
      </c>
      <c r="V469" s="13"/>
      <c r="W469" s="17"/>
      <c r="X469" s="12"/>
      <c r="Y469" s="12"/>
      <c r="Z469" s="12"/>
      <c r="AA469" s="18" t="str">
        <f aca="false">IF(K469&lt;&gt;"ВИРТУАЛЬНЫЙ ВЫБОР","",IF(Z469="✅ ЗАШЛО",W469*(P469-1),IF(Z469="❌ НЕ ЗАШЛО",-W469,IF(Z469="½ ЗАШЛО",W469*(P469-1)/2,IF(Z469="½ НЕ ЗАШЛО",-W469/2,IF(Z469="ВОЗВРАТ",0,""))))))</f>
        <v/>
      </c>
      <c r="AB469" s="18" t="str">
        <f aca="false">IF(AND(K469="ВИРТУАЛЬНЫЙ ВЫБОР",OR(Z469="✅ ЗАШЛО",Z469="❌ НЕ ЗАШЛО",Z469="½ ЗАШЛО",Z469="½ НЕ ЗАШЛО",Z469="ВОЗВРАТ")),W469,"")</f>
        <v/>
      </c>
      <c r="AC469" s="15"/>
      <c r="AD469" s="16" t="str">
        <f aca="false">IF(OR(AC469="",P469=""),"",P469/AC469-1)</f>
        <v/>
      </c>
      <c r="AE469" s="19" t="str">
        <f aca="false">IF(AND(M469=0,OR(Z469="✅ ЗАШЛО",Z469="❌ НЕ ЗАШЛО"),L469&lt;&gt;""),(L469-IF(Z469="✅ ЗАШЛО",1,0))^2,"")</f>
        <v/>
      </c>
      <c r="AF469" s="15"/>
      <c r="AG469" s="15"/>
      <c r="AH469" s="13"/>
      <c r="AI469" s="13"/>
      <c r="AJ469" s="13"/>
      <c r="AK469" s="20" t="str">
        <f aca="false">IF(AH469="","",IF(ABS(AH469+AI469+AJ469-1)&lt;0.000001,"OK","ОШИБКА"))</f>
        <v/>
      </c>
      <c r="AL469" s="13"/>
      <c r="AM469" s="12"/>
      <c r="AN469" s="12"/>
      <c r="AO469" s="12"/>
      <c r="AP469" s="12"/>
      <c r="AQ469" s="18" t="str">
        <f aca="false">IF(A469="","",N(AQ468)+N(AA469))</f>
        <v/>
      </c>
      <c r="AR469" s="18" t="str">
        <f aca="false">IF(AQ469="","",MAX(0,MAX($AQ$8:AQ469))-AQ469)</f>
        <v/>
      </c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3"/>
      <c r="M470" s="13"/>
      <c r="N470" s="13"/>
      <c r="O470" s="14" t="str">
        <f aca="false">IF(OR(L470="",L470=0),"",(1-M470)/L470)</f>
        <v/>
      </c>
      <c r="P470" s="15"/>
      <c r="Q470" s="12"/>
      <c r="R470" s="12"/>
      <c r="S470" s="13"/>
      <c r="T470" s="16" t="str">
        <f aca="false">IF(OR(S470="",L470=""),"",L470/(1-M470)-S470)</f>
        <v/>
      </c>
      <c r="U470" s="16" t="str">
        <f aca="false">IF(OR(L470="",P470=""),"",L470*(P470-1)-N470)</f>
        <v/>
      </c>
      <c r="V470" s="13"/>
      <c r="W470" s="17"/>
      <c r="X470" s="12"/>
      <c r="Y470" s="12"/>
      <c r="Z470" s="12"/>
      <c r="AA470" s="18" t="str">
        <f aca="false">IF(K470&lt;&gt;"ВИРТУАЛЬНЫЙ ВЫБОР","",IF(Z470="✅ ЗАШЛО",W470*(P470-1),IF(Z470="❌ НЕ ЗАШЛО",-W470,IF(Z470="½ ЗАШЛО",W470*(P470-1)/2,IF(Z470="½ НЕ ЗАШЛО",-W470/2,IF(Z470="ВОЗВРАТ",0,""))))))</f>
        <v/>
      </c>
      <c r="AB470" s="18" t="str">
        <f aca="false">IF(AND(K470="ВИРТУАЛЬНЫЙ ВЫБОР",OR(Z470="✅ ЗАШЛО",Z470="❌ НЕ ЗАШЛО",Z470="½ ЗАШЛО",Z470="½ НЕ ЗАШЛО",Z470="ВОЗВРАТ")),W470,"")</f>
        <v/>
      </c>
      <c r="AC470" s="15"/>
      <c r="AD470" s="16" t="str">
        <f aca="false">IF(OR(AC470="",P470=""),"",P470/AC470-1)</f>
        <v/>
      </c>
      <c r="AE470" s="19" t="str">
        <f aca="false">IF(AND(M470=0,OR(Z470="✅ ЗАШЛО",Z470="❌ НЕ ЗАШЛО"),L470&lt;&gt;""),(L470-IF(Z470="✅ ЗАШЛО",1,0))^2,"")</f>
        <v/>
      </c>
      <c r="AF470" s="15"/>
      <c r="AG470" s="15"/>
      <c r="AH470" s="13"/>
      <c r="AI470" s="13"/>
      <c r="AJ470" s="13"/>
      <c r="AK470" s="20" t="str">
        <f aca="false">IF(AH470="","",IF(ABS(AH470+AI470+AJ470-1)&lt;0.000001,"OK","ОШИБКА"))</f>
        <v/>
      </c>
      <c r="AL470" s="13"/>
      <c r="AM470" s="12"/>
      <c r="AN470" s="12"/>
      <c r="AO470" s="12"/>
      <c r="AP470" s="12"/>
      <c r="AQ470" s="18" t="str">
        <f aca="false">IF(A470="","",N(AQ469)+N(AA470))</f>
        <v/>
      </c>
      <c r="AR470" s="18" t="str">
        <f aca="false">IF(AQ470="","",MAX(0,MAX($AQ$8:AQ470))-AQ470)</f>
        <v/>
      </c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3"/>
      <c r="M471" s="13"/>
      <c r="N471" s="13"/>
      <c r="O471" s="14" t="str">
        <f aca="false">IF(OR(L471="",L471=0),"",(1-M471)/L471)</f>
        <v/>
      </c>
      <c r="P471" s="15"/>
      <c r="Q471" s="12"/>
      <c r="R471" s="12"/>
      <c r="S471" s="13"/>
      <c r="T471" s="16" t="str">
        <f aca="false">IF(OR(S471="",L471=""),"",L471/(1-M471)-S471)</f>
        <v/>
      </c>
      <c r="U471" s="16" t="str">
        <f aca="false">IF(OR(L471="",P471=""),"",L471*(P471-1)-N471)</f>
        <v/>
      </c>
      <c r="V471" s="13"/>
      <c r="W471" s="17"/>
      <c r="X471" s="12"/>
      <c r="Y471" s="12"/>
      <c r="Z471" s="12"/>
      <c r="AA471" s="18" t="str">
        <f aca="false">IF(K471&lt;&gt;"ВИРТУАЛЬНЫЙ ВЫБОР","",IF(Z471="✅ ЗАШЛО",W471*(P471-1),IF(Z471="❌ НЕ ЗАШЛО",-W471,IF(Z471="½ ЗАШЛО",W471*(P471-1)/2,IF(Z471="½ НЕ ЗАШЛО",-W471/2,IF(Z471="ВОЗВРАТ",0,""))))))</f>
        <v/>
      </c>
      <c r="AB471" s="18" t="str">
        <f aca="false">IF(AND(K471="ВИРТУАЛЬНЫЙ ВЫБОР",OR(Z471="✅ ЗАШЛО",Z471="❌ НЕ ЗАШЛО",Z471="½ ЗАШЛО",Z471="½ НЕ ЗАШЛО",Z471="ВОЗВРАТ")),W471,"")</f>
        <v/>
      </c>
      <c r="AC471" s="15"/>
      <c r="AD471" s="16" t="str">
        <f aca="false">IF(OR(AC471="",P471=""),"",P471/AC471-1)</f>
        <v/>
      </c>
      <c r="AE471" s="19" t="str">
        <f aca="false">IF(AND(M471=0,OR(Z471="✅ ЗАШЛО",Z471="❌ НЕ ЗАШЛО"),L471&lt;&gt;""),(L471-IF(Z471="✅ ЗАШЛО",1,0))^2,"")</f>
        <v/>
      </c>
      <c r="AF471" s="15"/>
      <c r="AG471" s="15"/>
      <c r="AH471" s="13"/>
      <c r="AI471" s="13"/>
      <c r="AJ471" s="13"/>
      <c r="AK471" s="20" t="str">
        <f aca="false">IF(AH471="","",IF(ABS(AH471+AI471+AJ471-1)&lt;0.000001,"OK","ОШИБКА"))</f>
        <v/>
      </c>
      <c r="AL471" s="13"/>
      <c r="AM471" s="12"/>
      <c r="AN471" s="12"/>
      <c r="AO471" s="12"/>
      <c r="AP471" s="12"/>
      <c r="AQ471" s="18" t="str">
        <f aca="false">IF(A471="","",N(AQ470)+N(AA471))</f>
        <v/>
      </c>
      <c r="AR471" s="18" t="str">
        <f aca="false">IF(AQ471="","",MAX(0,MAX($AQ$8:AQ471))-AQ471)</f>
        <v/>
      </c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3"/>
      <c r="M472" s="13"/>
      <c r="N472" s="13"/>
      <c r="O472" s="14" t="str">
        <f aca="false">IF(OR(L472="",L472=0),"",(1-M472)/L472)</f>
        <v/>
      </c>
      <c r="P472" s="15"/>
      <c r="Q472" s="12"/>
      <c r="R472" s="12"/>
      <c r="S472" s="13"/>
      <c r="T472" s="16" t="str">
        <f aca="false">IF(OR(S472="",L472=""),"",L472/(1-M472)-S472)</f>
        <v/>
      </c>
      <c r="U472" s="16" t="str">
        <f aca="false">IF(OR(L472="",P472=""),"",L472*(P472-1)-N472)</f>
        <v/>
      </c>
      <c r="V472" s="13"/>
      <c r="W472" s="17"/>
      <c r="X472" s="12"/>
      <c r="Y472" s="12"/>
      <c r="Z472" s="12"/>
      <c r="AA472" s="18" t="str">
        <f aca="false">IF(K472&lt;&gt;"ВИРТУАЛЬНЫЙ ВЫБОР","",IF(Z472="✅ ЗАШЛО",W472*(P472-1),IF(Z472="❌ НЕ ЗАШЛО",-W472,IF(Z472="½ ЗАШЛО",W472*(P472-1)/2,IF(Z472="½ НЕ ЗАШЛО",-W472/2,IF(Z472="ВОЗВРАТ",0,""))))))</f>
        <v/>
      </c>
      <c r="AB472" s="18" t="str">
        <f aca="false">IF(AND(K472="ВИРТУАЛЬНЫЙ ВЫБОР",OR(Z472="✅ ЗАШЛО",Z472="❌ НЕ ЗАШЛО",Z472="½ ЗАШЛО",Z472="½ НЕ ЗАШЛО",Z472="ВОЗВРАТ")),W472,"")</f>
        <v/>
      </c>
      <c r="AC472" s="15"/>
      <c r="AD472" s="16" t="str">
        <f aca="false">IF(OR(AC472="",P472=""),"",P472/AC472-1)</f>
        <v/>
      </c>
      <c r="AE472" s="19" t="str">
        <f aca="false">IF(AND(M472=0,OR(Z472="✅ ЗАШЛО",Z472="❌ НЕ ЗАШЛО"),L472&lt;&gt;""),(L472-IF(Z472="✅ ЗАШЛО",1,0))^2,"")</f>
        <v/>
      </c>
      <c r="AF472" s="15"/>
      <c r="AG472" s="15"/>
      <c r="AH472" s="13"/>
      <c r="AI472" s="13"/>
      <c r="AJ472" s="13"/>
      <c r="AK472" s="20" t="str">
        <f aca="false">IF(AH472="","",IF(ABS(AH472+AI472+AJ472-1)&lt;0.000001,"OK","ОШИБКА"))</f>
        <v/>
      </c>
      <c r="AL472" s="13"/>
      <c r="AM472" s="12"/>
      <c r="AN472" s="12"/>
      <c r="AO472" s="12"/>
      <c r="AP472" s="12"/>
      <c r="AQ472" s="18" t="str">
        <f aca="false">IF(A472="","",N(AQ471)+N(AA472))</f>
        <v/>
      </c>
      <c r="AR472" s="18" t="str">
        <f aca="false">IF(AQ472="","",MAX(0,MAX($AQ$8:AQ472))-AQ472)</f>
        <v/>
      </c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3"/>
      <c r="M473" s="13"/>
      <c r="N473" s="13"/>
      <c r="O473" s="14" t="str">
        <f aca="false">IF(OR(L473="",L473=0),"",(1-M473)/L473)</f>
        <v/>
      </c>
      <c r="P473" s="15"/>
      <c r="Q473" s="12"/>
      <c r="R473" s="12"/>
      <c r="S473" s="13"/>
      <c r="T473" s="16" t="str">
        <f aca="false">IF(OR(S473="",L473=""),"",L473/(1-M473)-S473)</f>
        <v/>
      </c>
      <c r="U473" s="16" t="str">
        <f aca="false">IF(OR(L473="",P473=""),"",L473*(P473-1)-N473)</f>
        <v/>
      </c>
      <c r="V473" s="13"/>
      <c r="W473" s="17"/>
      <c r="X473" s="12"/>
      <c r="Y473" s="12"/>
      <c r="Z473" s="12"/>
      <c r="AA473" s="18" t="str">
        <f aca="false">IF(K473&lt;&gt;"ВИРТУАЛЬНЫЙ ВЫБОР","",IF(Z473="✅ ЗАШЛО",W473*(P473-1),IF(Z473="❌ НЕ ЗАШЛО",-W473,IF(Z473="½ ЗАШЛО",W473*(P473-1)/2,IF(Z473="½ НЕ ЗАШЛО",-W473/2,IF(Z473="ВОЗВРАТ",0,""))))))</f>
        <v/>
      </c>
      <c r="AB473" s="18" t="str">
        <f aca="false">IF(AND(K473="ВИРТУАЛЬНЫЙ ВЫБОР",OR(Z473="✅ ЗАШЛО",Z473="❌ НЕ ЗАШЛО",Z473="½ ЗАШЛО",Z473="½ НЕ ЗАШЛО",Z473="ВОЗВРАТ")),W473,"")</f>
        <v/>
      </c>
      <c r="AC473" s="15"/>
      <c r="AD473" s="16" t="str">
        <f aca="false">IF(OR(AC473="",P473=""),"",P473/AC473-1)</f>
        <v/>
      </c>
      <c r="AE473" s="19" t="str">
        <f aca="false">IF(AND(M473=0,OR(Z473="✅ ЗАШЛО",Z473="❌ НЕ ЗАШЛО"),L473&lt;&gt;""),(L473-IF(Z473="✅ ЗАШЛО",1,0))^2,"")</f>
        <v/>
      </c>
      <c r="AF473" s="15"/>
      <c r="AG473" s="15"/>
      <c r="AH473" s="13"/>
      <c r="AI473" s="13"/>
      <c r="AJ473" s="13"/>
      <c r="AK473" s="20" t="str">
        <f aca="false">IF(AH473="","",IF(ABS(AH473+AI473+AJ473-1)&lt;0.000001,"OK","ОШИБКА"))</f>
        <v/>
      </c>
      <c r="AL473" s="13"/>
      <c r="AM473" s="12"/>
      <c r="AN473" s="12"/>
      <c r="AO473" s="12"/>
      <c r="AP473" s="12"/>
      <c r="AQ473" s="18" t="str">
        <f aca="false">IF(A473="","",N(AQ472)+N(AA473))</f>
        <v/>
      </c>
      <c r="AR473" s="18" t="str">
        <f aca="false">IF(AQ473="","",MAX(0,MAX($AQ$8:AQ473))-AQ473)</f>
        <v/>
      </c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3"/>
      <c r="M474" s="13"/>
      <c r="N474" s="13"/>
      <c r="O474" s="14" t="str">
        <f aca="false">IF(OR(L474="",L474=0),"",(1-M474)/L474)</f>
        <v/>
      </c>
      <c r="P474" s="15"/>
      <c r="Q474" s="12"/>
      <c r="R474" s="12"/>
      <c r="S474" s="13"/>
      <c r="T474" s="16" t="str">
        <f aca="false">IF(OR(S474="",L474=""),"",L474/(1-M474)-S474)</f>
        <v/>
      </c>
      <c r="U474" s="16" t="str">
        <f aca="false">IF(OR(L474="",P474=""),"",L474*(P474-1)-N474)</f>
        <v/>
      </c>
      <c r="V474" s="13"/>
      <c r="W474" s="17"/>
      <c r="X474" s="12"/>
      <c r="Y474" s="12"/>
      <c r="Z474" s="12"/>
      <c r="AA474" s="18" t="str">
        <f aca="false">IF(K474&lt;&gt;"ВИРТУАЛЬНЫЙ ВЫБОР","",IF(Z474="✅ ЗАШЛО",W474*(P474-1),IF(Z474="❌ НЕ ЗАШЛО",-W474,IF(Z474="½ ЗАШЛО",W474*(P474-1)/2,IF(Z474="½ НЕ ЗАШЛО",-W474/2,IF(Z474="ВОЗВРАТ",0,""))))))</f>
        <v/>
      </c>
      <c r="AB474" s="18" t="str">
        <f aca="false">IF(AND(K474="ВИРТУАЛЬНЫЙ ВЫБОР",OR(Z474="✅ ЗАШЛО",Z474="❌ НЕ ЗАШЛО",Z474="½ ЗАШЛО",Z474="½ НЕ ЗАШЛО",Z474="ВОЗВРАТ")),W474,"")</f>
        <v/>
      </c>
      <c r="AC474" s="15"/>
      <c r="AD474" s="16" t="str">
        <f aca="false">IF(OR(AC474="",P474=""),"",P474/AC474-1)</f>
        <v/>
      </c>
      <c r="AE474" s="19" t="str">
        <f aca="false">IF(AND(M474=0,OR(Z474="✅ ЗАШЛО",Z474="❌ НЕ ЗАШЛО"),L474&lt;&gt;""),(L474-IF(Z474="✅ ЗАШЛО",1,0))^2,"")</f>
        <v/>
      </c>
      <c r="AF474" s="15"/>
      <c r="AG474" s="15"/>
      <c r="AH474" s="13"/>
      <c r="AI474" s="13"/>
      <c r="AJ474" s="13"/>
      <c r="AK474" s="20" t="str">
        <f aca="false">IF(AH474="","",IF(ABS(AH474+AI474+AJ474-1)&lt;0.000001,"OK","ОШИБКА"))</f>
        <v/>
      </c>
      <c r="AL474" s="13"/>
      <c r="AM474" s="12"/>
      <c r="AN474" s="12"/>
      <c r="AO474" s="12"/>
      <c r="AP474" s="12"/>
      <c r="AQ474" s="18" t="str">
        <f aca="false">IF(A474="","",N(AQ473)+N(AA474))</f>
        <v/>
      </c>
      <c r="AR474" s="18" t="str">
        <f aca="false">IF(AQ474="","",MAX(0,MAX($AQ$8:AQ474))-AQ474)</f>
        <v/>
      </c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3"/>
      <c r="M475" s="13"/>
      <c r="N475" s="13"/>
      <c r="O475" s="14" t="str">
        <f aca="false">IF(OR(L475="",L475=0),"",(1-M475)/L475)</f>
        <v/>
      </c>
      <c r="P475" s="15"/>
      <c r="Q475" s="12"/>
      <c r="R475" s="12"/>
      <c r="S475" s="13"/>
      <c r="T475" s="16" t="str">
        <f aca="false">IF(OR(S475="",L475=""),"",L475/(1-M475)-S475)</f>
        <v/>
      </c>
      <c r="U475" s="16" t="str">
        <f aca="false">IF(OR(L475="",P475=""),"",L475*(P475-1)-N475)</f>
        <v/>
      </c>
      <c r="V475" s="13"/>
      <c r="W475" s="17"/>
      <c r="X475" s="12"/>
      <c r="Y475" s="12"/>
      <c r="Z475" s="12"/>
      <c r="AA475" s="18" t="str">
        <f aca="false">IF(K475&lt;&gt;"ВИРТУАЛЬНЫЙ ВЫБОР","",IF(Z475="✅ ЗАШЛО",W475*(P475-1),IF(Z475="❌ НЕ ЗАШЛО",-W475,IF(Z475="½ ЗАШЛО",W475*(P475-1)/2,IF(Z475="½ НЕ ЗАШЛО",-W475/2,IF(Z475="ВОЗВРАТ",0,""))))))</f>
        <v/>
      </c>
      <c r="AB475" s="18" t="str">
        <f aca="false">IF(AND(K475="ВИРТУАЛЬНЫЙ ВЫБОР",OR(Z475="✅ ЗАШЛО",Z475="❌ НЕ ЗАШЛО",Z475="½ ЗАШЛО",Z475="½ НЕ ЗАШЛО",Z475="ВОЗВРАТ")),W475,"")</f>
        <v/>
      </c>
      <c r="AC475" s="15"/>
      <c r="AD475" s="16" t="str">
        <f aca="false">IF(OR(AC475="",P475=""),"",P475/AC475-1)</f>
        <v/>
      </c>
      <c r="AE475" s="19" t="str">
        <f aca="false">IF(AND(M475=0,OR(Z475="✅ ЗАШЛО",Z475="❌ НЕ ЗАШЛО"),L475&lt;&gt;""),(L475-IF(Z475="✅ ЗАШЛО",1,0))^2,"")</f>
        <v/>
      </c>
      <c r="AF475" s="15"/>
      <c r="AG475" s="15"/>
      <c r="AH475" s="13"/>
      <c r="AI475" s="13"/>
      <c r="AJ475" s="13"/>
      <c r="AK475" s="20" t="str">
        <f aca="false">IF(AH475="","",IF(ABS(AH475+AI475+AJ475-1)&lt;0.000001,"OK","ОШИБКА"))</f>
        <v/>
      </c>
      <c r="AL475" s="13"/>
      <c r="AM475" s="12"/>
      <c r="AN475" s="12"/>
      <c r="AO475" s="12"/>
      <c r="AP475" s="12"/>
      <c r="AQ475" s="18" t="str">
        <f aca="false">IF(A475="","",N(AQ474)+N(AA475))</f>
        <v/>
      </c>
      <c r="AR475" s="18" t="str">
        <f aca="false">IF(AQ475="","",MAX(0,MAX($AQ$8:AQ475))-AQ475)</f>
        <v/>
      </c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3"/>
      <c r="M476" s="13"/>
      <c r="N476" s="13"/>
      <c r="O476" s="14" t="str">
        <f aca="false">IF(OR(L476="",L476=0),"",(1-M476)/L476)</f>
        <v/>
      </c>
      <c r="P476" s="15"/>
      <c r="Q476" s="12"/>
      <c r="R476" s="12"/>
      <c r="S476" s="13"/>
      <c r="T476" s="16" t="str">
        <f aca="false">IF(OR(S476="",L476=""),"",L476/(1-M476)-S476)</f>
        <v/>
      </c>
      <c r="U476" s="16" t="str">
        <f aca="false">IF(OR(L476="",P476=""),"",L476*(P476-1)-N476)</f>
        <v/>
      </c>
      <c r="V476" s="13"/>
      <c r="W476" s="17"/>
      <c r="X476" s="12"/>
      <c r="Y476" s="12"/>
      <c r="Z476" s="12"/>
      <c r="AA476" s="18" t="str">
        <f aca="false">IF(K476&lt;&gt;"ВИРТУАЛЬНЫЙ ВЫБОР","",IF(Z476="✅ ЗАШЛО",W476*(P476-1),IF(Z476="❌ НЕ ЗАШЛО",-W476,IF(Z476="½ ЗАШЛО",W476*(P476-1)/2,IF(Z476="½ НЕ ЗАШЛО",-W476/2,IF(Z476="ВОЗВРАТ",0,""))))))</f>
        <v/>
      </c>
      <c r="AB476" s="18" t="str">
        <f aca="false">IF(AND(K476="ВИРТУАЛЬНЫЙ ВЫБОР",OR(Z476="✅ ЗАШЛО",Z476="❌ НЕ ЗАШЛО",Z476="½ ЗАШЛО",Z476="½ НЕ ЗАШЛО",Z476="ВОЗВРАТ")),W476,"")</f>
        <v/>
      </c>
      <c r="AC476" s="15"/>
      <c r="AD476" s="16" t="str">
        <f aca="false">IF(OR(AC476="",P476=""),"",P476/AC476-1)</f>
        <v/>
      </c>
      <c r="AE476" s="19" t="str">
        <f aca="false">IF(AND(M476=0,OR(Z476="✅ ЗАШЛО",Z476="❌ НЕ ЗАШЛО"),L476&lt;&gt;""),(L476-IF(Z476="✅ ЗАШЛО",1,0))^2,"")</f>
        <v/>
      </c>
      <c r="AF476" s="15"/>
      <c r="AG476" s="15"/>
      <c r="AH476" s="13"/>
      <c r="AI476" s="13"/>
      <c r="AJ476" s="13"/>
      <c r="AK476" s="20" t="str">
        <f aca="false">IF(AH476="","",IF(ABS(AH476+AI476+AJ476-1)&lt;0.000001,"OK","ОШИБКА"))</f>
        <v/>
      </c>
      <c r="AL476" s="13"/>
      <c r="AM476" s="12"/>
      <c r="AN476" s="12"/>
      <c r="AO476" s="12"/>
      <c r="AP476" s="12"/>
      <c r="AQ476" s="18" t="str">
        <f aca="false">IF(A476="","",N(AQ475)+N(AA476))</f>
        <v/>
      </c>
      <c r="AR476" s="18" t="str">
        <f aca="false">IF(AQ476="","",MAX(0,MAX($AQ$8:AQ476))-AQ476)</f>
        <v/>
      </c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3"/>
      <c r="M477" s="13"/>
      <c r="N477" s="13"/>
      <c r="O477" s="14" t="str">
        <f aca="false">IF(OR(L477="",L477=0),"",(1-M477)/L477)</f>
        <v/>
      </c>
      <c r="P477" s="15"/>
      <c r="Q477" s="12"/>
      <c r="R477" s="12"/>
      <c r="S477" s="13"/>
      <c r="T477" s="16" t="str">
        <f aca="false">IF(OR(S477="",L477=""),"",L477/(1-M477)-S477)</f>
        <v/>
      </c>
      <c r="U477" s="16" t="str">
        <f aca="false">IF(OR(L477="",P477=""),"",L477*(P477-1)-N477)</f>
        <v/>
      </c>
      <c r="V477" s="13"/>
      <c r="W477" s="17"/>
      <c r="X477" s="12"/>
      <c r="Y477" s="12"/>
      <c r="Z477" s="12"/>
      <c r="AA477" s="18" t="str">
        <f aca="false">IF(K477&lt;&gt;"ВИРТУАЛЬНЫЙ ВЫБОР","",IF(Z477="✅ ЗАШЛО",W477*(P477-1),IF(Z477="❌ НЕ ЗАШЛО",-W477,IF(Z477="½ ЗАШЛО",W477*(P477-1)/2,IF(Z477="½ НЕ ЗАШЛО",-W477/2,IF(Z477="ВОЗВРАТ",0,""))))))</f>
        <v/>
      </c>
      <c r="AB477" s="18" t="str">
        <f aca="false">IF(AND(K477="ВИРТУАЛЬНЫЙ ВЫБОР",OR(Z477="✅ ЗАШЛО",Z477="❌ НЕ ЗАШЛО",Z477="½ ЗАШЛО",Z477="½ НЕ ЗАШЛО",Z477="ВОЗВРАТ")),W477,"")</f>
        <v/>
      </c>
      <c r="AC477" s="15"/>
      <c r="AD477" s="16" t="str">
        <f aca="false">IF(OR(AC477="",P477=""),"",P477/AC477-1)</f>
        <v/>
      </c>
      <c r="AE477" s="19" t="str">
        <f aca="false">IF(AND(M477=0,OR(Z477="✅ ЗАШЛО",Z477="❌ НЕ ЗАШЛО"),L477&lt;&gt;""),(L477-IF(Z477="✅ ЗАШЛО",1,0))^2,"")</f>
        <v/>
      </c>
      <c r="AF477" s="15"/>
      <c r="AG477" s="15"/>
      <c r="AH477" s="13"/>
      <c r="AI477" s="13"/>
      <c r="AJ477" s="13"/>
      <c r="AK477" s="20" t="str">
        <f aca="false">IF(AH477="","",IF(ABS(AH477+AI477+AJ477-1)&lt;0.000001,"OK","ОШИБКА"))</f>
        <v/>
      </c>
      <c r="AL477" s="13"/>
      <c r="AM477" s="12"/>
      <c r="AN477" s="12"/>
      <c r="AO477" s="12"/>
      <c r="AP477" s="12"/>
      <c r="AQ477" s="18" t="str">
        <f aca="false">IF(A477="","",N(AQ476)+N(AA477))</f>
        <v/>
      </c>
      <c r="AR477" s="18" t="str">
        <f aca="false">IF(AQ477="","",MAX(0,MAX($AQ$8:AQ477))-AQ477)</f>
        <v/>
      </c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3"/>
      <c r="M478" s="13"/>
      <c r="N478" s="13"/>
      <c r="O478" s="14" t="str">
        <f aca="false">IF(OR(L478="",L478=0),"",(1-M478)/L478)</f>
        <v/>
      </c>
      <c r="P478" s="15"/>
      <c r="Q478" s="12"/>
      <c r="R478" s="12"/>
      <c r="S478" s="13"/>
      <c r="T478" s="16" t="str">
        <f aca="false">IF(OR(S478="",L478=""),"",L478/(1-M478)-S478)</f>
        <v/>
      </c>
      <c r="U478" s="16" t="str">
        <f aca="false">IF(OR(L478="",P478=""),"",L478*(P478-1)-N478)</f>
        <v/>
      </c>
      <c r="V478" s="13"/>
      <c r="W478" s="17"/>
      <c r="X478" s="12"/>
      <c r="Y478" s="12"/>
      <c r="Z478" s="12"/>
      <c r="AA478" s="18" t="str">
        <f aca="false">IF(K478&lt;&gt;"ВИРТУАЛЬНЫЙ ВЫБОР","",IF(Z478="✅ ЗАШЛО",W478*(P478-1),IF(Z478="❌ НЕ ЗАШЛО",-W478,IF(Z478="½ ЗАШЛО",W478*(P478-1)/2,IF(Z478="½ НЕ ЗАШЛО",-W478/2,IF(Z478="ВОЗВРАТ",0,""))))))</f>
        <v/>
      </c>
      <c r="AB478" s="18" t="str">
        <f aca="false">IF(AND(K478="ВИРТУАЛЬНЫЙ ВЫБОР",OR(Z478="✅ ЗАШЛО",Z478="❌ НЕ ЗАШЛО",Z478="½ ЗАШЛО",Z478="½ НЕ ЗАШЛО",Z478="ВОЗВРАТ")),W478,"")</f>
        <v/>
      </c>
      <c r="AC478" s="15"/>
      <c r="AD478" s="16" t="str">
        <f aca="false">IF(OR(AC478="",P478=""),"",P478/AC478-1)</f>
        <v/>
      </c>
      <c r="AE478" s="19" t="str">
        <f aca="false">IF(AND(M478=0,OR(Z478="✅ ЗАШЛО",Z478="❌ НЕ ЗАШЛО"),L478&lt;&gt;""),(L478-IF(Z478="✅ ЗАШЛО",1,0))^2,"")</f>
        <v/>
      </c>
      <c r="AF478" s="15"/>
      <c r="AG478" s="15"/>
      <c r="AH478" s="13"/>
      <c r="AI478" s="13"/>
      <c r="AJ478" s="13"/>
      <c r="AK478" s="20" t="str">
        <f aca="false">IF(AH478="","",IF(ABS(AH478+AI478+AJ478-1)&lt;0.000001,"OK","ОШИБКА"))</f>
        <v/>
      </c>
      <c r="AL478" s="13"/>
      <c r="AM478" s="12"/>
      <c r="AN478" s="12"/>
      <c r="AO478" s="12"/>
      <c r="AP478" s="12"/>
      <c r="AQ478" s="18" t="str">
        <f aca="false">IF(A478="","",N(AQ477)+N(AA478))</f>
        <v/>
      </c>
      <c r="AR478" s="18" t="str">
        <f aca="false">IF(AQ478="","",MAX(0,MAX($AQ$8:AQ478))-AQ478)</f>
        <v/>
      </c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3"/>
      <c r="M479" s="13"/>
      <c r="N479" s="13"/>
      <c r="O479" s="14" t="str">
        <f aca="false">IF(OR(L479="",L479=0),"",(1-M479)/L479)</f>
        <v/>
      </c>
      <c r="P479" s="15"/>
      <c r="Q479" s="12"/>
      <c r="R479" s="12"/>
      <c r="S479" s="13"/>
      <c r="T479" s="16" t="str">
        <f aca="false">IF(OR(S479="",L479=""),"",L479/(1-M479)-S479)</f>
        <v/>
      </c>
      <c r="U479" s="16" t="str">
        <f aca="false">IF(OR(L479="",P479=""),"",L479*(P479-1)-N479)</f>
        <v/>
      </c>
      <c r="V479" s="13"/>
      <c r="W479" s="17"/>
      <c r="X479" s="12"/>
      <c r="Y479" s="12"/>
      <c r="Z479" s="12"/>
      <c r="AA479" s="18" t="str">
        <f aca="false">IF(K479&lt;&gt;"ВИРТУАЛЬНЫЙ ВЫБОР","",IF(Z479="✅ ЗАШЛО",W479*(P479-1),IF(Z479="❌ НЕ ЗАШЛО",-W479,IF(Z479="½ ЗАШЛО",W479*(P479-1)/2,IF(Z479="½ НЕ ЗАШЛО",-W479/2,IF(Z479="ВОЗВРАТ",0,""))))))</f>
        <v/>
      </c>
      <c r="AB479" s="18" t="str">
        <f aca="false">IF(AND(K479="ВИРТУАЛЬНЫЙ ВЫБОР",OR(Z479="✅ ЗАШЛО",Z479="❌ НЕ ЗАШЛО",Z479="½ ЗАШЛО",Z479="½ НЕ ЗАШЛО",Z479="ВОЗВРАТ")),W479,"")</f>
        <v/>
      </c>
      <c r="AC479" s="15"/>
      <c r="AD479" s="16" t="str">
        <f aca="false">IF(OR(AC479="",P479=""),"",P479/AC479-1)</f>
        <v/>
      </c>
      <c r="AE479" s="19" t="str">
        <f aca="false">IF(AND(M479=0,OR(Z479="✅ ЗАШЛО",Z479="❌ НЕ ЗАШЛО"),L479&lt;&gt;""),(L479-IF(Z479="✅ ЗАШЛО",1,0))^2,"")</f>
        <v/>
      </c>
      <c r="AF479" s="15"/>
      <c r="AG479" s="15"/>
      <c r="AH479" s="13"/>
      <c r="AI479" s="13"/>
      <c r="AJ479" s="13"/>
      <c r="AK479" s="20" t="str">
        <f aca="false">IF(AH479="","",IF(ABS(AH479+AI479+AJ479-1)&lt;0.000001,"OK","ОШИБКА"))</f>
        <v/>
      </c>
      <c r="AL479" s="13"/>
      <c r="AM479" s="12"/>
      <c r="AN479" s="12"/>
      <c r="AO479" s="12"/>
      <c r="AP479" s="12"/>
      <c r="AQ479" s="18" t="str">
        <f aca="false">IF(A479="","",N(AQ478)+N(AA479))</f>
        <v/>
      </c>
      <c r="AR479" s="18" t="str">
        <f aca="false">IF(AQ479="","",MAX(0,MAX($AQ$8:AQ479))-AQ479)</f>
        <v/>
      </c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3"/>
      <c r="M480" s="13"/>
      <c r="N480" s="13"/>
      <c r="O480" s="14" t="str">
        <f aca="false">IF(OR(L480="",L480=0),"",(1-M480)/L480)</f>
        <v/>
      </c>
      <c r="P480" s="15"/>
      <c r="Q480" s="12"/>
      <c r="R480" s="12"/>
      <c r="S480" s="13"/>
      <c r="T480" s="16" t="str">
        <f aca="false">IF(OR(S480="",L480=""),"",L480/(1-M480)-S480)</f>
        <v/>
      </c>
      <c r="U480" s="16" t="str">
        <f aca="false">IF(OR(L480="",P480=""),"",L480*(P480-1)-N480)</f>
        <v/>
      </c>
      <c r="V480" s="13"/>
      <c r="W480" s="17"/>
      <c r="X480" s="12"/>
      <c r="Y480" s="12"/>
      <c r="Z480" s="12"/>
      <c r="AA480" s="18" t="str">
        <f aca="false">IF(K480&lt;&gt;"ВИРТУАЛЬНЫЙ ВЫБОР","",IF(Z480="✅ ЗАШЛО",W480*(P480-1),IF(Z480="❌ НЕ ЗАШЛО",-W480,IF(Z480="½ ЗАШЛО",W480*(P480-1)/2,IF(Z480="½ НЕ ЗАШЛО",-W480/2,IF(Z480="ВОЗВРАТ",0,""))))))</f>
        <v/>
      </c>
      <c r="AB480" s="18" t="str">
        <f aca="false">IF(AND(K480="ВИРТУАЛЬНЫЙ ВЫБОР",OR(Z480="✅ ЗАШЛО",Z480="❌ НЕ ЗАШЛО",Z480="½ ЗАШЛО",Z480="½ НЕ ЗАШЛО",Z480="ВОЗВРАТ")),W480,"")</f>
        <v/>
      </c>
      <c r="AC480" s="15"/>
      <c r="AD480" s="16" t="str">
        <f aca="false">IF(OR(AC480="",P480=""),"",P480/AC480-1)</f>
        <v/>
      </c>
      <c r="AE480" s="19" t="str">
        <f aca="false">IF(AND(M480=0,OR(Z480="✅ ЗАШЛО",Z480="❌ НЕ ЗАШЛО"),L480&lt;&gt;""),(L480-IF(Z480="✅ ЗАШЛО",1,0))^2,"")</f>
        <v/>
      </c>
      <c r="AF480" s="15"/>
      <c r="AG480" s="15"/>
      <c r="AH480" s="13"/>
      <c r="AI480" s="13"/>
      <c r="AJ480" s="13"/>
      <c r="AK480" s="20" t="str">
        <f aca="false">IF(AH480="","",IF(ABS(AH480+AI480+AJ480-1)&lt;0.000001,"OK","ОШИБКА"))</f>
        <v/>
      </c>
      <c r="AL480" s="13"/>
      <c r="AM480" s="12"/>
      <c r="AN480" s="12"/>
      <c r="AO480" s="12"/>
      <c r="AP480" s="12"/>
      <c r="AQ480" s="18" t="str">
        <f aca="false">IF(A480="","",N(AQ479)+N(AA480))</f>
        <v/>
      </c>
      <c r="AR480" s="18" t="str">
        <f aca="false">IF(AQ480="","",MAX(0,MAX($AQ$8:AQ480))-AQ480)</f>
        <v/>
      </c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3"/>
      <c r="M481" s="13"/>
      <c r="N481" s="13"/>
      <c r="O481" s="14" t="str">
        <f aca="false">IF(OR(L481="",L481=0),"",(1-M481)/L481)</f>
        <v/>
      </c>
      <c r="P481" s="15"/>
      <c r="Q481" s="12"/>
      <c r="R481" s="12"/>
      <c r="S481" s="13"/>
      <c r="T481" s="16" t="str">
        <f aca="false">IF(OR(S481="",L481=""),"",L481/(1-M481)-S481)</f>
        <v/>
      </c>
      <c r="U481" s="16" t="str">
        <f aca="false">IF(OR(L481="",P481=""),"",L481*(P481-1)-N481)</f>
        <v/>
      </c>
      <c r="V481" s="13"/>
      <c r="W481" s="17"/>
      <c r="X481" s="12"/>
      <c r="Y481" s="12"/>
      <c r="Z481" s="12"/>
      <c r="AA481" s="18" t="str">
        <f aca="false">IF(K481&lt;&gt;"ВИРТУАЛЬНЫЙ ВЫБОР","",IF(Z481="✅ ЗАШЛО",W481*(P481-1),IF(Z481="❌ НЕ ЗАШЛО",-W481,IF(Z481="½ ЗАШЛО",W481*(P481-1)/2,IF(Z481="½ НЕ ЗАШЛО",-W481/2,IF(Z481="ВОЗВРАТ",0,""))))))</f>
        <v/>
      </c>
      <c r="AB481" s="18" t="str">
        <f aca="false">IF(AND(K481="ВИРТУАЛЬНЫЙ ВЫБОР",OR(Z481="✅ ЗАШЛО",Z481="❌ НЕ ЗАШЛО",Z481="½ ЗАШЛО",Z481="½ НЕ ЗАШЛО",Z481="ВОЗВРАТ")),W481,"")</f>
        <v/>
      </c>
      <c r="AC481" s="15"/>
      <c r="AD481" s="16" t="str">
        <f aca="false">IF(OR(AC481="",P481=""),"",P481/AC481-1)</f>
        <v/>
      </c>
      <c r="AE481" s="19" t="str">
        <f aca="false">IF(AND(M481=0,OR(Z481="✅ ЗАШЛО",Z481="❌ НЕ ЗАШЛО"),L481&lt;&gt;""),(L481-IF(Z481="✅ ЗАШЛО",1,0))^2,"")</f>
        <v/>
      </c>
      <c r="AF481" s="15"/>
      <c r="AG481" s="15"/>
      <c r="AH481" s="13"/>
      <c r="AI481" s="13"/>
      <c r="AJ481" s="13"/>
      <c r="AK481" s="20" t="str">
        <f aca="false">IF(AH481="","",IF(ABS(AH481+AI481+AJ481-1)&lt;0.000001,"OK","ОШИБКА"))</f>
        <v/>
      </c>
      <c r="AL481" s="13"/>
      <c r="AM481" s="12"/>
      <c r="AN481" s="12"/>
      <c r="AO481" s="12"/>
      <c r="AP481" s="12"/>
      <c r="AQ481" s="18" t="str">
        <f aca="false">IF(A481="","",N(AQ480)+N(AA481))</f>
        <v/>
      </c>
      <c r="AR481" s="18" t="str">
        <f aca="false">IF(AQ481="","",MAX(0,MAX($AQ$8:AQ481))-AQ481)</f>
        <v/>
      </c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3"/>
      <c r="M482" s="13"/>
      <c r="N482" s="13"/>
      <c r="O482" s="14" t="str">
        <f aca="false">IF(OR(L482="",L482=0),"",(1-M482)/L482)</f>
        <v/>
      </c>
      <c r="P482" s="15"/>
      <c r="Q482" s="12"/>
      <c r="R482" s="12"/>
      <c r="S482" s="13"/>
      <c r="T482" s="16" t="str">
        <f aca="false">IF(OR(S482="",L482=""),"",L482/(1-M482)-S482)</f>
        <v/>
      </c>
      <c r="U482" s="16" t="str">
        <f aca="false">IF(OR(L482="",P482=""),"",L482*(P482-1)-N482)</f>
        <v/>
      </c>
      <c r="V482" s="13"/>
      <c r="W482" s="17"/>
      <c r="X482" s="12"/>
      <c r="Y482" s="12"/>
      <c r="Z482" s="12"/>
      <c r="AA482" s="18" t="str">
        <f aca="false">IF(K482&lt;&gt;"ВИРТУАЛЬНЫЙ ВЫБОР","",IF(Z482="✅ ЗАШЛО",W482*(P482-1),IF(Z482="❌ НЕ ЗАШЛО",-W482,IF(Z482="½ ЗАШЛО",W482*(P482-1)/2,IF(Z482="½ НЕ ЗАШЛО",-W482/2,IF(Z482="ВОЗВРАТ",0,""))))))</f>
        <v/>
      </c>
      <c r="AB482" s="18" t="str">
        <f aca="false">IF(AND(K482="ВИРТУАЛЬНЫЙ ВЫБОР",OR(Z482="✅ ЗАШЛО",Z482="❌ НЕ ЗАШЛО",Z482="½ ЗАШЛО",Z482="½ НЕ ЗАШЛО",Z482="ВОЗВРАТ")),W482,"")</f>
        <v/>
      </c>
      <c r="AC482" s="15"/>
      <c r="AD482" s="16" t="str">
        <f aca="false">IF(OR(AC482="",P482=""),"",P482/AC482-1)</f>
        <v/>
      </c>
      <c r="AE482" s="19" t="str">
        <f aca="false">IF(AND(M482=0,OR(Z482="✅ ЗАШЛО",Z482="❌ НЕ ЗАШЛО"),L482&lt;&gt;""),(L482-IF(Z482="✅ ЗАШЛО",1,0))^2,"")</f>
        <v/>
      </c>
      <c r="AF482" s="15"/>
      <c r="AG482" s="15"/>
      <c r="AH482" s="13"/>
      <c r="AI482" s="13"/>
      <c r="AJ482" s="13"/>
      <c r="AK482" s="20" t="str">
        <f aca="false">IF(AH482="","",IF(ABS(AH482+AI482+AJ482-1)&lt;0.000001,"OK","ОШИБКА"))</f>
        <v/>
      </c>
      <c r="AL482" s="13"/>
      <c r="AM482" s="12"/>
      <c r="AN482" s="12"/>
      <c r="AO482" s="12"/>
      <c r="AP482" s="12"/>
      <c r="AQ482" s="18" t="str">
        <f aca="false">IF(A482="","",N(AQ481)+N(AA482))</f>
        <v/>
      </c>
      <c r="AR482" s="18" t="str">
        <f aca="false">IF(AQ482="","",MAX(0,MAX($AQ$8:AQ482))-AQ482)</f>
        <v/>
      </c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3"/>
      <c r="M483" s="13"/>
      <c r="N483" s="13"/>
      <c r="O483" s="14" t="str">
        <f aca="false">IF(OR(L483="",L483=0),"",(1-M483)/L483)</f>
        <v/>
      </c>
      <c r="P483" s="15"/>
      <c r="Q483" s="12"/>
      <c r="R483" s="12"/>
      <c r="S483" s="13"/>
      <c r="T483" s="16" t="str">
        <f aca="false">IF(OR(S483="",L483=""),"",L483/(1-M483)-S483)</f>
        <v/>
      </c>
      <c r="U483" s="16" t="str">
        <f aca="false">IF(OR(L483="",P483=""),"",L483*(P483-1)-N483)</f>
        <v/>
      </c>
      <c r="V483" s="13"/>
      <c r="W483" s="17"/>
      <c r="X483" s="12"/>
      <c r="Y483" s="12"/>
      <c r="Z483" s="12"/>
      <c r="AA483" s="18" t="str">
        <f aca="false">IF(K483&lt;&gt;"ВИРТУАЛЬНЫЙ ВЫБОР","",IF(Z483="✅ ЗАШЛО",W483*(P483-1),IF(Z483="❌ НЕ ЗАШЛО",-W483,IF(Z483="½ ЗАШЛО",W483*(P483-1)/2,IF(Z483="½ НЕ ЗАШЛО",-W483/2,IF(Z483="ВОЗВРАТ",0,""))))))</f>
        <v/>
      </c>
      <c r="AB483" s="18" t="str">
        <f aca="false">IF(AND(K483="ВИРТУАЛЬНЫЙ ВЫБОР",OR(Z483="✅ ЗАШЛО",Z483="❌ НЕ ЗАШЛО",Z483="½ ЗАШЛО",Z483="½ НЕ ЗАШЛО",Z483="ВОЗВРАТ")),W483,"")</f>
        <v/>
      </c>
      <c r="AC483" s="15"/>
      <c r="AD483" s="16" t="str">
        <f aca="false">IF(OR(AC483="",P483=""),"",P483/AC483-1)</f>
        <v/>
      </c>
      <c r="AE483" s="19" t="str">
        <f aca="false">IF(AND(M483=0,OR(Z483="✅ ЗАШЛО",Z483="❌ НЕ ЗАШЛО"),L483&lt;&gt;""),(L483-IF(Z483="✅ ЗАШЛО",1,0))^2,"")</f>
        <v/>
      </c>
      <c r="AF483" s="15"/>
      <c r="AG483" s="15"/>
      <c r="AH483" s="13"/>
      <c r="AI483" s="13"/>
      <c r="AJ483" s="13"/>
      <c r="AK483" s="20" t="str">
        <f aca="false">IF(AH483="","",IF(ABS(AH483+AI483+AJ483-1)&lt;0.000001,"OK","ОШИБКА"))</f>
        <v/>
      </c>
      <c r="AL483" s="13"/>
      <c r="AM483" s="12"/>
      <c r="AN483" s="12"/>
      <c r="AO483" s="12"/>
      <c r="AP483" s="12"/>
      <c r="AQ483" s="18" t="str">
        <f aca="false">IF(A483="","",N(AQ482)+N(AA483))</f>
        <v/>
      </c>
      <c r="AR483" s="18" t="str">
        <f aca="false">IF(AQ483="","",MAX(0,MAX($AQ$8:AQ483))-AQ483)</f>
        <v/>
      </c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3"/>
      <c r="M484" s="13"/>
      <c r="N484" s="13"/>
      <c r="O484" s="14" t="str">
        <f aca="false">IF(OR(L484="",L484=0),"",(1-M484)/L484)</f>
        <v/>
      </c>
      <c r="P484" s="15"/>
      <c r="Q484" s="12"/>
      <c r="R484" s="12"/>
      <c r="S484" s="13"/>
      <c r="T484" s="16" t="str">
        <f aca="false">IF(OR(S484="",L484=""),"",L484/(1-M484)-S484)</f>
        <v/>
      </c>
      <c r="U484" s="16" t="str">
        <f aca="false">IF(OR(L484="",P484=""),"",L484*(P484-1)-N484)</f>
        <v/>
      </c>
      <c r="V484" s="13"/>
      <c r="W484" s="17"/>
      <c r="X484" s="12"/>
      <c r="Y484" s="12"/>
      <c r="Z484" s="12"/>
      <c r="AA484" s="18" t="str">
        <f aca="false">IF(K484&lt;&gt;"ВИРТУАЛЬНЫЙ ВЫБОР","",IF(Z484="✅ ЗАШЛО",W484*(P484-1),IF(Z484="❌ НЕ ЗАШЛО",-W484,IF(Z484="½ ЗАШЛО",W484*(P484-1)/2,IF(Z484="½ НЕ ЗАШЛО",-W484/2,IF(Z484="ВОЗВРАТ",0,""))))))</f>
        <v/>
      </c>
      <c r="AB484" s="18" t="str">
        <f aca="false">IF(AND(K484="ВИРТУАЛЬНЫЙ ВЫБОР",OR(Z484="✅ ЗАШЛО",Z484="❌ НЕ ЗАШЛО",Z484="½ ЗАШЛО",Z484="½ НЕ ЗАШЛО",Z484="ВОЗВРАТ")),W484,"")</f>
        <v/>
      </c>
      <c r="AC484" s="15"/>
      <c r="AD484" s="16" t="str">
        <f aca="false">IF(OR(AC484="",P484=""),"",P484/AC484-1)</f>
        <v/>
      </c>
      <c r="AE484" s="19" t="str">
        <f aca="false">IF(AND(M484=0,OR(Z484="✅ ЗАШЛО",Z484="❌ НЕ ЗАШЛО"),L484&lt;&gt;""),(L484-IF(Z484="✅ ЗАШЛО",1,0))^2,"")</f>
        <v/>
      </c>
      <c r="AF484" s="15"/>
      <c r="AG484" s="15"/>
      <c r="AH484" s="13"/>
      <c r="AI484" s="13"/>
      <c r="AJ484" s="13"/>
      <c r="AK484" s="20" t="str">
        <f aca="false">IF(AH484="","",IF(ABS(AH484+AI484+AJ484-1)&lt;0.000001,"OK","ОШИБКА"))</f>
        <v/>
      </c>
      <c r="AL484" s="13"/>
      <c r="AM484" s="12"/>
      <c r="AN484" s="12"/>
      <c r="AO484" s="12"/>
      <c r="AP484" s="12"/>
      <c r="AQ484" s="18" t="str">
        <f aca="false">IF(A484="","",N(AQ483)+N(AA484))</f>
        <v/>
      </c>
      <c r="AR484" s="18" t="str">
        <f aca="false">IF(AQ484="","",MAX(0,MAX($AQ$8:AQ484))-AQ484)</f>
        <v/>
      </c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3"/>
      <c r="M485" s="13"/>
      <c r="N485" s="13"/>
      <c r="O485" s="14" t="str">
        <f aca="false">IF(OR(L485="",L485=0),"",(1-M485)/L485)</f>
        <v/>
      </c>
      <c r="P485" s="15"/>
      <c r="Q485" s="12"/>
      <c r="R485" s="12"/>
      <c r="S485" s="13"/>
      <c r="T485" s="16" t="str">
        <f aca="false">IF(OR(S485="",L485=""),"",L485/(1-M485)-S485)</f>
        <v/>
      </c>
      <c r="U485" s="16" t="str">
        <f aca="false">IF(OR(L485="",P485=""),"",L485*(P485-1)-N485)</f>
        <v/>
      </c>
      <c r="V485" s="13"/>
      <c r="W485" s="17"/>
      <c r="X485" s="12"/>
      <c r="Y485" s="12"/>
      <c r="Z485" s="12"/>
      <c r="AA485" s="18" t="str">
        <f aca="false">IF(K485&lt;&gt;"ВИРТУАЛЬНЫЙ ВЫБОР","",IF(Z485="✅ ЗАШЛО",W485*(P485-1),IF(Z485="❌ НЕ ЗАШЛО",-W485,IF(Z485="½ ЗАШЛО",W485*(P485-1)/2,IF(Z485="½ НЕ ЗАШЛО",-W485/2,IF(Z485="ВОЗВРАТ",0,""))))))</f>
        <v/>
      </c>
      <c r="AB485" s="18" t="str">
        <f aca="false">IF(AND(K485="ВИРТУАЛЬНЫЙ ВЫБОР",OR(Z485="✅ ЗАШЛО",Z485="❌ НЕ ЗАШЛО",Z485="½ ЗАШЛО",Z485="½ НЕ ЗАШЛО",Z485="ВОЗВРАТ")),W485,"")</f>
        <v/>
      </c>
      <c r="AC485" s="15"/>
      <c r="AD485" s="16" t="str">
        <f aca="false">IF(OR(AC485="",P485=""),"",P485/AC485-1)</f>
        <v/>
      </c>
      <c r="AE485" s="19" t="str">
        <f aca="false">IF(AND(M485=0,OR(Z485="✅ ЗАШЛО",Z485="❌ НЕ ЗАШЛО"),L485&lt;&gt;""),(L485-IF(Z485="✅ ЗАШЛО",1,0))^2,"")</f>
        <v/>
      </c>
      <c r="AF485" s="15"/>
      <c r="AG485" s="15"/>
      <c r="AH485" s="13"/>
      <c r="AI485" s="13"/>
      <c r="AJ485" s="13"/>
      <c r="AK485" s="20" t="str">
        <f aca="false">IF(AH485="","",IF(ABS(AH485+AI485+AJ485-1)&lt;0.000001,"OK","ОШИБКА"))</f>
        <v/>
      </c>
      <c r="AL485" s="13"/>
      <c r="AM485" s="12"/>
      <c r="AN485" s="12"/>
      <c r="AO485" s="12"/>
      <c r="AP485" s="12"/>
      <c r="AQ485" s="18" t="str">
        <f aca="false">IF(A485="","",N(AQ484)+N(AA485))</f>
        <v/>
      </c>
      <c r="AR485" s="18" t="str">
        <f aca="false">IF(AQ485="","",MAX(0,MAX($AQ$8:AQ485))-AQ485)</f>
        <v/>
      </c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3"/>
      <c r="M486" s="13"/>
      <c r="N486" s="13"/>
      <c r="O486" s="14" t="str">
        <f aca="false">IF(OR(L486="",L486=0),"",(1-M486)/L486)</f>
        <v/>
      </c>
      <c r="P486" s="15"/>
      <c r="Q486" s="12"/>
      <c r="R486" s="12"/>
      <c r="S486" s="13"/>
      <c r="T486" s="16" t="str">
        <f aca="false">IF(OR(S486="",L486=""),"",L486/(1-M486)-S486)</f>
        <v/>
      </c>
      <c r="U486" s="16" t="str">
        <f aca="false">IF(OR(L486="",P486=""),"",L486*(P486-1)-N486)</f>
        <v/>
      </c>
      <c r="V486" s="13"/>
      <c r="W486" s="17"/>
      <c r="X486" s="12"/>
      <c r="Y486" s="12"/>
      <c r="Z486" s="12"/>
      <c r="AA486" s="18" t="str">
        <f aca="false">IF(K486&lt;&gt;"ВИРТУАЛЬНЫЙ ВЫБОР","",IF(Z486="✅ ЗАШЛО",W486*(P486-1),IF(Z486="❌ НЕ ЗАШЛО",-W486,IF(Z486="½ ЗАШЛО",W486*(P486-1)/2,IF(Z486="½ НЕ ЗАШЛО",-W486/2,IF(Z486="ВОЗВРАТ",0,""))))))</f>
        <v/>
      </c>
      <c r="AB486" s="18" t="str">
        <f aca="false">IF(AND(K486="ВИРТУАЛЬНЫЙ ВЫБОР",OR(Z486="✅ ЗАШЛО",Z486="❌ НЕ ЗАШЛО",Z486="½ ЗАШЛО",Z486="½ НЕ ЗАШЛО",Z486="ВОЗВРАТ")),W486,"")</f>
        <v/>
      </c>
      <c r="AC486" s="15"/>
      <c r="AD486" s="16" t="str">
        <f aca="false">IF(OR(AC486="",P486=""),"",P486/AC486-1)</f>
        <v/>
      </c>
      <c r="AE486" s="19" t="str">
        <f aca="false">IF(AND(M486=0,OR(Z486="✅ ЗАШЛО",Z486="❌ НЕ ЗАШЛО"),L486&lt;&gt;""),(L486-IF(Z486="✅ ЗАШЛО",1,0))^2,"")</f>
        <v/>
      </c>
      <c r="AF486" s="15"/>
      <c r="AG486" s="15"/>
      <c r="AH486" s="13"/>
      <c r="AI486" s="13"/>
      <c r="AJ486" s="13"/>
      <c r="AK486" s="20" t="str">
        <f aca="false">IF(AH486="","",IF(ABS(AH486+AI486+AJ486-1)&lt;0.000001,"OK","ОШИБКА"))</f>
        <v/>
      </c>
      <c r="AL486" s="13"/>
      <c r="AM486" s="12"/>
      <c r="AN486" s="12"/>
      <c r="AO486" s="12"/>
      <c r="AP486" s="12"/>
      <c r="AQ486" s="18" t="str">
        <f aca="false">IF(A486="","",N(AQ485)+N(AA486))</f>
        <v/>
      </c>
      <c r="AR486" s="18" t="str">
        <f aca="false">IF(AQ486="","",MAX(0,MAX($AQ$8:AQ486))-AQ486)</f>
        <v/>
      </c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3"/>
      <c r="M487" s="13"/>
      <c r="N487" s="13"/>
      <c r="O487" s="14" t="str">
        <f aca="false">IF(OR(L487="",L487=0),"",(1-M487)/L487)</f>
        <v/>
      </c>
      <c r="P487" s="15"/>
      <c r="Q487" s="12"/>
      <c r="R487" s="12"/>
      <c r="S487" s="13"/>
      <c r="T487" s="16" t="str">
        <f aca="false">IF(OR(S487="",L487=""),"",L487/(1-M487)-S487)</f>
        <v/>
      </c>
      <c r="U487" s="16" t="str">
        <f aca="false">IF(OR(L487="",P487=""),"",L487*(P487-1)-N487)</f>
        <v/>
      </c>
      <c r="V487" s="13"/>
      <c r="W487" s="17"/>
      <c r="X487" s="12"/>
      <c r="Y487" s="12"/>
      <c r="Z487" s="12"/>
      <c r="AA487" s="18" t="str">
        <f aca="false">IF(K487&lt;&gt;"ВИРТУАЛЬНЫЙ ВЫБОР","",IF(Z487="✅ ЗАШЛО",W487*(P487-1),IF(Z487="❌ НЕ ЗАШЛО",-W487,IF(Z487="½ ЗАШЛО",W487*(P487-1)/2,IF(Z487="½ НЕ ЗАШЛО",-W487/2,IF(Z487="ВОЗВРАТ",0,""))))))</f>
        <v/>
      </c>
      <c r="AB487" s="18" t="str">
        <f aca="false">IF(AND(K487="ВИРТУАЛЬНЫЙ ВЫБОР",OR(Z487="✅ ЗАШЛО",Z487="❌ НЕ ЗАШЛО",Z487="½ ЗАШЛО",Z487="½ НЕ ЗАШЛО",Z487="ВОЗВРАТ")),W487,"")</f>
        <v/>
      </c>
      <c r="AC487" s="15"/>
      <c r="AD487" s="16" t="str">
        <f aca="false">IF(OR(AC487="",P487=""),"",P487/AC487-1)</f>
        <v/>
      </c>
      <c r="AE487" s="19" t="str">
        <f aca="false">IF(AND(M487=0,OR(Z487="✅ ЗАШЛО",Z487="❌ НЕ ЗАШЛО"),L487&lt;&gt;""),(L487-IF(Z487="✅ ЗАШЛО",1,0))^2,"")</f>
        <v/>
      </c>
      <c r="AF487" s="15"/>
      <c r="AG487" s="15"/>
      <c r="AH487" s="13"/>
      <c r="AI487" s="13"/>
      <c r="AJ487" s="13"/>
      <c r="AK487" s="20" t="str">
        <f aca="false">IF(AH487="","",IF(ABS(AH487+AI487+AJ487-1)&lt;0.000001,"OK","ОШИБКА"))</f>
        <v/>
      </c>
      <c r="AL487" s="13"/>
      <c r="AM487" s="12"/>
      <c r="AN487" s="12"/>
      <c r="AO487" s="12"/>
      <c r="AP487" s="12"/>
      <c r="AQ487" s="18" t="str">
        <f aca="false">IF(A487="","",N(AQ486)+N(AA487))</f>
        <v/>
      </c>
      <c r="AR487" s="18" t="str">
        <f aca="false">IF(AQ487="","",MAX(0,MAX($AQ$8:AQ487))-AQ487)</f>
        <v/>
      </c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3"/>
      <c r="M488" s="13"/>
      <c r="N488" s="13"/>
      <c r="O488" s="14" t="str">
        <f aca="false">IF(OR(L488="",L488=0),"",(1-M488)/L488)</f>
        <v/>
      </c>
      <c r="P488" s="15"/>
      <c r="Q488" s="12"/>
      <c r="R488" s="12"/>
      <c r="S488" s="13"/>
      <c r="T488" s="16" t="str">
        <f aca="false">IF(OR(S488="",L488=""),"",L488/(1-M488)-S488)</f>
        <v/>
      </c>
      <c r="U488" s="16" t="str">
        <f aca="false">IF(OR(L488="",P488=""),"",L488*(P488-1)-N488)</f>
        <v/>
      </c>
      <c r="V488" s="13"/>
      <c r="W488" s="17"/>
      <c r="X488" s="12"/>
      <c r="Y488" s="12"/>
      <c r="Z488" s="12"/>
      <c r="AA488" s="18" t="str">
        <f aca="false">IF(K488&lt;&gt;"ВИРТУАЛЬНЫЙ ВЫБОР","",IF(Z488="✅ ЗАШЛО",W488*(P488-1),IF(Z488="❌ НЕ ЗАШЛО",-W488,IF(Z488="½ ЗАШЛО",W488*(P488-1)/2,IF(Z488="½ НЕ ЗАШЛО",-W488/2,IF(Z488="ВОЗВРАТ",0,""))))))</f>
        <v/>
      </c>
      <c r="AB488" s="18" t="str">
        <f aca="false">IF(AND(K488="ВИРТУАЛЬНЫЙ ВЫБОР",OR(Z488="✅ ЗАШЛО",Z488="❌ НЕ ЗАШЛО",Z488="½ ЗАШЛО",Z488="½ НЕ ЗАШЛО",Z488="ВОЗВРАТ")),W488,"")</f>
        <v/>
      </c>
      <c r="AC488" s="15"/>
      <c r="AD488" s="16" t="str">
        <f aca="false">IF(OR(AC488="",P488=""),"",P488/AC488-1)</f>
        <v/>
      </c>
      <c r="AE488" s="19" t="str">
        <f aca="false">IF(AND(M488=0,OR(Z488="✅ ЗАШЛО",Z488="❌ НЕ ЗАШЛО"),L488&lt;&gt;""),(L488-IF(Z488="✅ ЗАШЛО",1,0))^2,"")</f>
        <v/>
      </c>
      <c r="AF488" s="15"/>
      <c r="AG488" s="15"/>
      <c r="AH488" s="13"/>
      <c r="AI488" s="13"/>
      <c r="AJ488" s="13"/>
      <c r="AK488" s="20" t="str">
        <f aca="false">IF(AH488="","",IF(ABS(AH488+AI488+AJ488-1)&lt;0.000001,"OK","ОШИБКА"))</f>
        <v/>
      </c>
      <c r="AL488" s="13"/>
      <c r="AM488" s="12"/>
      <c r="AN488" s="12"/>
      <c r="AO488" s="12"/>
      <c r="AP488" s="12"/>
      <c r="AQ488" s="18" t="str">
        <f aca="false">IF(A488="","",N(AQ487)+N(AA488))</f>
        <v/>
      </c>
      <c r="AR488" s="18" t="str">
        <f aca="false">IF(AQ488="","",MAX(0,MAX($AQ$8:AQ488))-AQ488)</f>
        <v/>
      </c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3"/>
      <c r="M489" s="13"/>
      <c r="N489" s="13"/>
      <c r="O489" s="14" t="str">
        <f aca="false">IF(OR(L489="",L489=0),"",(1-M489)/L489)</f>
        <v/>
      </c>
      <c r="P489" s="15"/>
      <c r="Q489" s="12"/>
      <c r="R489" s="12"/>
      <c r="S489" s="13"/>
      <c r="T489" s="16" t="str">
        <f aca="false">IF(OR(S489="",L489=""),"",L489/(1-M489)-S489)</f>
        <v/>
      </c>
      <c r="U489" s="16" t="str">
        <f aca="false">IF(OR(L489="",P489=""),"",L489*(P489-1)-N489)</f>
        <v/>
      </c>
      <c r="V489" s="13"/>
      <c r="W489" s="17"/>
      <c r="X489" s="12"/>
      <c r="Y489" s="12"/>
      <c r="Z489" s="12"/>
      <c r="AA489" s="18" t="str">
        <f aca="false">IF(K489&lt;&gt;"ВИРТУАЛЬНЫЙ ВЫБОР","",IF(Z489="✅ ЗАШЛО",W489*(P489-1),IF(Z489="❌ НЕ ЗАШЛО",-W489,IF(Z489="½ ЗАШЛО",W489*(P489-1)/2,IF(Z489="½ НЕ ЗАШЛО",-W489/2,IF(Z489="ВОЗВРАТ",0,""))))))</f>
        <v/>
      </c>
      <c r="AB489" s="18" t="str">
        <f aca="false">IF(AND(K489="ВИРТУАЛЬНЫЙ ВЫБОР",OR(Z489="✅ ЗАШЛО",Z489="❌ НЕ ЗАШЛО",Z489="½ ЗАШЛО",Z489="½ НЕ ЗАШЛО",Z489="ВОЗВРАТ")),W489,"")</f>
        <v/>
      </c>
      <c r="AC489" s="15"/>
      <c r="AD489" s="16" t="str">
        <f aca="false">IF(OR(AC489="",P489=""),"",P489/AC489-1)</f>
        <v/>
      </c>
      <c r="AE489" s="19" t="str">
        <f aca="false">IF(AND(M489=0,OR(Z489="✅ ЗАШЛО",Z489="❌ НЕ ЗАШЛО"),L489&lt;&gt;""),(L489-IF(Z489="✅ ЗАШЛО",1,0))^2,"")</f>
        <v/>
      </c>
      <c r="AF489" s="15"/>
      <c r="AG489" s="15"/>
      <c r="AH489" s="13"/>
      <c r="AI489" s="13"/>
      <c r="AJ489" s="13"/>
      <c r="AK489" s="20" t="str">
        <f aca="false">IF(AH489="","",IF(ABS(AH489+AI489+AJ489-1)&lt;0.000001,"OK","ОШИБКА"))</f>
        <v/>
      </c>
      <c r="AL489" s="13"/>
      <c r="AM489" s="12"/>
      <c r="AN489" s="12"/>
      <c r="AO489" s="12"/>
      <c r="AP489" s="12"/>
      <c r="AQ489" s="18" t="str">
        <f aca="false">IF(A489="","",N(AQ488)+N(AA489))</f>
        <v/>
      </c>
      <c r="AR489" s="18" t="str">
        <f aca="false">IF(AQ489="","",MAX(0,MAX($AQ$8:AQ489))-AQ489)</f>
        <v/>
      </c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3"/>
      <c r="M490" s="13"/>
      <c r="N490" s="13"/>
      <c r="O490" s="14" t="str">
        <f aca="false">IF(OR(L490="",L490=0),"",(1-M490)/L490)</f>
        <v/>
      </c>
      <c r="P490" s="15"/>
      <c r="Q490" s="12"/>
      <c r="R490" s="12"/>
      <c r="S490" s="13"/>
      <c r="T490" s="16" t="str">
        <f aca="false">IF(OR(S490="",L490=""),"",L490/(1-M490)-S490)</f>
        <v/>
      </c>
      <c r="U490" s="16" t="str">
        <f aca="false">IF(OR(L490="",P490=""),"",L490*(P490-1)-N490)</f>
        <v/>
      </c>
      <c r="V490" s="13"/>
      <c r="W490" s="17"/>
      <c r="X490" s="12"/>
      <c r="Y490" s="12"/>
      <c r="Z490" s="12"/>
      <c r="AA490" s="18" t="str">
        <f aca="false">IF(K490&lt;&gt;"ВИРТУАЛЬНЫЙ ВЫБОР","",IF(Z490="✅ ЗАШЛО",W490*(P490-1),IF(Z490="❌ НЕ ЗАШЛО",-W490,IF(Z490="½ ЗАШЛО",W490*(P490-1)/2,IF(Z490="½ НЕ ЗАШЛО",-W490/2,IF(Z490="ВОЗВРАТ",0,""))))))</f>
        <v/>
      </c>
      <c r="AB490" s="18" t="str">
        <f aca="false">IF(AND(K490="ВИРТУАЛЬНЫЙ ВЫБОР",OR(Z490="✅ ЗАШЛО",Z490="❌ НЕ ЗАШЛО",Z490="½ ЗАШЛО",Z490="½ НЕ ЗАШЛО",Z490="ВОЗВРАТ")),W490,"")</f>
        <v/>
      </c>
      <c r="AC490" s="15"/>
      <c r="AD490" s="16" t="str">
        <f aca="false">IF(OR(AC490="",P490=""),"",P490/AC490-1)</f>
        <v/>
      </c>
      <c r="AE490" s="19" t="str">
        <f aca="false">IF(AND(M490=0,OR(Z490="✅ ЗАШЛО",Z490="❌ НЕ ЗАШЛО"),L490&lt;&gt;""),(L490-IF(Z490="✅ ЗАШЛО",1,0))^2,"")</f>
        <v/>
      </c>
      <c r="AF490" s="15"/>
      <c r="AG490" s="15"/>
      <c r="AH490" s="13"/>
      <c r="AI490" s="13"/>
      <c r="AJ490" s="13"/>
      <c r="AK490" s="20" t="str">
        <f aca="false">IF(AH490="","",IF(ABS(AH490+AI490+AJ490-1)&lt;0.000001,"OK","ОШИБКА"))</f>
        <v/>
      </c>
      <c r="AL490" s="13"/>
      <c r="AM490" s="12"/>
      <c r="AN490" s="12"/>
      <c r="AO490" s="12"/>
      <c r="AP490" s="12"/>
      <c r="AQ490" s="18" t="str">
        <f aca="false">IF(A490="","",N(AQ489)+N(AA490))</f>
        <v/>
      </c>
      <c r="AR490" s="18" t="str">
        <f aca="false">IF(AQ490="","",MAX(0,MAX($AQ$8:AQ490))-AQ490)</f>
        <v/>
      </c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3"/>
      <c r="M491" s="13"/>
      <c r="N491" s="13"/>
      <c r="O491" s="14" t="str">
        <f aca="false">IF(OR(L491="",L491=0),"",(1-M491)/L491)</f>
        <v/>
      </c>
      <c r="P491" s="15"/>
      <c r="Q491" s="12"/>
      <c r="R491" s="12"/>
      <c r="S491" s="13"/>
      <c r="T491" s="16" t="str">
        <f aca="false">IF(OR(S491="",L491=""),"",L491/(1-M491)-S491)</f>
        <v/>
      </c>
      <c r="U491" s="16" t="str">
        <f aca="false">IF(OR(L491="",P491=""),"",L491*(P491-1)-N491)</f>
        <v/>
      </c>
      <c r="V491" s="13"/>
      <c r="W491" s="17"/>
      <c r="X491" s="12"/>
      <c r="Y491" s="12"/>
      <c r="Z491" s="12"/>
      <c r="AA491" s="18" t="str">
        <f aca="false">IF(K491&lt;&gt;"ВИРТУАЛЬНЫЙ ВЫБОР","",IF(Z491="✅ ЗАШЛО",W491*(P491-1),IF(Z491="❌ НЕ ЗАШЛО",-W491,IF(Z491="½ ЗАШЛО",W491*(P491-1)/2,IF(Z491="½ НЕ ЗАШЛО",-W491/2,IF(Z491="ВОЗВРАТ",0,""))))))</f>
        <v/>
      </c>
      <c r="AB491" s="18" t="str">
        <f aca="false">IF(AND(K491="ВИРТУАЛЬНЫЙ ВЫБОР",OR(Z491="✅ ЗАШЛО",Z491="❌ НЕ ЗАШЛО",Z491="½ ЗАШЛО",Z491="½ НЕ ЗАШЛО",Z491="ВОЗВРАТ")),W491,"")</f>
        <v/>
      </c>
      <c r="AC491" s="15"/>
      <c r="AD491" s="16" t="str">
        <f aca="false">IF(OR(AC491="",P491=""),"",P491/AC491-1)</f>
        <v/>
      </c>
      <c r="AE491" s="19" t="str">
        <f aca="false">IF(AND(M491=0,OR(Z491="✅ ЗАШЛО",Z491="❌ НЕ ЗАШЛО"),L491&lt;&gt;""),(L491-IF(Z491="✅ ЗАШЛО",1,0))^2,"")</f>
        <v/>
      </c>
      <c r="AF491" s="15"/>
      <c r="AG491" s="15"/>
      <c r="AH491" s="13"/>
      <c r="AI491" s="13"/>
      <c r="AJ491" s="13"/>
      <c r="AK491" s="20" t="str">
        <f aca="false">IF(AH491="","",IF(ABS(AH491+AI491+AJ491-1)&lt;0.000001,"OK","ОШИБКА"))</f>
        <v/>
      </c>
      <c r="AL491" s="13"/>
      <c r="AM491" s="12"/>
      <c r="AN491" s="12"/>
      <c r="AO491" s="12"/>
      <c r="AP491" s="12"/>
      <c r="AQ491" s="18" t="str">
        <f aca="false">IF(A491="","",N(AQ490)+N(AA491))</f>
        <v/>
      </c>
      <c r="AR491" s="18" t="str">
        <f aca="false">IF(AQ491="","",MAX(0,MAX($AQ$8:AQ491))-AQ491)</f>
        <v/>
      </c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3"/>
      <c r="M492" s="13"/>
      <c r="N492" s="13"/>
      <c r="O492" s="14" t="str">
        <f aca="false">IF(OR(L492="",L492=0),"",(1-M492)/L492)</f>
        <v/>
      </c>
      <c r="P492" s="15"/>
      <c r="Q492" s="12"/>
      <c r="R492" s="12"/>
      <c r="S492" s="13"/>
      <c r="T492" s="16" t="str">
        <f aca="false">IF(OR(S492="",L492=""),"",L492/(1-M492)-S492)</f>
        <v/>
      </c>
      <c r="U492" s="16" t="str">
        <f aca="false">IF(OR(L492="",P492=""),"",L492*(P492-1)-N492)</f>
        <v/>
      </c>
      <c r="V492" s="13"/>
      <c r="W492" s="17"/>
      <c r="X492" s="12"/>
      <c r="Y492" s="12"/>
      <c r="Z492" s="12"/>
      <c r="AA492" s="18" t="str">
        <f aca="false">IF(K492&lt;&gt;"ВИРТУАЛЬНЫЙ ВЫБОР","",IF(Z492="✅ ЗАШЛО",W492*(P492-1),IF(Z492="❌ НЕ ЗАШЛО",-W492,IF(Z492="½ ЗАШЛО",W492*(P492-1)/2,IF(Z492="½ НЕ ЗАШЛО",-W492/2,IF(Z492="ВОЗВРАТ",0,""))))))</f>
        <v/>
      </c>
      <c r="AB492" s="18" t="str">
        <f aca="false">IF(AND(K492="ВИРТУАЛЬНЫЙ ВЫБОР",OR(Z492="✅ ЗАШЛО",Z492="❌ НЕ ЗАШЛО",Z492="½ ЗАШЛО",Z492="½ НЕ ЗАШЛО",Z492="ВОЗВРАТ")),W492,"")</f>
        <v/>
      </c>
      <c r="AC492" s="15"/>
      <c r="AD492" s="16" t="str">
        <f aca="false">IF(OR(AC492="",P492=""),"",P492/AC492-1)</f>
        <v/>
      </c>
      <c r="AE492" s="19" t="str">
        <f aca="false">IF(AND(M492=0,OR(Z492="✅ ЗАШЛО",Z492="❌ НЕ ЗАШЛО"),L492&lt;&gt;""),(L492-IF(Z492="✅ ЗАШЛО",1,0))^2,"")</f>
        <v/>
      </c>
      <c r="AF492" s="15"/>
      <c r="AG492" s="15"/>
      <c r="AH492" s="13"/>
      <c r="AI492" s="13"/>
      <c r="AJ492" s="13"/>
      <c r="AK492" s="20" t="str">
        <f aca="false">IF(AH492="","",IF(ABS(AH492+AI492+AJ492-1)&lt;0.000001,"OK","ОШИБКА"))</f>
        <v/>
      </c>
      <c r="AL492" s="13"/>
      <c r="AM492" s="12"/>
      <c r="AN492" s="12"/>
      <c r="AO492" s="12"/>
      <c r="AP492" s="12"/>
      <c r="AQ492" s="18" t="str">
        <f aca="false">IF(A492="","",N(AQ491)+N(AA492))</f>
        <v/>
      </c>
      <c r="AR492" s="18" t="str">
        <f aca="false">IF(AQ492="","",MAX(0,MAX($AQ$8:AQ492))-AQ492)</f>
        <v/>
      </c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3"/>
      <c r="M493" s="13"/>
      <c r="N493" s="13"/>
      <c r="O493" s="14" t="str">
        <f aca="false">IF(OR(L493="",L493=0),"",(1-M493)/L493)</f>
        <v/>
      </c>
      <c r="P493" s="15"/>
      <c r="Q493" s="12"/>
      <c r="R493" s="12"/>
      <c r="S493" s="13"/>
      <c r="T493" s="16" t="str">
        <f aca="false">IF(OR(S493="",L493=""),"",L493/(1-M493)-S493)</f>
        <v/>
      </c>
      <c r="U493" s="16" t="str">
        <f aca="false">IF(OR(L493="",P493=""),"",L493*(P493-1)-N493)</f>
        <v/>
      </c>
      <c r="V493" s="13"/>
      <c r="W493" s="17"/>
      <c r="X493" s="12"/>
      <c r="Y493" s="12"/>
      <c r="Z493" s="12"/>
      <c r="AA493" s="18" t="str">
        <f aca="false">IF(K493&lt;&gt;"ВИРТУАЛЬНЫЙ ВЫБОР","",IF(Z493="✅ ЗАШЛО",W493*(P493-1),IF(Z493="❌ НЕ ЗАШЛО",-W493,IF(Z493="½ ЗАШЛО",W493*(P493-1)/2,IF(Z493="½ НЕ ЗАШЛО",-W493/2,IF(Z493="ВОЗВРАТ",0,""))))))</f>
        <v/>
      </c>
      <c r="AB493" s="18" t="str">
        <f aca="false">IF(AND(K493="ВИРТУАЛЬНЫЙ ВЫБОР",OR(Z493="✅ ЗАШЛО",Z493="❌ НЕ ЗАШЛО",Z493="½ ЗАШЛО",Z493="½ НЕ ЗАШЛО",Z493="ВОЗВРАТ")),W493,"")</f>
        <v/>
      </c>
      <c r="AC493" s="15"/>
      <c r="AD493" s="16" t="str">
        <f aca="false">IF(OR(AC493="",P493=""),"",P493/AC493-1)</f>
        <v/>
      </c>
      <c r="AE493" s="19" t="str">
        <f aca="false">IF(AND(M493=0,OR(Z493="✅ ЗАШЛО",Z493="❌ НЕ ЗАШЛО"),L493&lt;&gt;""),(L493-IF(Z493="✅ ЗАШЛО",1,0))^2,"")</f>
        <v/>
      </c>
      <c r="AF493" s="15"/>
      <c r="AG493" s="15"/>
      <c r="AH493" s="13"/>
      <c r="AI493" s="13"/>
      <c r="AJ493" s="13"/>
      <c r="AK493" s="20" t="str">
        <f aca="false">IF(AH493="","",IF(ABS(AH493+AI493+AJ493-1)&lt;0.000001,"OK","ОШИБКА"))</f>
        <v/>
      </c>
      <c r="AL493" s="13"/>
      <c r="AM493" s="12"/>
      <c r="AN493" s="12"/>
      <c r="AO493" s="12"/>
      <c r="AP493" s="12"/>
      <c r="AQ493" s="18" t="str">
        <f aca="false">IF(A493="","",N(AQ492)+N(AA493))</f>
        <v/>
      </c>
      <c r="AR493" s="18" t="str">
        <f aca="false">IF(AQ493="","",MAX(0,MAX($AQ$8:AQ493))-AQ493)</f>
        <v/>
      </c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3"/>
      <c r="M494" s="13"/>
      <c r="N494" s="13"/>
      <c r="O494" s="14" t="str">
        <f aca="false">IF(OR(L494="",L494=0),"",(1-M494)/L494)</f>
        <v/>
      </c>
      <c r="P494" s="15"/>
      <c r="Q494" s="12"/>
      <c r="R494" s="12"/>
      <c r="S494" s="13"/>
      <c r="T494" s="16" t="str">
        <f aca="false">IF(OR(S494="",L494=""),"",L494/(1-M494)-S494)</f>
        <v/>
      </c>
      <c r="U494" s="16" t="str">
        <f aca="false">IF(OR(L494="",P494=""),"",L494*(P494-1)-N494)</f>
        <v/>
      </c>
      <c r="V494" s="13"/>
      <c r="W494" s="17"/>
      <c r="X494" s="12"/>
      <c r="Y494" s="12"/>
      <c r="Z494" s="12"/>
      <c r="AA494" s="18" t="str">
        <f aca="false">IF(K494&lt;&gt;"ВИРТУАЛЬНЫЙ ВЫБОР","",IF(Z494="✅ ЗАШЛО",W494*(P494-1),IF(Z494="❌ НЕ ЗАШЛО",-W494,IF(Z494="½ ЗАШЛО",W494*(P494-1)/2,IF(Z494="½ НЕ ЗАШЛО",-W494/2,IF(Z494="ВОЗВРАТ",0,""))))))</f>
        <v/>
      </c>
      <c r="AB494" s="18" t="str">
        <f aca="false">IF(AND(K494="ВИРТУАЛЬНЫЙ ВЫБОР",OR(Z494="✅ ЗАШЛО",Z494="❌ НЕ ЗАШЛО",Z494="½ ЗАШЛО",Z494="½ НЕ ЗАШЛО",Z494="ВОЗВРАТ")),W494,"")</f>
        <v/>
      </c>
      <c r="AC494" s="15"/>
      <c r="AD494" s="16" t="str">
        <f aca="false">IF(OR(AC494="",P494=""),"",P494/AC494-1)</f>
        <v/>
      </c>
      <c r="AE494" s="19" t="str">
        <f aca="false">IF(AND(M494=0,OR(Z494="✅ ЗАШЛО",Z494="❌ НЕ ЗАШЛО"),L494&lt;&gt;""),(L494-IF(Z494="✅ ЗАШЛО",1,0))^2,"")</f>
        <v/>
      </c>
      <c r="AF494" s="15"/>
      <c r="AG494" s="15"/>
      <c r="AH494" s="13"/>
      <c r="AI494" s="13"/>
      <c r="AJ494" s="13"/>
      <c r="AK494" s="20" t="str">
        <f aca="false">IF(AH494="","",IF(ABS(AH494+AI494+AJ494-1)&lt;0.000001,"OK","ОШИБКА"))</f>
        <v/>
      </c>
      <c r="AL494" s="13"/>
      <c r="AM494" s="12"/>
      <c r="AN494" s="12"/>
      <c r="AO494" s="12"/>
      <c r="AP494" s="12"/>
      <c r="AQ494" s="18" t="str">
        <f aca="false">IF(A494="","",N(AQ493)+N(AA494))</f>
        <v/>
      </c>
      <c r="AR494" s="18" t="str">
        <f aca="false">IF(AQ494="","",MAX(0,MAX($AQ$8:AQ494))-AQ494)</f>
        <v/>
      </c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3"/>
      <c r="M495" s="13"/>
      <c r="N495" s="13"/>
      <c r="O495" s="14" t="str">
        <f aca="false">IF(OR(L495="",L495=0),"",(1-M495)/L495)</f>
        <v/>
      </c>
      <c r="P495" s="15"/>
      <c r="Q495" s="12"/>
      <c r="R495" s="12"/>
      <c r="S495" s="13"/>
      <c r="T495" s="16" t="str">
        <f aca="false">IF(OR(S495="",L495=""),"",L495/(1-M495)-S495)</f>
        <v/>
      </c>
      <c r="U495" s="16" t="str">
        <f aca="false">IF(OR(L495="",P495=""),"",L495*(P495-1)-N495)</f>
        <v/>
      </c>
      <c r="V495" s="13"/>
      <c r="W495" s="17"/>
      <c r="X495" s="12"/>
      <c r="Y495" s="12"/>
      <c r="Z495" s="12"/>
      <c r="AA495" s="18" t="str">
        <f aca="false">IF(K495&lt;&gt;"ВИРТУАЛЬНЫЙ ВЫБОР","",IF(Z495="✅ ЗАШЛО",W495*(P495-1),IF(Z495="❌ НЕ ЗАШЛО",-W495,IF(Z495="½ ЗАШЛО",W495*(P495-1)/2,IF(Z495="½ НЕ ЗАШЛО",-W495/2,IF(Z495="ВОЗВРАТ",0,""))))))</f>
        <v/>
      </c>
      <c r="AB495" s="18" t="str">
        <f aca="false">IF(AND(K495="ВИРТУАЛЬНЫЙ ВЫБОР",OR(Z495="✅ ЗАШЛО",Z495="❌ НЕ ЗАШЛО",Z495="½ ЗАШЛО",Z495="½ НЕ ЗАШЛО",Z495="ВОЗВРАТ")),W495,"")</f>
        <v/>
      </c>
      <c r="AC495" s="15"/>
      <c r="AD495" s="16" t="str">
        <f aca="false">IF(OR(AC495="",P495=""),"",P495/AC495-1)</f>
        <v/>
      </c>
      <c r="AE495" s="19" t="str">
        <f aca="false">IF(AND(M495=0,OR(Z495="✅ ЗАШЛО",Z495="❌ НЕ ЗАШЛО"),L495&lt;&gt;""),(L495-IF(Z495="✅ ЗАШЛО",1,0))^2,"")</f>
        <v/>
      </c>
      <c r="AF495" s="15"/>
      <c r="AG495" s="15"/>
      <c r="AH495" s="13"/>
      <c r="AI495" s="13"/>
      <c r="AJ495" s="13"/>
      <c r="AK495" s="20" t="str">
        <f aca="false">IF(AH495="","",IF(ABS(AH495+AI495+AJ495-1)&lt;0.000001,"OK","ОШИБКА"))</f>
        <v/>
      </c>
      <c r="AL495" s="13"/>
      <c r="AM495" s="12"/>
      <c r="AN495" s="12"/>
      <c r="AO495" s="12"/>
      <c r="AP495" s="12"/>
      <c r="AQ495" s="18" t="str">
        <f aca="false">IF(A495="","",N(AQ494)+N(AA495))</f>
        <v/>
      </c>
      <c r="AR495" s="18" t="str">
        <f aca="false">IF(AQ495="","",MAX(0,MAX($AQ$8:AQ495))-AQ495)</f>
        <v/>
      </c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3"/>
      <c r="M496" s="13"/>
      <c r="N496" s="13"/>
      <c r="O496" s="14" t="str">
        <f aca="false">IF(OR(L496="",L496=0),"",(1-M496)/L496)</f>
        <v/>
      </c>
      <c r="P496" s="15"/>
      <c r="Q496" s="12"/>
      <c r="R496" s="12"/>
      <c r="S496" s="13"/>
      <c r="T496" s="16" t="str">
        <f aca="false">IF(OR(S496="",L496=""),"",L496/(1-M496)-S496)</f>
        <v/>
      </c>
      <c r="U496" s="16" t="str">
        <f aca="false">IF(OR(L496="",P496=""),"",L496*(P496-1)-N496)</f>
        <v/>
      </c>
      <c r="V496" s="13"/>
      <c r="W496" s="17"/>
      <c r="X496" s="12"/>
      <c r="Y496" s="12"/>
      <c r="Z496" s="12"/>
      <c r="AA496" s="18" t="str">
        <f aca="false">IF(K496&lt;&gt;"ВИРТУАЛЬНЫЙ ВЫБОР","",IF(Z496="✅ ЗАШЛО",W496*(P496-1),IF(Z496="❌ НЕ ЗАШЛО",-W496,IF(Z496="½ ЗАШЛО",W496*(P496-1)/2,IF(Z496="½ НЕ ЗАШЛО",-W496/2,IF(Z496="ВОЗВРАТ",0,""))))))</f>
        <v/>
      </c>
      <c r="AB496" s="18" t="str">
        <f aca="false">IF(AND(K496="ВИРТУАЛЬНЫЙ ВЫБОР",OR(Z496="✅ ЗАШЛО",Z496="❌ НЕ ЗАШЛО",Z496="½ ЗАШЛО",Z496="½ НЕ ЗАШЛО",Z496="ВОЗВРАТ")),W496,"")</f>
        <v/>
      </c>
      <c r="AC496" s="15"/>
      <c r="AD496" s="16" t="str">
        <f aca="false">IF(OR(AC496="",P496=""),"",P496/AC496-1)</f>
        <v/>
      </c>
      <c r="AE496" s="19" t="str">
        <f aca="false">IF(AND(M496=0,OR(Z496="✅ ЗАШЛО",Z496="❌ НЕ ЗАШЛО"),L496&lt;&gt;""),(L496-IF(Z496="✅ ЗАШЛО",1,0))^2,"")</f>
        <v/>
      </c>
      <c r="AF496" s="15"/>
      <c r="AG496" s="15"/>
      <c r="AH496" s="13"/>
      <c r="AI496" s="13"/>
      <c r="AJ496" s="13"/>
      <c r="AK496" s="20" t="str">
        <f aca="false">IF(AH496="","",IF(ABS(AH496+AI496+AJ496-1)&lt;0.000001,"OK","ОШИБКА"))</f>
        <v/>
      </c>
      <c r="AL496" s="13"/>
      <c r="AM496" s="12"/>
      <c r="AN496" s="12"/>
      <c r="AO496" s="12"/>
      <c r="AP496" s="12"/>
      <c r="AQ496" s="18" t="str">
        <f aca="false">IF(A496="","",N(AQ495)+N(AA496))</f>
        <v/>
      </c>
      <c r="AR496" s="18" t="str">
        <f aca="false">IF(AQ496="","",MAX(0,MAX($AQ$8:AQ496))-AQ496)</f>
        <v/>
      </c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3"/>
      <c r="M497" s="13"/>
      <c r="N497" s="13"/>
      <c r="O497" s="14" t="str">
        <f aca="false">IF(OR(L497="",L497=0),"",(1-M497)/L497)</f>
        <v/>
      </c>
      <c r="P497" s="15"/>
      <c r="Q497" s="12"/>
      <c r="R497" s="12"/>
      <c r="S497" s="13"/>
      <c r="T497" s="16" t="str">
        <f aca="false">IF(OR(S497="",L497=""),"",L497/(1-M497)-S497)</f>
        <v/>
      </c>
      <c r="U497" s="16" t="str">
        <f aca="false">IF(OR(L497="",P497=""),"",L497*(P497-1)-N497)</f>
        <v/>
      </c>
      <c r="V497" s="13"/>
      <c r="W497" s="17"/>
      <c r="X497" s="12"/>
      <c r="Y497" s="12"/>
      <c r="Z497" s="12"/>
      <c r="AA497" s="18" t="str">
        <f aca="false">IF(K497&lt;&gt;"ВИРТУАЛЬНЫЙ ВЫБОР","",IF(Z497="✅ ЗАШЛО",W497*(P497-1),IF(Z497="❌ НЕ ЗАШЛО",-W497,IF(Z497="½ ЗАШЛО",W497*(P497-1)/2,IF(Z497="½ НЕ ЗАШЛО",-W497/2,IF(Z497="ВОЗВРАТ",0,""))))))</f>
        <v/>
      </c>
      <c r="AB497" s="18" t="str">
        <f aca="false">IF(AND(K497="ВИРТУАЛЬНЫЙ ВЫБОР",OR(Z497="✅ ЗАШЛО",Z497="❌ НЕ ЗАШЛО",Z497="½ ЗАШЛО",Z497="½ НЕ ЗАШЛО",Z497="ВОЗВРАТ")),W497,"")</f>
        <v/>
      </c>
      <c r="AC497" s="15"/>
      <c r="AD497" s="16" t="str">
        <f aca="false">IF(OR(AC497="",P497=""),"",P497/AC497-1)</f>
        <v/>
      </c>
      <c r="AE497" s="19" t="str">
        <f aca="false">IF(AND(M497=0,OR(Z497="✅ ЗАШЛО",Z497="❌ НЕ ЗАШЛО"),L497&lt;&gt;""),(L497-IF(Z497="✅ ЗАШЛО",1,0))^2,"")</f>
        <v/>
      </c>
      <c r="AF497" s="15"/>
      <c r="AG497" s="15"/>
      <c r="AH497" s="13"/>
      <c r="AI497" s="13"/>
      <c r="AJ497" s="13"/>
      <c r="AK497" s="20" t="str">
        <f aca="false">IF(AH497="","",IF(ABS(AH497+AI497+AJ497-1)&lt;0.000001,"OK","ОШИБКА"))</f>
        <v/>
      </c>
      <c r="AL497" s="13"/>
      <c r="AM497" s="12"/>
      <c r="AN497" s="12"/>
      <c r="AO497" s="12"/>
      <c r="AP497" s="12"/>
      <c r="AQ497" s="18" t="str">
        <f aca="false">IF(A497="","",N(AQ496)+N(AA497))</f>
        <v/>
      </c>
      <c r="AR497" s="18" t="str">
        <f aca="false">IF(AQ497="","",MAX(0,MAX($AQ$8:AQ497))-AQ497)</f>
        <v/>
      </c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3"/>
      <c r="M498" s="13"/>
      <c r="N498" s="13"/>
      <c r="O498" s="14" t="str">
        <f aca="false">IF(OR(L498="",L498=0),"",(1-M498)/L498)</f>
        <v/>
      </c>
      <c r="P498" s="15"/>
      <c r="Q498" s="12"/>
      <c r="R498" s="12"/>
      <c r="S498" s="13"/>
      <c r="T498" s="16" t="str">
        <f aca="false">IF(OR(S498="",L498=""),"",L498/(1-M498)-S498)</f>
        <v/>
      </c>
      <c r="U498" s="16" t="str">
        <f aca="false">IF(OR(L498="",P498=""),"",L498*(P498-1)-N498)</f>
        <v/>
      </c>
      <c r="V498" s="13"/>
      <c r="W498" s="17"/>
      <c r="X498" s="12"/>
      <c r="Y498" s="12"/>
      <c r="Z498" s="12"/>
      <c r="AA498" s="18" t="str">
        <f aca="false">IF(K498&lt;&gt;"ВИРТУАЛЬНЫЙ ВЫБОР","",IF(Z498="✅ ЗАШЛО",W498*(P498-1),IF(Z498="❌ НЕ ЗАШЛО",-W498,IF(Z498="½ ЗАШЛО",W498*(P498-1)/2,IF(Z498="½ НЕ ЗАШЛО",-W498/2,IF(Z498="ВОЗВРАТ",0,""))))))</f>
        <v/>
      </c>
      <c r="AB498" s="18" t="str">
        <f aca="false">IF(AND(K498="ВИРТУАЛЬНЫЙ ВЫБОР",OR(Z498="✅ ЗАШЛО",Z498="❌ НЕ ЗАШЛО",Z498="½ ЗАШЛО",Z498="½ НЕ ЗАШЛО",Z498="ВОЗВРАТ")),W498,"")</f>
        <v/>
      </c>
      <c r="AC498" s="15"/>
      <c r="AD498" s="16" t="str">
        <f aca="false">IF(OR(AC498="",P498=""),"",P498/AC498-1)</f>
        <v/>
      </c>
      <c r="AE498" s="19" t="str">
        <f aca="false">IF(AND(M498=0,OR(Z498="✅ ЗАШЛО",Z498="❌ НЕ ЗАШЛО"),L498&lt;&gt;""),(L498-IF(Z498="✅ ЗАШЛО",1,0))^2,"")</f>
        <v/>
      </c>
      <c r="AF498" s="15"/>
      <c r="AG498" s="15"/>
      <c r="AH498" s="13"/>
      <c r="AI498" s="13"/>
      <c r="AJ498" s="13"/>
      <c r="AK498" s="20" t="str">
        <f aca="false">IF(AH498="","",IF(ABS(AH498+AI498+AJ498-1)&lt;0.000001,"OK","ОШИБКА"))</f>
        <v/>
      </c>
      <c r="AL498" s="13"/>
      <c r="AM498" s="12"/>
      <c r="AN498" s="12"/>
      <c r="AO498" s="12"/>
      <c r="AP498" s="12"/>
      <c r="AQ498" s="18" t="str">
        <f aca="false">IF(A498="","",N(AQ497)+N(AA498))</f>
        <v/>
      </c>
      <c r="AR498" s="18" t="str">
        <f aca="false">IF(AQ498="","",MAX(0,MAX($AQ$8:AQ498))-AQ498)</f>
        <v/>
      </c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3"/>
      <c r="M499" s="13"/>
      <c r="N499" s="13"/>
      <c r="O499" s="14" t="str">
        <f aca="false">IF(OR(L499="",L499=0),"",(1-M499)/L499)</f>
        <v/>
      </c>
      <c r="P499" s="15"/>
      <c r="Q499" s="12"/>
      <c r="R499" s="12"/>
      <c r="S499" s="13"/>
      <c r="T499" s="16" t="str">
        <f aca="false">IF(OR(S499="",L499=""),"",L499/(1-M499)-S499)</f>
        <v/>
      </c>
      <c r="U499" s="16" t="str">
        <f aca="false">IF(OR(L499="",P499=""),"",L499*(P499-1)-N499)</f>
        <v/>
      </c>
      <c r="V499" s="13"/>
      <c r="W499" s="17"/>
      <c r="X499" s="12"/>
      <c r="Y499" s="12"/>
      <c r="Z499" s="12"/>
      <c r="AA499" s="18" t="str">
        <f aca="false">IF(K499&lt;&gt;"ВИРТУАЛЬНЫЙ ВЫБОР","",IF(Z499="✅ ЗАШЛО",W499*(P499-1),IF(Z499="❌ НЕ ЗАШЛО",-W499,IF(Z499="½ ЗАШЛО",W499*(P499-1)/2,IF(Z499="½ НЕ ЗАШЛО",-W499/2,IF(Z499="ВОЗВРАТ",0,""))))))</f>
        <v/>
      </c>
      <c r="AB499" s="18" t="str">
        <f aca="false">IF(AND(K499="ВИРТУАЛЬНЫЙ ВЫБОР",OR(Z499="✅ ЗАШЛО",Z499="❌ НЕ ЗАШЛО",Z499="½ ЗАШЛО",Z499="½ НЕ ЗАШЛО",Z499="ВОЗВРАТ")),W499,"")</f>
        <v/>
      </c>
      <c r="AC499" s="15"/>
      <c r="AD499" s="16" t="str">
        <f aca="false">IF(OR(AC499="",P499=""),"",P499/AC499-1)</f>
        <v/>
      </c>
      <c r="AE499" s="19" t="str">
        <f aca="false">IF(AND(M499=0,OR(Z499="✅ ЗАШЛО",Z499="❌ НЕ ЗАШЛО"),L499&lt;&gt;""),(L499-IF(Z499="✅ ЗАШЛО",1,0))^2,"")</f>
        <v/>
      </c>
      <c r="AF499" s="15"/>
      <c r="AG499" s="15"/>
      <c r="AH499" s="13"/>
      <c r="AI499" s="13"/>
      <c r="AJ499" s="13"/>
      <c r="AK499" s="20" t="str">
        <f aca="false">IF(AH499="","",IF(ABS(AH499+AI499+AJ499-1)&lt;0.000001,"OK","ОШИБКА"))</f>
        <v/>
      </c>
      <c r="AL499" s="13"/>
      <c r="AM499" s="12"/>
      <c r="AN499" s="12"/>
      <c r="AO499" s="12"/>
      <c r="AP499" s="12"/>
      <c r="AQ499" s="18" t="str">
        <f aca="false">IF(A499="","",N(AQ498)+N(AA499))</f>
        <v/>
      </c>
      <c r="AR499" s="18" t="str">
        <f aca="false">IF(AQ499="","",MAX(0,MAX($AQ$8:AQ499))-AQ499)</f>
        <v/>
      </c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3"/>
      <c r="M500" s="13"/>
      <c r="N500" s="13"/>
      <c r="O500" s="14" t="str">
        <f aca="false">IF(OR(L500="",L500=0),"",(1-M500)/L500)</f>
        <v/>
      </c>
      <c r="P500" s="15"/>
      <c r="Q500" s="12"/>
      <c r="R500" s="12"/>
      <c r="S500" s="13"/>
      <c r="T500" s="16" t="str">
        <f aca="false">IF(OR(S500="",L500=""),"",L500/(1-M500)-S500)</f>
        <v/>
      </c>
      <c r="U500" s="16" t="str">
        <f aca="false">IF(OR(L500="",P500=""),"",L500*(P500-1)-N500)</f>
        <v/>
      </c>
      <c r="V500" s="13"/>
      <c r="W500" s="17"/>
      <c r="X500" s="12"/>
      <c r="Y500" s="12"/>
      <c r="Z500" s="12"/>
      <c r="AA500" s="18" t="str">
        <f aca="false">IF(K500&lt;&gt;"ВИРТУАЛЬНЫЙ ВЫБОР","",IF(Z500="✅ ЗАШЛО",W500*(P500-1),IF(Z500="❌ НЕ ЗАШЛО",-W500,IF(Z500="½ ЗАШЛО",W500*(P500-1)/2,IF(Z500="½ НЕ ЗАШЛО",-W500/2,IF(Z500="ВОЗВРАТ",0,""))))))</f>
        <v/>
      </c>
      <c r="AB500" s="18" t="str">
        <f aca="false">IF(AND(K500="ВИРТУАЛЬНЫЙ ВЫБОР",OR(Z500="✅ ЗАШЛО",Z500="❌ НЕ ЗАШЛО",Z500="½ ЗАШЛО",Z500="½ НЕ ЗАШЛО",Z500="ВОЗВРАТ")),W500,"")</f>
        <v/>
      </c>
      <c r="AC500" s="15"/>
      <c r="AD500" s="16" t="str">
        <f aca="false">IF(OR(AC500="",P500=""),"",P500/AC500-1)</f>
        <v/>
      </c>
      <c r="AE500" s="19" t="str">
        <f aca="false">IF(AND(M500=0,OR(Z500="✅ ЗАШЛО",Z500="❌ НЕ ЗАШЛО"),L500&lt;&gt;""),(L500-IF(Z500="✅ ЗАШЛО",1,0))^2,"")</f>
        <v/>
      </c>
      <c r="AF500" s="15"/>
      <c r="AG500" s="15"/>
      <c r="AH500" s="13"/>
      <c r="AI500" s="13"/>
      <c r="AJ500" s="13"/>
      <c r="AK500" s="20" t="str">
        <f aca="false">IF(AH500="","",IF(ABS(AH500+AI500+AJ500-1)&lt;0.000001,"OK","ОШИБКА"))</f>
        <v/>
      </c>
      <c r="AL500" s="13"/>
      <c r="AM500" s="12"/>
      <c r="AN500" s="12"/>
      <c r="AO500" s="12"/>
      <c r="AP500" s="12"/>
      <c r="AQ500" s="18" t="str">
        <f aca="false">IF(A500="","",N(AQ499)+N(AA500))</f>
        <v/>
      </c>
      <c r="AR500" s="18" t="str">
        <f aca="false">IF(AQ500="","",MAX(0,MAX($AQ$8:AQ500))-AQ500)</f>
        <v/>
      </c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3"/>
      <c r="M501" s="13"/>
      <c r="N501" s="13"/>
      <c r="O501" s="14" t="str">
        <f aca="false">IF(OR(L501="",L501=0),"",(1-M501)/L501)</f>
        <v/>
      </c>
      <c r="P501" s="15"/>
      <c r="Q501" s="12"/>
      <c r="R501" s="12"/>
      <c r="S501" s="13"/>
      <c r="T501" s="16" t="str">
        <f aca="false">IF(OR(S501="",L501=""),"",L501/(1-M501)-S501)</f>
        <v/>
      </c>
      <c r="U501" s="16" t="str">
        <f aca="false">IF(OR(L501="",P501=""),"",L501*(P501-1)-N501)</f>
        <v/>
      </c>
      <c r="V501" s="13"/>
      <c r="W501" s="17"/>
      <c r="X501" s="12"/>
      <c r="Y501" s="12"/>
      <c r="Z501" s="12"/>
      <c r="AA501" s="18" t="str">
        <f aca="false">IF(K501&lt;&gt;"ВИРТУАЛЬНЫЙ ВЫБОР","",IF(Z501="✅ ЗАШЛО",W501*(P501-1),IF(Z501="❌ НЕ ЗАШЛО",-W501,IF(Z501="½ ЗАШЛО",W501*(P501-1)/2,IF(Z501="½ НЕ ЗАШЛО",-W501/2,IF(Z501="ВОЗВРАТ",0,""))))))</f>
        <v/>
      </c>
      <c r="AB501" s="18" t="str">
        <f aca="false">IF(AND(K501="ВИРТУАЛЬНЫЙ ВЫБОР",OR(Z501="✅ ЗАШЛО",Z501="❌ НЕ ЗАШЛО",Z501="½ ЗАШЛО",Z501="½ НЕ ЗАШЛО",Z501="ВОЗВРАТ")),W501,"")</f>
        <v/>
      </c>
      <c r="AC501" s="15"/>
      <c r="AD501" s="16" t="str">
        <f aca="false">IF(OR(AC501="",P501=""),"",P501/AC501-1)</f>
        <v/>
      </c>
      <c r="AE501" s="19" t="str">
        <f aca="false">IF(AND(M501=0,OR(Z501="✅ ЗАШЛО",Z501="❌ НЕ ЗАШЛО"),L501&lt;&gt;""),(L501-IF(Z501="✅ ЗАШЛО",1,0))^2,"")</f>
        <v/>
      </c>
      <c r="AF501" s="15"/>
      <c r="AG501" s="15"/>
      <c r="AH501" s="13"/>
      <c r="AI501" s="13"/>
      <c r="AJ501" s="13"/>
      <c r="AK501" s="20" t="str">
        <f aca="false">IF(AH501="","",IF(ABS(AH501+AI501+AJ501-1)&lt;0.000001,"OK","ОШИБКА"))</f>
        <v/>
      </c>
      <c r="AL501" s="13"/>
      <c r="AM501" s="12"/>
      <c r="AN501" s="12"/>
      <c r="AO501" s="12"/>
      <c r="AP501" s="12"/>
      <c r="AQ501" s="18" t="str">
        <f aca="false">IF(A501="","",N(AQ500)+N(AA501))</f>
        <v/>
      </c>
      <c r="AR501" s="18" t="str">
        <f aca="false">IF(AQ501="","",MAX(0,MAX($AQ$8:AQ501))-AQ501)</f>
        <v/>
      </c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3"/>
      <c r="M502" s="13"/>
      <c r="N502" s="13"/>
      <c r="O502" s="14" t="str">
        <f aca="false">IF(OR(L502="",L502=0),"",(1-M502)/L502)</f>
        <v/>
      </c>
      <c r="P502" s="15"/>
      <c r="Q502" s="12"/>
      <c r="R502" s="12"/>
      <c r="S502" s="13"/>
      <c r="T502" s="16" t="str">
        <f aca="false">IF(OR(S502="",L502=""),"",L502/(1-M502)-S502)</f>
        <v/>
      </c>
      <c r="U502" s="16" t="str">
        <f aca="false">IF(OR(L502="",P502=""),"",L502*(P502-1)-N502)</f>
        <v/>
      </c>
      <c r="V502" s="13"/>
      <c r="W502" s="17"/>
      <c r="X502" s="12"/>
      <c r="Y502" s="12"/>
      <c r="Z502" s="12"/>
      <c r="AA502" s="18" t="str">
        <f aca="false">IF(K502&lt;&gt;"ВИРТУАЛЬНЫЙ ВЫБОР","",IF(Z502="✅ ЗАШЛО",W502*(P502-1),IF(Z502="❌ НЕ ЗАШЛО",-W502,IF(Z502="½ ЗАШЛО",W502*(P502-1)/2,IF(Z502="½ НЕ ЗАШЛО",-W502/2,IF(Z502="ВОЗВРАТ",0,""))))))</f>
        <v/>
      </c>
      <c r="AB502" s="18" t="str">
        <f aca="false">IF(AND(K502="ВИРТУАЛЬНЫЙ ВЫБОР",OR(Z502="✅ ЗАШЛО",Z502="❌ НЕ ЗАШЛО",Z502="½ ЗАШЛО",Z502="½ НЕ ЗАШЛО",Z502="ВОЗВРАТ")),W502,"")</f>
        <v/>
      </c>
      <c r="AC502" s="15"/>
      <c r="AD502" s="16" t="str">
        <f aca="false">IF(OR(AC502="",P502=""),"",P502/AC502-1)</f>
        <v/>
      </c>
      <c r="AE502" s="19" t="str">
        <f aca="false">IF(AND(M502=0,OR(Z502="✅ ЗАШЛО",Z502="❌ НЕ ЗАШЛО"),L502&lt;&gt;""),(L502-IF(Z502="✅ ЗАШЛО",1,0))^2,"")</f>
        <v/>
      </c>
      <c r="AF502" s="15"/>
      <c r="AG502" s="15"/>
      <c r="AH502" s="13"/>
      <c r="AI502" s="13"/>
      <c r="AJ502" s="13"/>
      <c r="AK502" s="20" t="str">
        <f aca="false">IF(AH502="","",IF(ABS(AH502+AI502+AJ502-1)&lt;0.000001,"OK","ОШИБКА"))</f>
        <v/>
      </c>
      <c r="AL502" s="13"/>
      <c r="AM502" s="12"/>
      <c r="AN502" s="12"/>
      <c r="AO502" s="12"/>
      <c r="AP502" s="12"/>
      <c r="AQ502" s="18" t="str">
        <f aca="false">IF(A502="","",N(AQ501)+N(AA502))</f>
        <v/>
      </c>
      <c r="AR502" s="18" t="str">
        <f aca="false">IF(AQ502="","",MAX(0,MAX($AQ$8:AQ502))-AQ502)</f>
        <v/>
      </c>
    </row>
    <row r="503" customFormat="false" ht="15" hidden="false" customHeight="fals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3"/>
      <c r="M503" s="13"/>
      <c r="N503" s="13"/>
      <c r="O503" s="14" t="str">
        <f aca="false">IF(OR(L503="",L503=0),"",(1-M503)/L503)</f>
        <v/>
      </c>
      <c r="P503" s="15"/>
      <c r="Q503" s="12"/>
      <c r="R503" s="12"/>
      <c r="S503" s="13"/>
      <c r="T503" s="16" t="str">
        <f aca="false">IF(OR(S503="",L503=""),"",L503/(1-M503)-S503)</f>
        <v/>
      </c>
      <c r="U503" s="16" t="str">
        <f aca="false">IF(OR(L503="",P503=""),"",L503*(P503-1)-N503)</f>
        <v/>
      </c>
      <c r="V503" s="13"/>
      <c r="W503" s="17"/>
      <c r="X503" s="12"/>
      <c r="Y503" s="12"/>
      <c r="Z503" s="12"/>
      <c r="AA503" s="18" t="str">
        <f aca="false">IF(K503&lt;&gt;"ВИРТУАЛЬНЫЙ ВЫБОР","",IF(Z503="✅ ЗАШЛО",W503*(P503-1),IF(Z503="❌ НЕ ЗАШЛО",-W503,IF(Z503="½ ЗАШЛО",W503*(P503-1)/2,IF(Z503="½ НЕ ЗАШЛО",-W503/2,IF(Z503="ВОЗВРАТ",0,""))))))</f>
        <v/>
      </c>
      <c r="AB503" s="18" t="str">
        <f aca="false">IF(AND(K503="ВИРТУАЛЬНЫЙ ВЫБОР",OR(Z503="✅ ЗАШЛО",Z503="❌ НЕ ЗАШЛО",Z503="½ ЗАШЛО",Z503="½ НЕ ЗАШЛО",Z503="ВОЗВРАТ")),W503,"")</f>
        <v/>
      </c>
      <c r="AC503" s="15"/>
      <c r="AD503" s="16" t="str">
        <f aca="false">IF(OR(AC503="",P503=""),"",P503/AC503-1)</f>
        <v/>
      </c>
      <c r="AE503" s="19" t="str">
        <f aca="false">IF(AND(M503=0,OR(Z503="✅ ЗАШЛО",Z503="❌ НЕ ЗАШЛО"),L503&lt;&gt;""),(L503-IF(Z503="✅ ЗАШЛО",1,0))^2,"")</f>
        <v/>
      </c>
      <c r="AF503" s="15"/>
      <c r="AG503" s="15"/>
      <c r="AH503" s="13"/>
      <c r="AI503" s="13"/>
      <c r="AJ503" s="13"/>
      <c r="AK503" s="20" t="str">
        <f aca="false">IF(AH503="","",IF(ABS(AH503+AI503+AJ503-1)&lt;0.000001,"OK","ОШИБКА"))</f>
        <v/>
      </c>
      <c r="AL503" s="13"/>
      <c r="AM503" s="12"/>
      <c r="AN503" s="12"/>
      <c r="AO503" s="12"/>
      <c r="AP503" s="12"/>
      <c r="AQ503" s="18" t="str">
        <f aca="false">IF(A503="","",N(AQ502)+N(AA503))</f>
        <v/>
      </c>
      <c r="AR503" s="18" t="str">
        <f aca="false">IF(AQ503="","",MAX(0,MAX($AQ$8:AQ503))-AQ503)</f>
        <v/>
      </c>
    </row>
    <row r="504" customFormat="false" ht="15" hidden="false" customHeight="fals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3"/>
      <c r="M504" s="13"/>
      <c r="N504" s="13"/>
      <c r="O504" s="14" t="str">
        <f aca="false">IF(OR(L504="",L504=0),"",(1-M504)/L504)</f>
        <v/>
      </c>
      <c r="P504" s="15"/>
      <c r="Q504" s="12"/>
      <c r="R504" s="12"/>
      <c r="S504" s="13"/>
      <c r="T504" s="16" t="str">
        <f aca="false">IF(OR(S504="",L504=""),"",L504/(1-M504)-S504)</f>
        <v/>
      </c>
      <c r="U504" s="16" t="str">
        <f aca="false">IF(OR(L504="",P504=""),"",L504*(P504-1)-N504)</f>
        <v/>
      </c>
      <c r="V504" s="13"/>
      <c r="W504" s="17"/>
      <c r="X504" s="12"/>
      <c r="Y504" s="12"/>
      <c r="Z504" s="12"/>
      <c r="AA504" s="18" t="str">
        <f aca="false">IF(K504&lt;&gt;"ВИРТУАЛЬНЫЙ ВЫБОР","",IF(Z504="✅ ЗАШЛО",W504*(P504-1),IF(Z504="❌ НЕ ЗАШЛО",-W504,IF(Z504="½ ЗАШЛО",W504*(P504-1)/2,IF(Z504="½ НЕ ЗАШЛО",-W504/2,IF(Z504="ВОЗВРАТ",0,""))))))</f>
        <v/>
      </c>
      <c r="AB504" s="18" t="str">
        <f aca="false">IF(AND(K504="ВИРТУАЛЬНЫЙ ВЫБОР",OR(Z504="✅ ЗАШЛО",Z504="❌ НЕ ЗАШЛО",Z504="½ ЗАШЛО",Z504="½ НЕ ЗАШЛО",Z504="ВОЗВРАТ")),W504,"")</f>
        <v/>
      </c>
      <c r="AC504" s="15"/>
      <c r="AD504" s="16" t="str">
        <f aca="false">IF(OR(AC504="",P504=""),"",P504/AC504-1)</f>
        <v/>
      </c>
      <c r="AE504" s="19" t="str">
        <f aca="false">IF(AND(M504=0,OR(Z504="✅ ЗАШЛО",Z504="❌ НЕ ЗАШЛО"),L504&lt;&gt;""),(L504-IF(Z504="✅ ЗАШЛО",1,0))^2,"")</f>
        <v/>
      </c>
      <c r="AF504" s="15"/>
      <c r="AG504" s="15"/>
      <c r="AH504" s="13"/>
      <c r="AI504" s="13"/>
      <c r="AJ504" s="13"/>
      <c r="AK504" s="20" t="str">
        <f aca="false">IF(AH504="","",IF(ABS(AH504+AI504+AJ504-1)&lt;0.000001,"OK","ОШИБКА"))</f>
        <v/>
      </c>
      <c r="AL504" s="13"/>
      <c r="AM504" s="12"/>
      <c r="AN504" s="12"/>
      <c r="AO504" s="12"/>
      <c r="AP504" s="12"/>
      <c r="AQ504" s="18" t="str">
        <f aca="false">IF(A504="","",N(AQ503)+N(AA504))</f>
        <v/>
      </c>
      <c r="AR504" s="18" t="str">
        <f aca="false">IF(AQ504="","",MAX(0,MAX($AQ$8:AQ504))-AQ504)</f>
        <v/>
      </c>
    </row>
    <row r="505" customFormat="false" ht="15" hidden="false" customHeight="fals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3"/>
      <c r="M505" s="13"/>
      <c r="N505" s="13"/>
      <c r="O505" s="14" t="str">
        <f aca="false">IF(OR(L505="",L505=0),"",(1-M505)/L505)</f>
        <v/>
      </c>
      <c r="P505" s="15"/>
      <c r="Q505" s="12"/>
      <c r="R505" s="12"/>
      <c r="S505" s="13"/>
      <c r="T505" s="16" t="str">
        <f aca="false">IF(OR(S505="",L505=""),"",L505/(1-M505)-S505)</f>
        <v/>
      </c>
      <c r="U505" s="16" t="str">
        <f aca="false">IF(OR(L505="",P505=""),"",L505*(P505-1)-N505)</f>
        <v/>
      </c>
      <c r="V505" s="13"/>
      <c r="W505" s="17"/>
      <c r="X505" s="12"/>
      <c r="Y505" s="12"/>
      <c r="Z505" s="12"/>
      <c r="AA505" s="18" t="str">
        <f aca="false">IF(K505&lt;&gt;"ВИРТУАЛЬНЫЙ ВЫБОР","",IF(Z505="✅ ЗАШЛО",W505*(P505-1),IF(Z505="❌ НЕ ЗАШЛО",-W505,IF(Z505="½ ЗАШЛО",W505*(P505-1)/2,IF(Z505="½ НЕ ЗАШЛО",-W505/2,IF(Z505="ВОЗВРАТ",0,""))))))</f>
        <v/>
      </c>
      <c r="AB505" s="18" t="str">
        <f aca="false">IF(AND(K505="ВИРТУАЛЬНЫЙ ВЫБОР",OR(Z505="✅ ЗАШЛО",Z505="❌ НЕ ЗАШЛО",Z505="½ ЗАШЛО",Z505="½ НЕ ЗАШЛО",Z505="ВОЗВРАТ")),W505,"")</f>
        <v/>
      </c>
      <c r="AC505" s="15"/>
      <c r="AD505" s="16" t="str">
        <f aca="false">IF(OR(AC505="",P505=""),"",P505/AC505-1)</f>
        <v/>
      </c>
      <c r="AE505" s="19" t="str">
        <f aca="false">IF(AND(M505=0,OR(Z505="✅ ЗАШЛО",Z505="❌ НЕ ЗАШЛО"),L505&lt;&gt;""),(L505-IF(Z505="✅ ЗАШЛО",1,0))^2,"")</f>
        <v/>
      </c>
      <c r="AF505" s="15"/>
      <c r="AG505" s="15"/>
      <c r="AH505" s="13"/>
      <c r="AI505" s="13"/>
      <c r="AJ505" s="13"/>
      <c r="AK505" s="20" t="str">
        <f aca="false">IF(AH505="","",IF(ABS(AH505+AI505+AJ505-1)&lt;0.000001,"OK","ОШИБКА"))</f>
        <v/>
      </c>
      <c r="AL505" s="13"/>
      <c r="AM505" s="12"/>
      <c r="AN505" s="12"/>
      <c r="AO505" s="12"/>
      <c r="AP505" s="12"/>
      <c r="AQ505" s="18" t="str">
        <f aca="false">IF(A505="","",N(AQ504)+N(AA505))</f>
        <v/>
      </c>
      <c r="AR505" s="18" t="str">
        <f aca="false">IF(AQ505="","",MAX(0,MAX($AQ$8:AQ505))-AQ505)</f>
        <v/>
      </c>
    </row>
    <row r="506" customFormat="false" ht="15" hidden="false" customHeight="fals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3"/>
      <c r="M506" s="13"/>
      <c r="N506" s="13"/>
      <c r="O506" s="14" t="str">
        <f aca="false">IF(OR(L506="",L506=0),"",(1-M506)/L506)</f>
        <v/>
      </c>
      <c r="P506" s="15"/>
      <c r="Q506" s="12"/>
      <c r="R506" s="12"/>
      <c r="S506" s="13"/>
      <c r="T506" s="16" t="str">
        <f aca="false">IF(OR(S506="",L506=""),"",L506/(1-M506)-S506)</f>
        <v/>
      </c>
      <c r="U506" s="16" t="str">
        <f aca="false">IF(OR(L506="",P506=""),"",L506*(P506-1)-N506)</f>
        <v/>
      </c>
      <c r="V506" s="13"/>
      <c r="W506" s="17"/>
      <c r="X506" s="12"/>
      <c r="Y506" s="12"/>
      <c r="Z506" s="12"/>
      <c r="AA506" s="18" t="str">
        <f aca="false">IF(K506&lt;&gt;"ВИРТУАЛЬНЫЙ ВЫБОР","",IF(Z506="✅ ЗАШЛО",W506*(P506-1),IF(Z506="❌ НЕ ЗАШЛО",-W506,IF(Z506="½ ЗАШЛО",W506*(P506-1)/2,IF(Z506="½ НЕ ЗАШЛО",-W506/2,IF(Z506="ВОЗВРАТ",0,""))))))</f>
        <v/>
      </c>
      <c r="AB506" s="18" t="str">
        <f aca="false">IF(AND(K506="ВИРТУАЛЬНЫЙ ВЫБОР",OR(Z506="✅ ЗАШЛО",Z506="❌ НЕ ЗАШЛО",Z506="½ ЗАШЛО",Z506="½ НЕ ЗАШЛО",Z506="ВОЗВРАТ")),W506,"")</f>
        <v/>
      </c>
      <c r="AC506" s="15"/>
      <c r="AD506" s="16" t="str">
        <f aca="false">IF(OR(AC506="",P506=""),"",P506/AC506-1)</f>
        <v/>
      </c>
      <c r="AE506" s="19" t="str">
        <f aca="false">IF(AND(M506=0,OR(Z506="✅ ЗАШЛО",Z506="❌ НЕ ЗАШЛО"),L506&lt;&gt;""),(L506-IF(Z506="✅ ЗАШЛО",1,0))^2,"")</f>
        <v/>
      </c>
      <c r="AF506" s="15"/>
      <c r="AG506" s="15"/>
      <c r="AH506" s="13"/>
      <c r="AI506" s="13"/>
      <c r="AJ506" s="13"/>
      <c r="AK506" s="20" t="str">
        <f aca="false">IF(AH506="","",IF(ABS(AH506+AI506+AJ506-1)&lt;0.000001,"OK","ОШИБКА"))</f>
        <v/>
      </c>
      <c r="AL506" s="13"/>
      <c r="AM506" s="12"/>
      <c r="AN506" s="12"/>
      <c r="AO506" s="12"/>
      <c r="AP506" s="12"/>
      <c r="AQ506" s="18" t="str">
        <f aca="false">IF(A506="","",N(AQ505)+N(AA506))</f>
        <v/>
      </c>
      <c r="AR506" s="18" t="str">
        <f aca="false">IF(AQ506="","",MAX(0,MAX($AQ$8:AQ506))-AQ506)</f>
        <v/>
      </c>
    </row>
    <row r="507" customFormat="false" ht="15" hidden="false" customHeight="fals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3"/>
      <c r="M507" s="13"/>
      <c r="N507" s="13"/>
      <c r="O507" s="14" t="str">
        <f aca="false">IF(OR(L507="",L507=0),"",(1-M507)/L507)</f>
        <v/>
      </c>
      <c r="P507" s="15"/>
      <c r="Q507" s="12"/>
      <c r="R507" s="12"/>
      <c r="S507" s="13"/>
      <c r="T507" s="16" t="str">
        <f aca="false">IF(OR(S507="",L507=""),"",L507/(1-M507)-S507)</f>
        <v/>
      </c>
      <c r="U507" s="16" t="str">
        <f aca="false">IF(OR(L507="",P507=""),"",L507*(P507-1)-N507)</f>
        <v/>
      </c>
      <c r="V507" s="13"/>
      <c r="W507" s="17"/>
      <c r="X507" s="12"/>
      <c r="Y507" s="12"/>
      <c r="Z507" s="12"/>
      <c r="AA507" s="18" t="str">
        <f aca="false">IF(K507&lt;&gt;"ВИРТУАЛЬНЫЙ ВЫБОР","",IF(Z507="✅ ЗАШЛО",W507*(P507-1),IF(Z507="❌ НЕ ЗАШЛО",-W507,IF(Z507="½ ЗАШЛО",W507*(P507-1)/2,IF(Z507="½ НЕ ЗАШЛО",-W507/2,IF(Z507="ВОЗВРАТ",0,""))))))</f>
        <v/>
      </c>
      <c r="AB507" s="18" t="str">
        <f aca="false">IF(AND(K507="ВИРТУАЛЬНЫЙ ВЫБОР",OR(Z507="✅ ЗАШЛО",Z507="❌ НЕ ЗАШЛО",Z507="½ ЗАШЛО",Z507="½ НЕ ЗАШЛО",Z507="ВОЗВРАТ")),W507,"")</f>
        <v/>
      </c>
      <c r="AC507" s="15"/>
      <c r="AD507" s="16" t="str">
        <f aca="false">IF(OR(AC507="",P507=""),"",P507/AC507-1)</f>
        <v/>
      </c>
      <c r="AE507" s="19" t="str">
        <f aca="false">IF(AND(M507=0,OR(Z507="✅ ЗАШЛО",Z507="❌ НЕ ЗАШЛО"),L507&lt;&gt;""),(L507-IF(Z507="✅ ЗАШЛО",1,0))^2,"")</f>
        <v/>
      </c>
      <c r="AF507" s="15"/>
      <c r="AG507" s="15"/>
      <c r="AH507" s="13"/>
      <c r="AI507" s="13"/>
      <c r="AJ507" s="13"/>
      <c r="AK507" s="20" t="str">
        <f aca="false">IF(AH507="","",IF(ABS(AH507+AI507+AJ507-1)&lt;0.000001,"OK","ОШИБКА"))</f>
        <v/>
      </c>
      <c r="AL507" s="13"/>
      <c r="AM507" s="12"/>
      <c r="AN507" s="12"/>
      <c r="AO507" s="12"/>
      <c r="AP507" s="12"/>
      <c r="AQ507" s="18" t="str">
        <f aca="false">IF(A507="","",N(AQ506)+N(AA507))</f>
        <v/>
      </c>
      <c r="AR507" s="18" t="str">
        <f aca="false">IF(AQ507="","",MAX(0,MAX($AQ$8:AQ507))-AQ507)</f>
        <v/>
      </c>
    </row>
    <row r="508" customFormat="false" ht="15" hidden="false" customHeight="fals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3"/>
      <c r="M508" s="13"/>
      <c r="N508" s="13"/>
      <c r="O508" s="14" t="str">
        <f aca="false">IF(OR(L508="",L508=0),"",(1-M508)/L508)</f>
        <v/>
      </c>
      <c r="P508" s="15"/>
      <c r="Q508" s="12"/>
      <c r="R508" s="12"/>
      <c r="S508" s="13"/>
      <c r="T508" s="16" t="str">
        <f aca="false">IF(OR(S508="",L508=""),"",L508/(1-M508)-S508)</f>
        <v/>
      </c>
      <c r="U508" s="16" t="str">
        <f aca="false">IF(OR(L508="",P508=""),"",L508*(P508-1)-N508)</f>
        <v/>
      </c>
      <c r="V508" s="13"/>
      <c r="W508" s="17"/>
      <c r="X508" s="12"/>
      <c r="Y508" s="12"/>
      <c r="Z508" s="12"/>
      <c r="AA508" s="18" t="str">
        <f aca="false">IF(K508&lt;&gt;"ВИРТУАЛЬНЫЙ ВЫБОР","",IF(Z508="✅ ЗАШЛО",W508*(P508-1),IF(Z508="❌ НЕ ЗАШЛО",-W508,IF(Z508="½ ЗАШЛО",W508*(P508-1)/2,IF(Z508="½ НЕ ЗАШЛО",-W508/2,IF(Z508="ВОЗВРАТ",0,""))))))</f>
        <v/>
      </c>
      <c r="AB508" s="18" t="str">
        <f aca="false">IF(AND(K508="ВИРТУАЛЬНЫЙ ВЫБОР",OR(Z508="✅ ЗАШЛО",Z508="❌ НЕ ЗАШЛО",Z508="½ ЗАШЛО",Z508="½ НЕ ЗАШЛО",Z508="ВОЗВРАТ")),W508,"")</f>
        <v/>
      </c>
      <c r="AC508" s="15"/>
      <c r="AD508" s="16" t="str">
        <f aca="false">IF(OR(AC508="",P508=""),"",P508/AC508-1)</f>
        <v/>
      </c>
      <c r="AE508" s="19" t="str">
        <f aca="false">IF(AND(M508=0,OR(Z508="✅ ЗАШЛО",Z508="❌ НЕ ЗАШЛО"),L508&lt;&gt;""),(L508-IF(Z508="✅ ЗАШЛО",1,0))^2,"")</f>
        <v/>
      </c>
      <c r="AF508" s="15"/>
      <c r="AG508" s="15"/>
      <c r="AH508" s="13"/>
      <c r="AI508" s="13"/>
      <c r="AJ508" s="13"/>
      <c r="AK508" s="20" t="str">
        <f aca="false">IF(AH508="","",IF(ABS(AH508+AI508+AJ508-1)&lt;0.000001,"OK","ОШИБКА"))</f>
        <v/>
      </c>
      <c r="AL508" s="13"/>
      <c r="AM508" s="12"/>
      <c r="AN508" s="12"/>
      <c r="AO508" s="12"/>
      <c r="AP508" s="12"/>
      <c r="AQ508" s="18" t="str">
        <f aca="false">IF(A508="","",N(AQ507)+N(AA508))</f>
        <v/>
      </c>
      <c r="AR508" s="18" t="str">
        <f aca="false">IF(AQ508="","",MAX(0,MAX($AQ$8:AQ508))-AQ508)</f>
        <v/>
      </c>
    </row>
    <row r="509" customFormat="false" ht="15" hidden="false" customHeight="fals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3"/>
      <c r="M509" s="13"/>
      <c r="N509" s="13"/>
      <c r="O509" s="14" t="str">
        <f aca="false">IF(OR(L509="",L509=0),"",(1-M509)/L509)</f>
        <v/>
      </c>
      <c r="P509" s="15"/>
      <c r="Q509" s="12"/>
      <c r="R509" s="12"/>
      <c r="S509" s="13"/>
      <c r="T509" s="16" t="str">
        <f aca="false">IF(OR(S509="",L509=""),"",L509/(1-M509)-S509)</f>
        <v/>
      </c>
      <c r="U509" s="16" t="str">
        <f aca="false">IF(OR(L509="",P509=""),"",L509*(P509-1)-N509)</f>
        <v/>
      </c>
      <c r="V509" s="13"/>
      <c r="W509" s="17"/>
      <c r="X509" s="12"/>
      <c r="Y509" s="12"/>
      <c r="Z509" s="12"/>
      <c r="AA509" s="18" t="str">
        <f aca="false">IF(K509&lt;&gt;"ВИРТУАЛЬНЫЙ ВЫБОР","",IF(Z509="✅ ЗАШЛО",W509*(P509-1),IF(Z509="❌ НЕ ЗАШЛО",-W509,IF(Z509="½ ЗАШЛО",W509*(P509-1)/2,IF(Z509="½ НЕ ЗАШЛО",-W509/2,IF(Z509="ВОЗВРАТ",0,""))))))</f>
        <v/>
      </c>
      <c r="AB509" s="18" t="str">
        <f aca="false">IF(AND(K509="ВИРТУАЛЬНЫЙ ВЫБОР",OR(Z509="✅ ЗАШЛО",Z509="❌ НЕ ЗАШЛО",Z509="½ ЗАШЛО",Z509="½ НЕ ЗАШЛО",Z509="ВОЗВРАТ")),W509,"")</f>
        <v/>
      </c>
      <c r="AC509" s="15"/>
      <c r="AD509" s="16" t="str">
        <f aca="false">IF(OR(AC509="",P509=""),"",P509/AC509-1)</f>
        <v/>
      </c>
      <c r="AE509" s="19" t="str">
        <f aca="false">IF(AND(M509=0,OR(Z509="✅ ЗАШЛО",Z509="❌ НЕ ЗАШЛО"),L509&lt;&gt;""),(L509-IF(Z509="✅ ЗАШЛО",1,0))^2,"")</f>
        <v/>
      </c>
      <c r="AF509" s="15"/>
      <c r="AG509" s="15"/>
      <c r="AH509" s="13"/>
      <c r="AI509" s="13"/>
      <c r="AJ509" s="13"/>
      <c r="AK509" s="20" t="str">
        <f aca="false">IF(AH509="","",IF(ABS(AH509+AI509+AJ509-1)&lt;0.000001,"OK","ОШИБКА"))</f>
        <v/>
      </c>
      <c r="AL509" s="13"/>
      <c r="AM509" s="12"/>
      <c r="AN509" s="12"/>
      <c r="AO509" s="12"/>
      <c r="AP509" s="12"/>
      <c r="AQ509" s="18" t="str">
        <f aca="false">IF(A509="","",N(AQ508)+N(AA509))</f>
        <v/>
      </c>
      <c r="AR509" s="18" t="str">
        <f aca="false">IF(AQ509="","",MAX(0,MAX($AQ$8:AQ509))-AQ509)</f>
        <v/>
      </c>
    </row>
    <row r="510" customFormat="false" ht="15" hidden="false" customHeight="fals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3"/>
      <c r="M510" s="13"/>
      <c r="N510" s="13"/>
      <c r="O510" s="14" t="str">
        <f aca="false">IF(OR(L510="",L510=0),"",(1-M510)/L510)</f>
        <v/>
      </c>
      <c r="P510" s="15"/>
      <c r="Q510" s="12"/>
      <c r="R510" s="12"/>
      <c r="S510" s="13"/>
      <c r="T510" s="16" t="str">
        <f aca="false">IF(OR(S510="",L510=""),"",L510/(1-M510)-S510)</f>
        <v/>
      </c>
      <c r="U510" s="16" t="str">
        <f aca="false">IF(OR(L510="",P510=""),"",L510*(P510-1)-N510)</f>
        <v/>
      </c>
      <c r="V510" s="13"/>
      <c r="W510" s="17"/>
      <c r="X510" s="12"/>
      <c r="Y510" s="12"/>
      <c r="Z510" s="12"/>
      <c r="AA510" s="18" t="str">
        <f aca="false">IF(K510&lt;&gt;"ВИРТУАЛЬНЫЙ ВЫБОР","",IF(Z510="✅ ЗАШЛО",W510*(P510-1),IF(Z510="❌ НЕ ЗАШЛО",-W510,IF(Z510="½ ЗАШЛО",W510*(P510-1)/2,IF(Z510="½ НЕ ЗАШЛО",-W510/2,IF(Z510="ВОЗВРАТ",0,""))))))</f>
        <v/>
      </c>
      <c r="AB510" s="18" t="str">
        <f aca="false">IF(AND(K510="ВИРТУАЛЬНЫЙ ВЫБОР",OR(Z510="✅ ЗАШЛО",Z510="❌ НЕ ЗАШЛО",Z510="½ ЗАШЛО",Z510="½ НЕ ЗАШЛО",Z510="ВОЗВРАТ")),W510,"")</f>
        <v/>
      </c>
      <c r="AC510" s="15"/>
      <c r="AD510" s="16" t="str">
        <f aca="false">IF(OR(AC510="",P510=""),"",P510/AC510-1)</f>
        <v/>
      </c>
      <c r="AE510" s="19" t="str">
        <f aca="false">IF(AND(M510=0,OR(Z510="✅ ЗАШЛО",Z510="❌ НЕ ЗАШЛО"),L510&lt;&gt;""),(L510-IF(Z510="✅ ЗАШЛО",1,0))^2,"")</f>
        <v/>
      </c>
      <c r="AF510" s="15"/>
      <c r="AG510" s="15"/>
      <c r="AH510" s="13"/>
      <c r="AI510" s="13"/>
      <c r="AJ510" s="13"/>
      <c r="AK510" s="20" t="str">
        <f aca="false">IF(AH510="","",IF(ABS(AH510+AI510+AJ510-1)&lt;0.000001,"OK","ОШИБКА"))</f>
        <v/>
      </c>
      <c r="AL510" s="13"/>
      <c r="AM510" s="12"/>
      <c r="AN510" s="12"/>
      <c r="AO510" s="12"/>
      <c r="AP510" s="12"/>
      <c r="AQ510" s="18" t="str">
        <f aca="false">IF(A510="","",N(AQ509)+N(AA510))</f>
        <v/>
      </c>
      <c r="AR510" s="18" t="str">
        <f aca="false">IF(AQ510="","",MAX(0,MAX($AQ$8:AQ510))-AQ510)</f>
        <v/>
      </c>
    </row>
    <row r="511" customFormat="false" ht="15" hidden="false" customHeight="fals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3"/>
      <c r="M511" s="13"/>
      <c r="N511" s="13"/>
      <c r="O511" s="14" t="str">
        <f aca="false">IF(OR(L511="",L511=0),"",(1-M511)/L511)</f>
        <v/>
      </c>
      <c r="P511" s="15"/>
      <c r="Q511" s="12"/>
      <c r="R511" s="12"/>
      <c r="S511" s="13"/>
      <c r="T511" s="16" t="str">
        <f aca="false">IF(OR(S511="",L511=""),"",L511/(1-M511)-S511)</f>
        <v/>
      </c>
      <c r="U511" s="16" t="str">
        <f aca="false">IF(OR(L511="",P511=""),"",L511*(P511-1)-N511)</f>
        <v/>
      </c>
      <c r="V511" s="13"/>
      <c r="W511" s="17"/>
      <c r="X511" s="12"/>
      <c r="Y511" s="12"/>
      <c r="Z511" s="12"/>
      <c r="AA511" s="18" t="str">
        <f aca="false">IF(K511&lt;&gt;"ВИРТУАЛЬНЫЙ ВЫБОР","",IF(Z511="✅ ЗАШЛО",W511*(P511-1),IF(Z511="❌ НЕ ЗАШЛО",-W511,IF(Z511="½ ЗАШЛО",W511*(P511-1)/2,IF(Z511="½ НЕ ЗАШЛО",-W511/2,IF(Z511="ВОЗВРАТ",0,""))))))</f>
        <v/>
      </c>
      <c r="AB511" s="18" t="str">
        <f aca="false">IF(AND(K511="ВИРТУАЛЬНЫЙ ВЫБОР",OR(Z511="✅ ЗАШЛО",Z511="❌ НЕ ЗАШЛО",Z511="½ ЗАШЛО",Z511="½ НЕ ЗАШЛО",Z511="ВОЗВРАТ")),W511,"")</f>
        <v/>
      </c>
      <c r="AC511" s="15"/>
      <c r="AD511" s="16" t="str">
        <f aca="false">IF(OR(AC511="",P511=""),"",P511/AC511-1)</f>
        <v/>
      </c>
      <c r="AE511" s="19" t="str">
        <f aca="false">IF(AND(M511=0,OR(Z511="✅ ЗАШЛО",Z511="❌ НЕ ЗАШЛО"),L511&lt;&gt;""),(L511-IF(Z511="✅ ЗАШЛО",1,0))^2,"")</f>
        <v/>
      </c>
      <c r="AF511" s="15"/>
      <c r="AG511" s="15"/>
      <c r="AH511" s="13"/>
      <c r="AI511" s="13"/>
      <c r="AJ511" s="13"/>
      <c r="AK511" s="20" t="str">
        <f aca="false">IF(AH511="","",IF(ABS(AH511+AI511+AJ511-1)&lt;0.000001,"OK","ОШИБКА"))</f>
        <v/>
      </c>
      <c r="AL511" s="13"/>
      <c r="AM511" s="12"/>
      <c r="AN511" s="12"/>
      <c r="AO511" s="12"/>
      <c r="AP511" s="12"/>
      <c r="AQ511" s="18" t="str">
        <f aca="false">IF(A511="","",N(AQ510)+N(AA511))</f>
        <v/>
      </c>
      <c r="AR511" s="18" t="str">
        <f aca="false">IF(AQ511="","",MAX(0,MAX($AQ$8:AQ511))-AQ511)</f>
        <v/>
      </c>
    </row>
    <row r="512" customFormat="false" ht="15" hidden="false" customHeight="fals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3"/>
      <c r="M512" s="13"/>
      <c r="N512" s="13"/>
      <c r="O512" s="14" t="str">
        <f aca="false">IF(OR(L512="",L512=0),"",(1-M512)/L512)</f>
        <v/>
      </c>
      <c r="P512" s="15"/>
      <c r="Q512" s="12"/>
      <c r="R512" s="12"/>
      <c r="S512" s="13"/>
      <c r="T512" s="16" t="str">
        <f aca="false">IF(OR(S512="",L512=""),"",L512/(1-M512)-S512)</f>
        <v/>
      </c>
      <c r="U512" s="16" t="str">
        <f aca="false">IF(OR(L512="",P512=""),"",L512*(P512-1)-N512)</f>
        <v/>
      </c>
      <c r="V512" s="13"/>
      <c r="W512" s="17"/>
      <c r="X512" s="12"/>
      <c r="Y512" s="12"/>
      <c r="Z512" s="12"/>
      <c r="AA512" s="18" t="str">
        <f aca="false">IF(K512&lt;&gt;"ВИРТУАЛЬНЫЙ ВЫБОР","",IF(Z512="✅ ЗАШЛО",W512*(P512-1),IF(Z512="❌ НЕ ЗАШЛО",-W512,IF(Z512="½ ЗАШЛО",W512*(P512-1)/2,IF(Z512="½ НЕ ЗАШЛО",-W512/2,IF(Z512="ВОЗВРАТ",0,""))))))</f>
        <v/>
      </c>
      <c r="AB512" s="18" t="str">
        <f aca="false">IF(AND(K512="ВИРТУАЛЬНЫЙ ВЫБОР",OR(Z512="✅ ЗАШЛО",Z512="❌ НЕ ЗАШЛО",Z512="½ ЗАШЛО",Z512="½ НЕ ЗАШЛО",Z512="ВОЗВРАТ")),W512,"")</f>
        <v/>
      </c>
      <c r="AC512" s="15"/>
      <c r="AD512" s="16" t="str">
        <f aca="false">IF(OR(AC512="",P512=""),"",P512/AC512-1)</f>
        <v/>
      </c>
      <c r="AE512" s="19" t="str">
        <f aca="false">IF(AND(M512=0,OR(Z512="✅ ЗАШЛО",Z512="❌ НЕ ЗАШЛО"),L512&lt;&gt;""),(L512-IF(Z512="✅ ЗАШЛО",1,0))^2,"")</f>
        <v/>
      </c>
      <c r="AF512" s="15"/>
      <c r="AG512" s="15"/>
      <c r="AH512" s="13"/>
      <c r="AI512" s="13"/>
      <c r="AJ512" s="13"/>
      <c r="AK512" s="20" t="str">
        <f aca="false">IF(AH512="","",IF(ABS(AH512+AI512+AJ512-1)&lt;0.000001,"OK","ОШИБКА"))</f>
        <v/>
      </c>
      <c r="AL512" s="13"/>
      <c r="AM512" s="12"/>
      <c r="AN512" s="12"/>
      <c r="AO512" s="12"/>
      <c r="AP512" s="12"/>
      <c r="AQ512" s="18" t="str">
        <f aca="false">IF(A512="","",N(AQ511)+N(AA512))</f>
        <v/>
      </c>
      <c r="AR512" s="18" t="str">
        <f aca="false">IF(AQ512="","",MAX(0,MAX($AQ$8:AQ512))-AQ512)</f>
        <v/>
      </c>
    </row>
    <row r="513" customFormat="false" ht="15" hidden="false" customHeight="fals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3"/>
      <c r="M513" s="13"/>
      <c r="N513" s="13"/>
      <c r="O513" s="14" t="str">
        <f aca="false">IF(OR(L513="",L513=0),"",(1-M513)/L513)</f>
        <v/>
      </c>
      <c r="P513" s="15"/>
      <c r="Q513" s="12"/>
      <c r="R513" s="12"/>
      <c r="S513" s="13"/>
      <c r="T513" s="16" t="str">
        <f aca="false">IF(OR(S513="",L513=""),"",L513/(1-M513)-S513)</f>
        <v/>
      </c>
      <c r="U513" s="16" t="str">
        <f aca="false">IF(OR(L513="",P513=""),"",L513*(P513-1)-N513)</f>
        <v/>
      </c>
      <c r="V513" s="13"/>
      <c r="W513" s="17"/>
      <c r="X513" s="12"/>
      <c r="Y513" s="12"/>
      <c r="Z513" s="12"/>
      <c r="AA513" s="18" t="str">
        <f aca="false">IF(K513&lt;&gt;"ВИРТУАЛЬНЫЙ ВЫБОР","",IF(Z513="✅ ЗАШЛО",W513*(P513-1),IF(Z513="❌ НЕ ЗАШЛО",-W513,IF(Z513="½ ЗАШЛО",W513*(P513-1)/2,IF(Z513="½ НЕ ЗАШЛО",-W513/2,IF(Z513="ВОЗВРАТ",0,""))))))</f>
        <v/>
      </c>
      <c r="AB513" s="18" t="str">
        <f aca="false">IF(AND(K513="ВИРТУАЛЬНЫЙ ВЫБОР",OR(Z513="✅ ЗАШЛО",Z513="❌ НЕ ЗАШЛО",Z513="½ ЗАШЛО",Z513="½ НЕ ЗАШЛО",Z513="ВОЗВРАТ")),W513,"")</f>
        <v/>
      </c>
      <c r="AC513" s="15"/>
      <c r="AD513" s="16" t="str">
        <f aca="false">IF(OR(AC513="",P513=""),"",P513/AC513-1)</f>
        <v/>
      </c>
      <c r="AE513" s="19" t="str">
        <f aca="false">IF(AND(M513=0,OR(Z513="✅ ЗАШЛО",Z513="❌ НЕ ЗАШЛО"),L513&lt;&gt;""),(L513-IF(Z513="✅ ЗАШЛО",1,0))^2,"")</f>
        <v/>
      </c>
      <c r="AF513" s="15"/>
      <c r="AG513" s="15"/>
      <c r="AH513" s="13"/>
      <c r="AI513" s="13"/>
      <c r="AJ513" s="13"/>
      <c r="AK513" s="20" t="str">
        <f aca="false">IF(AH513="","",IF(ABS(AH513+AI513+AJ513-1)&lt;0.000001,"OK","ОШИБКА"))</f>
        <v/>
      </c>
      <c r="AL513" s="13"/>
      <c r="AM513" s="12"/>
      <c r="AN513" s="12"/>
      <c r="AO513" s="12"/>
      <c r="AP513" s="12"/>
      <c r="AQ513" s="18" t="str">
        <f aca="false">IF(A513="","",N(AQ512)+N(AA513))</f>
        <v/>
      </c>
      <c r="AR513" s="18" t="str">
        <f aca="false">IF(AQ513="","",MAX(0,MAX($AQ$8:AQ513))-AQ513)</f>
        <v/>
      </c>
    </row>
    <row r="514" customFormat="false" ht="15" hidden="false" customHeight="fals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3"/>
      <c r="M514" s="13"/>
      <c r="N514" s="13"/>
      <c r="O514" s="14" t="str">
        <f aca="false">IF(OR(L514="",L514=0),"",(1-M514)/L514)</f>
        <v/>
      </c>
      <c r="P514" s="15"/>
      <c r="Q514" s="12"/>
      <c r="R514" s="12"/>
      <c r="S514" s="13"/>
      <c r="T514" s="16" t="str">
        <f aca="false">IF(OR(S514="",L514=""),"",L514/(1-M514)-S514)</f>
        <v/>
      </c>
      <c r="U514" s="16" t="str">
        <f aca="false">IF(OR(L514="",P514=""),"",L514*(P514-1)-N514)</f>
        <v/>
      </c>
      <c r="V514" s="13"/>
      <c r="W514" s="17"/>
      <c r="X514" s="12"/>
      <c r="Y514" s="12"/>
      <c r="Z514" s="12"/>
      <c r="AA514" s="18" t="str">
        <f aca="false">IF(K514&lt;&gt;"ВИРТУАЛЬНЫЙ ВЫБОР","",IF(Z514="✅ ЗАШЛО",W514*(P514-1),IF(Z514="❌ НЕ ЗАШЛО",-W514,IF(Z514="½ ЗАШЛО",W514*(P514-1)/2,IF(Z514="½ НЕ ЗАШЛО",-W514/2,IF(Z514="ВОЗВРАТ",0,""))))))</f>
        <v/>
      </c>
      <c r="AB514" s="18" t="str">
        <f aca="false">IF(AND(K514="ВИРТУАЛЬНЫЙ ВЫБОР",OR(Z514="✅ ЗАШЛО",Z514="❌ НЕ ЗАШЛО",Z514="½ ЗАШЛО",Z514="½ НЕ ЗАШЛО",Z514="ВОЗВРАТ")),W514,"")</f>
        <v/>
      </c>
      <c r="AC514" s="15"/>
      <c r="AD514" s="16" t="str">
        <f aca="false">IF(OR(AC514="",P514=""),"",P514/AC514-1)</f>
        <v/>
      </c>
      <c r="AE514" s="19" t="str">
        <f aca="false">IF(AND(M514=0,OR(Z514="✅ ЗАШЛО",Z514="❌ НЕ ЗАШЛО"),L514&lt;&gt;""),(L514-IF(Z514="✅ ЗАШЛО",1,0))^2,"")</f>
        <v/>
      </c>
      <c r="AF514" s="15"/>
      <c r="AG514" s="15"/>
      <c r="AH514" s="13"/>
      <c r="AI514" s="13"/>
      <c r="AJ514" s="13"/>
      <c r="AK514" s="20" t="str">
        <f aca="false">IF(AH514="","",IF(ABS(AH514+AI514+AJ514-1)&lt;0.000001,"OK","ОШИБКА"))</f>
        <v/>
      </c>
      <c r="AL514" s="13"/>
      <c r="AM514" s="12"/>
      <c r="AN514" s="12"/>
      <c r="AO514" s="12"/>
      <c r="AP514" s="12"/>
      <c r="AQ514" s="18" t="str">
        <f aca="false">IF(A514="","",N(AQ513)+N(AA514))</f>
        <v/>
      </c>
      <c r="AR514" s="18" t="str">
        <f aca="false">IF(AQ514="","",MAX(0,MAX($AQ$8:AQ514))-AQ514)</f>
        <v/>
      </c>
    </row>
    <row r="515" customFormat="false" ht="15" hidden="false" customHeight="fals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3"/>
      <c r="M515" s="13"/>
      <c r="N515" s="13"/>
      <c r="O515" s="14" t="str">
        <f aca="false">IF(OR(L515="",L515=0),"",(1-M515)/L515)</f>
        <v/>
      </c>
      <c r="P515" s="15"/>
      <c r="Q515" s="12"/>
      <c r="R515" s="12"/>
      <c r="S515" s="13"/>
      <c r="T515" s="16" t="str">
        <f aca="false">IF(OR(S515="",L515=""),"",L515/(1-M515)-S515)</f>
        <v/>
      </c>
      <c r="U515" s="16" t="str">
        <f aca="false">IF(OR(L515="",P515=""),"",L515*(P515-1)-N515)</f>
        <v/>
      </c>
      <c r="V515" s="13"/>
      <c r="W515" s="17"/>
      <c r="X515" s="12"/>
      <c r="Y515" s="12"/>
      <c r="Z515" s="12"/>
      <c r="AA515" s="18" t="str">
        <f aca="false">IF(K515&lt;&gt;"ВИРТУАЛЬНЫЙ ВЫБОР","",IF(Z515="✅ ЗАШЛО",W515*(P515-1),IF(Z515="❌ НЕ ЗАШЛО",-W515,IF(Z515="½ ЗАШЛО",W515*(P515-1)/2,IF(Z515="½ НЕ ЗАШЛО",-W515/2,IF(Z515="ВОЗВРАТ",0,""))))))</f>
        <v/>
      </c>
      <c r="AB515" s="18" t="str">
        <f aca="false">IF(AND(K515="ВИРТУАЛЬНЫЙ ВЫБОР",OR(Z515="✅ ЗАШЛО",Z515="❌ НЕ ЗАШЛО",Z515="½ ЗАШЛО",Z515="½ НЕ ЗАШЛО",Z515="ВОЗВРАТ")),W515,"")</f>
        <v/>
      </c>
      <c r="AC515" s="15"/>
      <c r="AD515" s="16" t="str">
        <f aca="false">IF(OR(AC515="",P515=""),"",P515/AC515-1)</f>
        <v/>
      </c>
      <c r="AE515" s="19" t="str">
        <f aca="false">IF(AND(M515=0,OR(Z515="✅ ЗАШЛО",Z515="❌ НЕ ЗАШЛО"),L515&lt;&gt;""),(L515-IF(Z515="✅ ЗАШЛО",1,0))^2,"")</f>
        <v/>
      </c>
      <c r="AF515" s="15"/>
      <c r="AG515" s="15"/>
      <c r="AH515" s="13"/>
      <c r="AI515" s="13"/>
      <c r="AJ515" s="13"/>
      <c r="AK515" s="20" t="str">
        <f aca="false">IF(AH515="","",IF(ABS(AH515+AI515+AJ515-1)&lt;0.000001,"OK","ОШИБКА"))</f>
        <v/>
      </c>
      <c r="AL515" s="13"/>
      <c r="AM515" s="12"/>
      <c r="AN515" s="12"/>
      <c r="AO515" s="12"/>
      <c r="AP515" s="12"/>
      <c r="AQ515" s="18" t="str">
        <f aca="false">IF(A515="","",N(AQ514)+N(AA515))</f>
        <v/>
      </c>
      <c r="AR515" s="18" t="str">
        <f aca="false">IF(AQ515="","",MAX(0,MAX($AQ$8:AQ515))-AQ515)</f>
        <v/>
      </c>
    </row>
    <row r="516" customFormat="false" ht="15" hidden="false" customHeight="fals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3"/>
      <c r="M516" s="13"/>
      <c r="N516" s="13"/>
      <c r="O516" s="14" t="str">
        <f aca="false">IF(OR(L516="",L516=0),"",(1-M516)/L516)</f>
        <v/>
      </c>
      <c r="P516" s="15"/>
      <c r="Q516" s="12"/>
      <c r="R516" s="12"/>
      <c r="S516" s="13"/>
      <c r="T516" s="16" t="str">
        <f aca="false">IF(OR(S516="",L516=""),"",L516/(1-M516)-S516)</f>
        <v/>
      </c>
      <c r="U516" s="16" t="str">
        <f aca="false">IF(OR(L516="",P516=""),"",L516*(P516-1)-N516)</f>
        <v/>
      </c>
      <c r="V516" s="13"/>
      <c r="W516" s="17"/>
      <c r="X516" s="12"/>
      <c r="Y516" s="12"/>
      <c r="Z516" s="12"/>
      <c r="AA516" s="18" t="str">
        <f aca="false">IF(K516&lt;&gt;"ВИРТУАЛЬНЫЙ ВЫБОР","",IF(Z516="✅ ЗАШЛО",W516*(P516-1),IF(Z516="❌ НЕ ЗАШЛО",-W516,IF(Z516="½ ЗАШЛО",W516*(P516-1)/2,IF(Z516="½ НЕ ЗАШЛО",-W516/2,IF(Z516="ВОЗВРАТ",0,""))))))</f>
        <v/>
      </c>
      <c r="AB516" s="18" t="str">
        <f aca="false">IF(AND(K516="ВИРТУАЛЬНЫЙ ВЫБОР",OR(Z516="✅ ЗАШЛО",Z516="❌ НЕ ЗАШЛО",Z516="½ ЗАШЛО",Z516="½ НЕ ЗАШЛО",Z516="ВОЗВРАТ")),W516,"")</f>
        <v/>
      </c>
      <c r="AC516" s="15"/>
      <c r="AD516" s="16" t="str">
        <f aca="false">IF(OR(AC516="",P516=""),"",P516/AC516-1)</f>
        <v/>
      </c>
      <c r="AE516" s="19" t="str">
        <f aca="false">IF(AND(M516=0,OR(Z516="✅ ЗАШЛО",Z516="❌ НЕ ЗАШЛО"),L516&lt;&gt;""),(L516-IF(Z516="✅ ЗАШЛО",1,0))^2,"")</f>
        <v/>
      </c>
      <c r="AF516" s="15"/>
      <c r="AG516" s="15"/>
      <c r="AH516" s="13"/>
      <c r="AI516" s="13"/>
      <c r="AJ516" s="13"/>
      <c r="AK516" s="20" t="str">
        <f aca="false">IF(AH516="","",IF(ABS(AH516+AI516+AJ516-1)&lt;0.000001,"OK","ОШИБКА"))</f>
        <v/>
      </c>
      <c r="AL516" s="13"/>
      <c r="AM516" s="12"/>
      <c r="AN516" s="12"/>
      <c r="AO516" s="12"/>
      <c r="AP516" s="12"/>
      <c r="AQ516" s="18" t="str">
        <f aca="false">IF(A516="","",N(AQ515)+N(AA516))</f>
        <v/>
      </c>
      <c r="AR516" s="18" t="str">
        <f aca="false">IF(AQ516="","",MAX(0,MAX($AQ$8:AQ516))-AQ516)</f>
        <v/>
      </c>
    </row>
    <row r="517" customFormat="false" ht="15" hidden="false" customHeight="fals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3"/>
      <c r="M517" s="13"/>
      <c r="N517" s="13"/>
      <c r="O517" s="14" t="str">
        <f aca="false">IF(OR(L517="",L517=0),"",(1-M517)/L517)</f>
        <v/>
      </c>
      <c r="P517" s="15"/>
      <c r="Q517" s="12"/>
      <c r="R517" s="12"/>
      <c r="S517" s="13"/>
      <c r="T517" s="16" t="str">
        <f aca="false">IF(OR(S517="",L517=""),"",L517/(1-M517)-S517)</f>
        <v/>
      </c>
      <c r="U517" s="16" t="str">
        <f aca="false">IF(OR(L517="",P517=""),"",L517*(P517-1)-N517)</f>
        <v/>
      </c>
      <c r="V517" s="13"/>
      <c r="W517" s="17"/>
      <c r="X517" s="12"/>
      <c r="Y517" s="12"/>
      <c r="Z517" s="12"/>
      <c r="AA517" s="18" t="str">
        <f aca="false">IF(K517&lt;&gt;"ВИРТУАЛЬНЫЙ ВЫБОР","",IF(Z517="✅ ЗАШЛО",W517*(P517-1),IF(Z517="❌ НЕ ЗАШЛО",-W517,IF(Z517="½ ЗАШЛО",W517*(P517-1)/2,IF(Z517="½ НЕ ЗАШЛО",-W517/2,IF(Z517="ВОЗВРАТ",0,""))))))</f>
        <v/>
      </c>
      <c r="AB517" s="18" t="str">
        <f aca="false">IF(AND(K517="ВИРТУАЛЬНЫЙ ВЫБОР",OR(Z517="✅ ЗАШЛО",Z517="❌ НЕ ЗАШЛО",Z517="½ ЗАШЛО",Z517="½ НЕ ЗАШЛО",Z517="ВОЗВРАТ")),W517,"")</f>
        <v/>
      </c>
      <c r="AC517" s="15"/>
      <c r="AD517" s="16" t="str">
        <f aca="false">IF(OR(AC517="",P517=""),"",P517/AC517-1)</f>
        <v/>
      </c>
      <c r="AE517" s="19" t="str">
        <f aca="false">IF(AND(M517=0,OR(Z517="✅ ЗАШЛО",Z517="❌ НЕ ЗАШЛО"),L517&lt;&gt;""),(L517-IF(Z517="✅ ЗАШЛО",1,0))^2,"")</f>
        <v/>
      </c>
      <c r="AF517" s="15"/>
      <c r="AG517" s="15"/>
      <c r="AH517" s="13"/>
      <c r="AI517" s="13"/>
      <c r="AJ517" s="13"/>
      <c r="AK517" s="20" t="str">
        <f aca="false">IF(AH517="","",IF(ABS(AH517+AI517+AJ517-1)&lt;0.000001,"OK","ОШИБКА"))</f>
        <v/>
      </c>
      <c r="AL517" s="13"/>
      <c r="AM517" s="12"/>
      <c r="AN517" s="12"/>
      <c r="AO517" s="12"/>
      <c r="AP517" s="12"/>
      <c r="AQ517" s="18" t="str">
        <f aca="false">IF(A517="","",N(AQ516)+N(AA517))</f>
        <v/>
      </c>
      <c r="AR517" s="18" t="str">
        <f aca="false">IF(AQ517="","",MAX(0,MAX($AQ$8:AQ517))-AQ517)</f>
        <v/>
      </c>
    </row>
    <row r="518" customFormat="false" ht="15" hidden="false" customHeight="fals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3"/>
      <c r="M518" s="13"/>
      <c r="N518" s="13"/>
      <c r="O518" s="14" t="str">
        <f aca="false">IF(OR(L518="",L518=0),"",(1-M518)/L518)</f>
        <v/>
      </c>
      <c r="P518" s="15"/>
      <c r="Q518" s="12"/>
      <c r="R518" s="12"/>
      <c r="S518" s="13"/>
      <c r="T518" s="16" t="str">
        <f aca="false">IF(OR(S518="",L518=""),"",L518/(1-M518)-S518)</f>
        <v/>
      </c>
      <c r="U518" s="16" t="str">
        <f aca="false">IF(OR(L518="",P518=""),"",L518*(P518-1)-N518)</f>
        <v/>
      </c>
      <c r="V518" s="13"/>
      <c r="W518" s="17"/>
      <c r="X518" s="12"/>
      <c r="Y518" s="12"/>
      <c r="Z518" s="12"/>
      <c r="AA518" s="18" t="str">
        <f aca="false">IF(K518&lt;&gt;"ВИРТУАЛЬНЫЙ ВЫБОР","",IF(Z518="✅ ЗАШЛО",W518*(P518-1),IF(Z518="❌ НЕ ЗАШЛО",-W518,IF(Z518="½ ЗАШЛО",W518*(P518-1)/2,IF(Z518="½ НЕ ЗАШЛО",-W518/2,IF(Z518="ВОЗВРАТ",0,""))))))</f>
        <v/>
      </c>
      <c r="AB518" s="18" t="str">
        <f aca="false">IF(AND(K518="ВИРТУАЛЬНЫЙ ВЫБОР",OR(Z518="✅ ЗАШЛО",Z518="❌ НЕ ЗАШЛО",Z518="½ ЗАШЛО",Z518="½ НЕ ЗАШЛО",Z518="ВОЗВРАТ")),W518,"")</f>
        <v/>
      </c>
      <c r="AC518" s="15"/>
      <c r="AD518" s="16" t="str">
        <f aca="false">IF(OR(AC518="",P518=""),"",P518/AC518-1)</f>
        <v/>
      </c>
      <c r="AE518" s="19" t="str">
        <f aca="false">IF(AND(M518=0,OR(Z518="✅ ЗАШЛО",Z518="❌ НЕ ЗАШЛО"),L518&lt;&gt;""),(L518-IF(Z518="✅ ЗАШЛО",1,0))^2,"")</f>
        <v/>
      </c>
      <c r="AF518" s="15"/>
      <c r="AG518" s="15"/>
      <c r="AH518" s="13"/>
      <c r="AI518" s="13"/>
      <c r="AJ518" s="13"/>
      <c r="AK518" s="20" t="str">
        <f aca="false">IF(AH518="","",IF(ABS(AH518+AI518+AJ518-1)&lt;0.000001,"OK","ОШИБКА"))</f>
        <v/>
      </c>
      <c r="AL518" s="13"/>
      <c r="AM518" s="12"/>
      <c r="AN518" s="12"/>
      <c r="AO518" s="12"/>
      <c r="AP518" s="12"/>
      <c r="AQ518" s="18" t="str">
        <f aca="false">IF(A518="","",N(AQ517)+N(AA518))</f>
        <v/>
      </c>
      <c r="AR518" s="18" t="str">
        <f aca="false">IF(AQ518="","",MAX(0,MAX($AQ$8:AQ518))-AQ518)</f>
        <v/>
      </c>
    </row>
    <row r="519" customFormat="false" ht="15" hidden="false" customHeight="fals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3"/>
      <c r="M519" s="13"/>
      <c r="N519" s="13"/>
      <c r="O519" s="14" t="str">
        <f aca="false">IF(OR(L519="",L519=0),"",(1-M519)/L519)</f>
        <v/>
      </c>
      <c r="P519" s="15"/>
      <c r="Q519" s="12"/>
      <c r="R519" s="12"/>
      <c r="S519" s="13"/>
      <c r="T519" s="16" t="str">
        <f aca="false">IF(OR(S519="",L519=""),"",L519/(1-M519)-S519)</f>
        <v/>
      </c>
      <c r="U519" s="16" t="str">
        <f aca="false">IF(OR(L519="",P519=""),"",L519*(P519-1)-N519)</f>
        <v/>
      </c>
      <c r="V519" s="13"/>
      <c r="W519" s="17"/>
      <c r="X519" s="12"/>
      <c r="Y519" s="12"/>
      <c r="Z519" s="12"/>
      <c r="AA519" s="18" t="str">
        <f aca="false">IF(K519&lt;&gt;"ВИРТУАЛЬНЫЙ ВЫБОР","",IF(Z519="✅ ЗАШЛО",W519*(P519-1),IF(Z519="❌ НЕ ЗАШЛО",-W519,IF(Z519="½ ЗАШЛО",W519*(P519-1)/2,IF(Z519="½ НЕ ЗАШЛО",-W519/2,IF(Z519="ВОЗВРАТ",0,""))))))</f>
        <v/>
      </c>
      <c r="AB519" s="18" t="str">
        <f aca="false">IF(AND(K519="ВИРТУАЛЬНЫЙ ВЫБОР",OR(Z519="✅ ЗАШЛО",Z519="❌ НЕ ЗАШЛО",Z519="½ ЗАШЛО",Z519="½ НЕ ЗАШЛО",Z519="ВОЗВРАТ")),W519,"")</f>
        <v/>
      </c>
      <c r="AC519" s="15"/>
      <c r="AD519" s="16" t="str">
        <f aca="false">IF(OR(AC519="",P519=""),"",P519/AC519-1)</f>
        <v/>
      </c>
      <c r="AE519" s="19" t="str">
        <f aca="false">IF(AND(M519=0,OR(Z519="✅ ЗАШЛО",Z519="❌ НЕ ЗАШЛО"),L519&lt;&gt;""),(L519-IF(Z519="✅ ЗАШЛО",1,0))^2,"")</f>
        <v/>
      </c>
      <c r="AF519" s="15"/>
      <c r="AG519" s="15"/>
      <c r="AH519" s="13"/>
      <c r="AI519" s="13"/>
      <c r="AJ519" s="13"/>
      <c r="AK519" s="20" t="str">
        <f aca="false">IF(AH519="","",IF(ABS(AH519+AI519+AJ519-1)&lt;0.000001,"OK","ОШИБКА"))</f>
        <v/>
      </c>
      <c r="AL519" s="13"/>
      <c r="AM519" s="12"/>
      <c r="AN519" s="12"/>
      <c r="AO519" s="12"/>
      <c r="AP519" s="12"/>
      <c r="AQ519" s="18" t="str">
        <f aca="false">IF(A519="","",N(AQ518)+N(AA519))</f>
        <v/>
      </c>
      <c r="AR519" s="18" t="str">
        <f aca="false">IF(AQ519="","",MAX(0,MAX($AQ$8:AQ519))-AQ519)</f>
        <v/>
      </c>
    </row>
    <row r="520" customFormat="false" ht="15" hidden="false" customHeight="fals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3"/>
      <c r="M520" s="13"/>
      <c r="N520" s="13"/>
      <c r="O520" s="14" t="str">
        <f aca="false">IF(OR(L520="",L520=0),"",(1-M520)/L520)</f>
        <v/>
      </c>
      <c r="P520" s="15"/>
      <c r="Q520" s="12"/>
      <c r="R520" s="12"/>
      <c r="S520" s="13"/>
      <c r="T520" s="16" t="str">
        <f aca="false">IF(OR(S520="",L520=""),"",L520/(1-M520)-S520)</f>
        <v/>
      </c>
      <c r="U520" s="16" t="str">
        <f aca="false">IF(OR(L520="",P520=""),"",L520*(P520-1)-N520)</f>
        <v/>
      </c>
      <c r="V520" s="13"/>
      <c r="W520" s="17"/>
      <c r="X520" s="12"/>
      <c r="Y520" s="12"/>
      <c r="Z520" s="12"/>
      <c r="AA520" s="18" t="str">
        <f aca="false">IF(K520&lt;&gt;"ВИРТУАЛЬНЫЙ ВЫБОР","",IF(Z520="✅ ЗАШЛО",W520*(P520-1),IF(Z520="❌ НЕ ЗАШЛО",-W520,IF(Z520="½ ЗАШЛО",W520*(P520-1)/2,IF(Z520="½ НЕ ЗАШЛО",-W520/2,IF(Z520="ВОЗВРАТ",0,""))))))</f>
        <v/>
      </c>
      <c r="AB520" s="18" t="str">
        <f aca="false">IF(AND(K520="ВИРТУАЛЬНЫЙ ВЫБОР",OR(Z520="✅ ЗАШЛО",Z520="❌ НЕ ЗАШЛО",Z520="½ ЗАШЛО",Z520="½ НЕ ЗАШЛО",Z520="ВОЗВРАТ")),W520,"")</f>
        <v/>
      </c>
      <c r="AC520" s="15"/>
      <c r="AD520" s="16" t="str">
        <f aca="false">IF(OR(AC520="",P520=""),"",P520/AC520-1)</f>
        <v/>
      </c>
      <c r="AE520" s="19" t="str">
        <f aca="false">IF(AND(M520=0,OR(Z520="✅ ЗАШЛО",Z520="❌ НЕ ЗАШЛО"),L520&lt;&gt;""),(L520-IF(Z520="✅ ЗАШЛО",1,0))^2,"")</f>
        <v/>
      </c>
      <c r="AF520" s="15"/>
      <c r="AG520" s="15"/>
      <c r="AH520" s="13"/>
      <c r="AI520" s="13"/>
      <c r="AJ520" s="13"/>
      <c r="AK520" s="20" t="str">
        <f aca="false">IF(AH520="","",IF(ABS(AH520+AI520+AJ520-1)&lt;0.000001,"OK","ОШИБКА"))</f>
        <v/>
      </c>
      <c r="AL520" s="13"/>
      <c r="AM520" s="12"/>
      <c r="AN520" s="12"/>
      <c r="AO520" s="12"/>
      <c r="AP520" s="12"/>
      <c r="AQ520" s="18" t="str">
        <f aca="false">IF(A520="","",N(AQ519)+N(AA520))</f>
        <v/>
      </c>
      <c r="AR520" s="18" t="str">
        <f aca="false">IF(AQ520="","",MAX(0,MAX($AQ$8:AQ520))-AQ520)</f>
        <v/>
      </c>
    </row>
    <row r="521" customFormat="false" ht="15" hidden="false" customHeight="fals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3"/>
      <c r="M521" s="13"/>
      <c r="N521" s="13"/>
      <c r="O521" s="14" t="str">
        <f aca="false">IF(OR(L521="",L521=0),"",(1-M521)/L521)</f>
        <v/>
      </c>
      <c r="P521" s="15"/>
      <c r="Q521" s="12"/>
      <c r="R521" s="12"/>
      <c r="S521" s="13"/>
      <c r="T521" s="16" t="str">
        <f aca="false">IF(OR(S521="",L521=""),"",L521/(1-M521)-S521)</f>
        <v/>
      </c>
      <c r="U521" s="16" t="str">
        <f aca="false">IF(OR(L521="",P521=""),"",L521*(P521-1)-N521)</f>
        <v/>
      </c>
      <c r="V521" s="13"/>
      <c r="W521" s="17"/>
      <c r="X521" s="12"/>
      <c r="Y521" s="12"/>
      <c r="Z521" s="12"/>
      <c r="AA521" s="18" t="str">
        <f aca="false">IF(K521&lt;&gt;"ВИРТУАЛЬНЫЙ ВЫБОР","",IF(Z521="✅ ЗАШЛО",W521*(P521-1),IF(Z521="❌ НЕ ЗАШЛО",-W521,IF(Z521="½ ЗАШЛО",W521*(P521-1)/2,IF(Z521="½ НЕ ЗАШЛО",-W521/2,IF(Z521="ВОЗВРАТ",0,""))))))</f>
        <v/>
      </c>
      <c r="AB521" s="18" t="str">
        <f aca="false">IF(AND(K521="ВИРТУАЛЬНЫЙ ВЫБОР",OR(Z521="✅ ЗАШЛО",Z521="❌ НЕ ЗАШЛО",Z521="½ ЗАШЛО",Z521="½ НЕ ЗАШЛО",Z521="ВОЗВРАТ")),W521,"")</f>
        <v/>
      </c>
      <c r="AC521" s="15"/>
      <c r="AD521" s="16" t="str">
        <f aca="false">IF(OR(AC521="",P521=""),"",P521/AC521-1)</f>
        <v/>
      </c>
      <c r="AE521" s="19" t="str">
        <f aca="false">IF(AND(M521=0,OR(Z521="✅ ЗАШЛО",Z521="❌ НЕ ЗАШЛО"),L521&lt;&gt;""),(L521-IF(Z521="✅ ЗАШЛО",1,0))^2,"")</f>
        <v/>
      </c>
      <c r="AF521" s="15"/>
      <c r="AG521" s="15"/>
      <c r="AH521" s="13"/>
      <c r="AI521" s="13"/>
      <c r="AJ521" s="13"/>
      <c r="AK521" s="20" t="str">
        <f aca="false">IF(AH521="","",IF(ABS(AH521+AI521+AJ521-1)&lt;0.000001,"OK","ОШИБКА"))</f>
        <v/>
      </c>
      <c r="AL521" s="13"/>
      <c r="AM521" s="12"/>
      <c r="AN521" s="12"/>
      <c r="AO521" s="12"/>
      <c r="AP521" s="12"/>
      <c r="AQ521" s="18" t="str">
        <f aca="false">IF(A521="","",N(AQ520)+N(AA521))</f>
        <v/>
      </c>
      <c r="AR521" s="18" t="str">
        <f aca="false">IF(AQ521="","",MAX(0,MAX($AQ$8:AQ521))-AQ521)</f>
        <v/>
      </c>
    </row>
    <row r="522" customFormat="false" ht="15" hidden="false" customHeight="fals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3"/>
      <c r="M522" s="13"/>
      <c r="N522" s="13"/>
      <c r="O522" s="14" t="str">
        <f aca="false">IF(OR(L522="",L522=0),"",(1-M522)/L522)</f>
        <v/>
      </c>
      <c r="P522" s="15"/>
      <c r="Q522" s="12"/>
      <c r="R522" s="12"/>
      <c r="S522" s="13"/>
      <c r="T522" s="16" t="str">
        <f aca="false">IF(OR(S522="",L522=""),"",L522/(1-M522)-S522)</f>
        <v/>
      </c>
      <c r="U522" s="16" t="str">
        <f aca="false">IF(OR(L522="",P522=""),"",L522*(P522-1)-N522)</f>
        <v/>
      </c>
      <c r="V522" s="13"/>
      <c r="W522" s="17"/>
      <c r="X522" s="12"/>
      <c r="Y522" s="12"/>
      <c r="Z522" s="12"/>
      <c r="AA522" s="18" t="str">
        <f aca="false">IF(K522&lt;&gt;"ВИРТУАЛЬНЫЙ ВЫБОР","",IF(Z522="✅ ЗАШЛО",W522*(P522-1),IF(Z522="❌ НЕ ЗАШЛО",-W522,IF(Z522="½ ЗАШЛО",W522*(P522-1)/2,IF(Z522="½ НЕ ЗАШЛО",-W522/2,IF(Z522="ВОЗВРАТ",0,""))))))</f>
        <v/>
      </c>
      <c r="AB522" s="18" t="str">
        <f aca="false">IF(AND(K522="ВИРТУАЛЬНЫЙ ВЫБОР",OR(Z522="✅ ЗАШЛО",Z522="❌ НЕ ЗАШЛО",Z522="½ ЗАШЛО",Z522="½ НЕ ЗАШЛО",Z522="ВОЗВРАТ")),W522,"")</f>
        <v/>
      </c>
      <c r="AC522" s="15"/>
      <c r="AD522" s="16" t="str">
        <f aca="false">IF(OR(AC522="",P522=""),"",P522/AC522-1)</f>
        <v/>
      </c>
      <c r="AE522" s="19" t="str">
        <f aca="false">IF(AND(M522=0,OR(Z522="✅ ЗАШЛО",Z522="❌ НЕ ЗАШЛО"),L522&lt;&gt;""),(L522-IF(Z522="✅ ЗАШЛО",1,0))^2,"")</f>
        <v/>
      </c>
      <c r="AF522" s="15"/>
      <c r="AG522" s="15"/>
      <c r="AH522" s="13"/>
      <c r="AI522" s="13"/>
      <c r="AJ522" s="13"/>
      <c r="AK522" s="20" t="str">
        <f aca="false">IF(AH522="","",IF(ABS(AH522+AI522+AJ522-1)&lt;0.000001,"OK","ОШИБКА"))</f>
        <v/>
      </c>
      <c r="AL522" s="13"/>
      <c r="AM522" s="12"/>
      <c r="AN522" s="12"/>
      <c r="AO522" s="12"/>
      <c r="AP522" s="12"/>
      <c r="AQ522" s="18" t="str">
        <f aca="false">IF(A522="","",N(AQ521)+N(AA522))</f>
        <v/>
      </c>
      <c r="AR522" s="18" t="str">
        <f aca="false">IF(AQ522="","",MAX(0,MAX($AQ$8:AQ522))-AQ522)</f>
        <v/>
      </c>
    </row>
    <row r="523" customFormat="false" ht="15" hidden="false" customHeight="fals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3"/>
      <c r="M523" s="13"/>
      <c r="N523" s="13"/>
      <c r="O523" s="14" t="str">
        <f aca="false">IF(OR(L523="",L523=0),"",(1-M523)/L523)</f>
        <v/>
      </c>
      <c r="P523" s="15"/>
      <c r="Q523" s="12"/>
      <c r="R523" s="12"/>
      <c r="S523" s="13"/>
      <c r="T523" s="16" t="str">
        <f aca="false">IF(OR(S523="",L523=""),"",L523/(1-M523)-S523)</f>
        <v/>
      </c>
      <c r="U523" s="16" t="str">
        <f aca="false">IF(OR(L523="",P523=""),"",L523*(P523-1)-N523)</f>
        <v/>
      </c>
      <c r="V523" s="13"/>
      <c r="W523" s="17"/>
      <c r="X523" s="12"/>
      <c r="Y523" s="12"/>
      <c r="Z523" s="12"/>
      <c r="AA523" s="18" t="str">
        <f aca="false">IF(K523&lt;&gt;"ВИРТУАЛЬНЫЙ ВЫБОР","",IF(Z523="✅ ЗАШЛО",W523*(P523-1),IF(Z523="❌ НЕ ЗАШЛО",-W523,IF(Z523="½ ЗАШЛО",W523*(P523-1)/2,IF(Z523="½ НЕ ЗАШЛО",-W523/2,IF(Z523="ВОЗВРАТ",0,""))))))</f>
        <v/>
      </c>
      <c r="AB523" s="18" t="str">
        <f aca="false">IF(AND(K523="ВИРТУАЛЬНЫЙ ВЫБОР",OR(Z523="✅ ЗАШЛО",Z523="❌ НЕ ЗАШЛО",Z523="½ ЗАШЛО",Z523="½ НЕ ЗАШЛО",Z523="ВОЗВРАТ")),W523,"")</f>
        <v/>
      </c>
      <c r="AC523" s="15"/>
      <c r="AD523" s="16" t="str">
        <f aca="false">IF(OR(AC523="",P523=""),"",P523/AC523-1)</f>
        <v/>
      </c>
      <c r="AE523" s="19" t="str">
        <f aca="false">IF(AND(M523=0,OR(Z523="✅ ЗАШЛО",Z523="❌ НЕ ЗАШЛО"),L523&lt;&gt;""),(L523-IF(Z523="✅ ЗАШЛО",1,0))^2,"")</f>
        <v/>
      </c>
      <c r="AF523" s="15"/>
      <c r="AG523" s="15"/>
      <c r="AH523" s="13"/>
      <c r="AI523" s="13"/>
      <c r="AJ523" s="13"/>
      <c r="AK523" s="20" t="str">
        <f aca="false">IF(AH523="","",IF(ABS(AH523+AI523+AJ523-1)&lt;0.000001,"OK","ОШИБКА"))</f>
        <v/>
      </c>
      <c r="AL523" s="13"/>
      <c r="AM523" s="12"/>
      <c r="AN523" s="12"/>
      <c r="AO523" s="12"/>
      <c r="AP523" s="12"/>
      <c r="AQ523" s="18" t="str">
        <f aca="false">IF(A523="","",N(AQ522)+N(AA523))</f>
        <v/>
      </c>
      <c r="AR523" s="18" t="str">
        <f aca="false">IF(AQ523="","",MAX(0,MAX($AQ$8:AQ523))-AQ523)</f>
        <v/>
      </c>
    </row>
    <row r="524" customFormat="false" ht="15" hidden="false" customHeight="fals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3"/>
      <c r="M524" s="13"/>
      <c r="N524" s="13"/>
      <c r="O524" s="14" t="str">
        <f aca="false">IF(OR(L524="",L524=0),"",(1-M524)/L524)</f>
        <v/>
      </c>
      <c r="P524" s="15"/>
      <c r="Q524" s="12"/>
      <c r="R524" s="12"/>
      <c r="S524" s="13"/>
      <c r="T524" s="16" t="str">
        <f aca="false">IF(OR(S524="",L524=""),"",L524/(1-M524)-S524)</f>
        <v/>
      </c>
      <c r="U524" s="16" t="str">
        <f aca="false">IF(OR(L524="",P524=""),"",L524*(P524-1)-N524)</f>
        <v/>
      </c>
      <c r="V524" s="13"/>
      <c r="W524" s="17"/>
      <c r="X524" s="12"/>
      <c r="Y524" s="12"/>
      <c r="Z524" s="12"/>
      <c r="AA524" s="18" t="str">
        <f aca="false">IF(K524&lt;&gt;"ВИРТУАЛЬНЫЙ ВЫБОР","",IF(Z524="✅ ЗАШЛО",W524*(P524-1),IF(Z524="❌ НЕ ЗАШЛО",-W524,IF(Z524="½ ЗАШЛО",W524*(P524-1)/2,IF(Z524="½ НЕ ЗАШЛО",-W524/2,IF(Z524="ВОЗВРАТ",0,""))))))</f>
        <v/>
      </c>
      <c r="AB524" s="18" t="str">
        <f aca="false">IF(AND(K524="ВИРТУАЛЬНЫЙ ВЫБОР",OR(Z524="✅ ЗАШЛО",Z524="❌ НЕ ЗАШЛО",Z524="½ ЗАШЛО",Z524="½ НЕ ЗАШЛО",Z524="ВОЗВРАТ")),W524,"")</f>
        <v/>
      </c>
      <c r="AC524" s="15"/>
      <c r="AD524" s="16" t="str">
        <f aca="false">IF(OR(AC524="",P524=""),"",P524/AC524-1)</f>
        <v/>
      </c>
      <c r="AE524" s="19" t="str">
        <f aca="false">IF(AND(M524=0,OR(Z524="✅ ЗАШЛО",Z524="❌ НЕ ЗАШЛО"),L524&lt;&gt;""),(L524-IF(Z524="✅ ЗАШЛО",1,0))^2,"")</f>
        <v/>
      </c>
      <c r="AF524" s="15"/>
      <c r="AG524" s="15"/>
      <c r="AH524" s="13"/>
      <c r="AI524" s="13"/>
      <c r="AJ524" s="13"/>
      <c r="AK524" s="20" t="str">
        <f aca="false">IF(AH524="","",IF(ABS(AH524+AI524+AJ524-1)&lt;0.000001,"OK","ОШИБКА"))</f>
        <v/>
      </c>
      <c r="AL524" s="13"/>
      <c r="AM524" s="12"/>
      <c r="AN524" s="12"/>
      <c r="AO524" s="12"/>
      <c r="AP524" s="12"/>
      <c r="AQ524" s="18" t="str">
        <f aca="false">IF(A524="","",N(AQ523)+N(AA524))</f>
        <v/>
      </c>
      <c r="AR524" s="18" t="str">
        <f aca="false">IF(AQ524="","",MAX(0,MAX($AQ$8:AQ524))-AQ524)</f>
        <v/>
      </c>
    </row>
    <row r="525" customFormat="false" ht="15" hidden="false" customHeight="fals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3"/>
      <c r="M525" s="13"/>
      <c r="N525" s="13"/>
      <c r="O525" s="14" t="str">
        <f aca="false">IF(OR(L525="",L525=0),"",(1-M525)/L525)</f>
        <v/>
      </c>
      <c r="P525" s="15"/>
      <c r="Q525" s="12"/>
      <c r="R525" s="12"/>
      <c r="S525" s="13"/>
      <c r="T525" s="16" t="str">
        <f aca="false">IF(OR(S525="",L525=""),"",L525/(1-M525)-S525)</f>
        <v/>
      </c>
      <c r="U525" s="16" t="str">
        <f aca="false">IF(OR(L525="",P525=""),"",L525*(P525-1)-N525)</f>
        <v/>
      </c>
      <c r="V525" s="13"/>
      <c r="W525" s="17"/>
      <c r="X525" s="12"/>
      <c r="Y525" s="12"/>
      <c r="Z525" s="12"/>
      <c r="AA525" s="18" t="str">
        <f aca="false">IF(K525&lt;&gt;"ВИРТУАЛЬНЫЙ ВЫБОР","",IF(Z525="✅ ЗАШЛО",W525*(P525-1),IF(Z525="❌ НЕ ЗАШЛО",-W525,IF(Z525="½ ЗАШЛО",W525*(P525-1)/2,IF(Z525="½ НЕ ЗАШЛО",-W525/2,IF(Z525="ВОЗВРАТ",0,""))))))</f>
        <v/>
      </c>
      <c r="AB525" s="18" t="str">
        <f aca="false">IF(AND(K525="ВИРТУАЛЬНЫЙ ВЫБОР",OR(Z525="✅ ЗАШЛО",Z525="❌ НЕ ЗАШЛО",Z525="½ ЗАШЛО",Z525="½ НЕ ЗАШЛО",Z525="ВОЗВРАТ")),W525,"")</f>
        <v/>
      </c>
      <c r="AC525" s="15"/>
      <c r="AD525" s="16" t="str">
        <f aca="false">IF(OR(AC525="",P525=""),"",P525/AC525-1)</f>
        <v/>
      </c>
      <c r="AE525" s="19" t="str">
        <f aca="false">IF(AND(M525=0,OR(Z525="✅ ЗАШЛО",Z525="❌ НЕ ЗАШЛО"),L525&lt;&gt;""),(L525-IF(Z525="✅ ЗАШЛО",1,0))^2,"")</f>
        <v/>
      </c>
      <c r="AF525" s="15"/>
      <c r="AG525" s="15"/>
      <c r="AH525" s="13"/>
      <c r="AI525" s="13"/>
      <c r="AJ525" s="13"/>
      <c r="AK525" s="20" t="str">
        <f aca="false">IF(AH525="","",IF(ABS(AH525+AI525+AJ525-1)&lt;0.000001,"OK","ОШИБКА"))</f>
        <v/>
      </c>
      <c r="AL525" s="13"/>
      <c r="AM525" s="12"/>
      <c r="AN525" s="12"/>
      <c r="AO525" s="12"/>
      <c r="AP525" s="12"/>
      <c r="AQ525" s="18" t="str">
        <f aca="false">IF(A525="","",N(AQ524)+N(AA525))</f>
        <v/>
      </c>
      <c r="AR525" s="18" t="str">
        <f aca="false">IF(AQ525="","",MAX(0,MAX($AQ$8:AQ525))-AQ525)</f>
        <v/>
      </c>
    </row>
    <row r="526" customFormat="false" ht="15" hidden="false" customHeight="fals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3"/>
      <c r="M526" s="13"/>
      <c r="N526" s="13"/>
      <c r="O526" s="14" t="str">
        <f aca="false">IF(OR(L526="",L526=0),"",(1-M526)/L526)</f>
        <v/>
      </c>
      <c r="P526" s="15"/>
      <c r="Q526" s="12"/>
      <c r="R526" s="12"/>
      <c r="S526" s="13"/>
      <c r="T526" s="16" t="str">
        <f aca="false">IF(OR(S526="",L526=""),"",L526/(1-M526)-S526)</f>
        <v/>
      </c>
      <c r="U526" s="16" t="str">
        <f aca="false">IF(OR(L526="",P526=""),"",L526*(P526-1)-N526)</f>
        <v/>
      </c>
      <c r="V526" s="13"/>
      <c r="W526" s="17"/>
      <c r="X526" s="12"/>
      <c r="Y526" s="12"/>
      <c r="Z526" s="12"/>
      <c r="AA526" s="18" t="str">
        <f aca="false">IF(K526&lt;&gt;"ВИРТУАЛЬНЫЙ ВЫБОР","",IF(Z526="✅ ЗАШЛО",W526*(P526-1),IF(Z526="❌ НЕ ЗАШЛО",-W526,IF(Z526="½ ЗАШЛО",W526*(P526-1)/2,IF(Z526="½ НЕ ЗАШЛО",-W526/2,IF(Z526="ВОЗВРАТ",0,""))))))</f>
        <v/>
      </c>
      <c r="AB526" s="18" t="str">
        <f aca="false">IF(AND(K526="ВИРТУАЛЬНЫЙ ВЫБОР",OR(Z526="✅ ЗАШЛО",Z526="❌ НЕ ЗАШЛО",Z526="½ ЗАШЛО",Z526="½ НЕ ЗАШЛО",Z526="ВОЗВРАТ")),W526,"")</f>
        <v/>
      </c>
      <c r="AC526" s="15"/>
      <c r="AD526" s="16" t="str">
        <f aca="false">IF(OR(AC526="",P526=""),"",P526/AC526-1)</f>
        <v/>
      </c>
      <c r="AE526" s="19" t="str">
        <f aca="false">IF(AND(M526=0,OR(Z526="✅ ЗАШЛО",Z526="❌ НЕ ЗАШЛО"),L526&lt;&gt;""),(L526-IF(Z526="✅ ЗАШЛО",1,0))^2,"")</f>
        <v/>
      </c>
      <c r="AF526" s="15"/>
      <c r="AG526" s="15"/>
      <c r="AH526" s="13"/>
      <c r="AI526" s="13"/>
      <c r="AJ526" s="13"/>
      <c r="AK526" s="20" t="str">
        <f aca="false">IF(AH526="","",IF(ABS(AH526+AI526+AJ526-1)&lt;0.000001,"OK","ОШИБКА"))</f>
        <v/>
      </c>
      <c r="AL526" s="13"/>
      <c r="AM526" s="12"/>
      <c r="AN526" s="12"/>
      <c r="AO526" s="12"/>
      <c r="AP526" s="12"/>
      <c r="AQ526" s="18" t="str">
        <f aca="false">IF(A526="","",N(AQ525)+N(AA526))</f>
        <v/>
      </c>
      <c r="AR526" s="18" t="str">
        <f aca="false">IF(AQ526="","",MAX(0,MAX($AQ$8:AQ526))-AQ526)</f>
        <v/>
      </c>
    </row>
    <row r="527" customFormat="false" ht="15" hidden="false" customHeight="fals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3"/>
      <c r="M527" s="13"/>
      <c r="N527" s="13"/>
      <c r="O527" s="14" t="str">
        <f aca="false">IF(OR(L527="",L527=0),"",(1-M527)/L527)</f>
        <v/>
      </c>
      <c r="P527" s="15"/>
      <c r="Q527" s="12"/>
      <c r="R527" s="12"/>
      <c r="S527" s="13"/>
      <c r="T527" s="16" t="str">
        <f aca="false">IF(OR(S527="",L527=""),"",L527/(1-M527)-S527)</f>
        <v/>
      </c>
      <c r="U527" s="16" t="str">
        <f aca="false">IF(OR(L527="",P527=""),"",L527*(P527-1)-N527)</f>
        <v/>
      </c>
      <c r="V527" s="13"/>
      <c r="W527" s="17"/>
      <c r="X527" s="12"/>
      <c r="Y527" s="12"/>
      <c r="Z527" s="12"/>
      <c r="AA527" s="18" t="str">
        <f aca="false">IF(K527&lt;&gt;"ВИРТУАЛЬНЫЙ ВЫБОР","",IF(Z527="✅ ЗАШЛО",W527*(P527-1),IF(Z527="❌ НЕ ЗАШЛО",-W527,IF(Z527="½ ЗАШЛО",W527*(P527-1)/2,IF(Z527="½ НЕ ЗАШЛО",-W527/2,IF(Z527="ВОЗВРАТ",0,""))))))</f>
        <v/>
      </c>
      <c r="AB527" s="18" t="str">
        <f aca="false">IF(AND(K527="ВИРТУАЛЬНЫЙ ВЫБОР",OR(Z527="✅ ЗАШЛО",Z527="❌ НЕ ЗАШЛО",Z527="½ ЗАШЛО",Z527="½ НЕ ЗАШЛО",Z527="ВОЗВРАТ")),W527,"")</f>
        <v/>
      </c>
      <c r="AC527" s="15"/>
      <c r="AD527" s="16" t="str">
        <f aca="false">IF(OR(AC527="",P527=""),"",P527/AC527-1)</f>
        <v/>
      </c>
      <c r="AE527" s="19" t="str">
        <f aca="false">IF(AND(M527=0,OR(Z527="✅ ЗАШЛО",Z527="❌ НЕ ЗАШЛО"),L527&lt;&gt;""),(L527-IF(Z527="✅ ЗАШЛО",1,0))^2,"")</f>
        <v/>
      </c>
      <c r="AF527" s="15"/>
      <c r="AG527" s="15"/>
      <c r="AH527" s="13"/>
      <c r="AI527" s="13"/>
      <c r="AJ527" s="13"/>
      <c r="AK527" s="20" t="str">
        <f aca="false">IF(AH527="","",IF(ABS(AH527+AI527+AJ527-1)&lt;0.000001,"OK","ОШИБКА"))</f>
        <v/>
      </c>
      <c r="AL527" s="13"/>
      <c r="AM527" s="12"/>
      <c r="AN527" s="12"/>
      <c r="AO527" s="12"/>
      <c r="AP527" s="12"/>
      <c r="AQ527" s="18" t="str">
        <f aca="false">IF(A527="","",N(AQ526)+N(AA527))</f>
        <v/>
      </c>
      <c r="AR527" s="18" t="str">
        <f aca="false">IF(AQ527="","",MAX(0,MAX($AQ$8:AQ527))-AQ527)</f>
        <v/>
      </c>
    </row>
    <row r="528" customFormat="false" ht="15" hidden="false" customHeight="fals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3"/>
      <c r="M528" s="13"/>
      <c r="N528" s="13"/>
      <c r="O528" s="14" t="str">
        <f aca="false">IF(OR(L528="",L528=0),"",(1-M528)/L528)</f>
        <v/>
      </c>
      <c r="P528" s="15"/>
      <c r="Q528" s="12"/>
      <c r="R528" s="12"/>
      <c r="S528" s="13"/>
      <c r="T528" s="16" t="str">
        <f aca="false">IF(OR(S528="",L528=""),"",L528/(1-M528)-S528)</f>
        <v/>
      </c>
      <c r="U528" s="16" t="str">
        <f aca="false">IF(OR(L528="",P528=""),"",L528*(P528-1)-N528)</f>
        <v/>
      </c>
      <c r="V528" s="13"/>
      <c r="W528" s="17"/>
      <c r="X528" s="12"/>
      <c r="Y528" s="12"/>
      <c r="Z528" s="12"/>
      <c r="AA528" s="18" t="str">
        <f aca="false">IF(K528&lt;&gt;"ВИРТУАЛЬНЫЙ ВЫБОР","",IF(Z528="✅ ЗАШЛО",W528*(P528-1),IF(Z528="❌ НЕ ЗАШЛО",-W528,IF(Z528="½ ЗАШЛО",W528*(P528-1)/2,IF(Z528="½ НЕ ЗАШЛО",-W528/2,IF(Z528="ВОЗВРАТ",0,""))))))</f>
        <v/>
      </c>
      <c r="AB528" s="18" t="str">
        <f aca="false">IF(AND(K528="ВИРТУАЛЬНЫЙ ВЫБОР",OR(Z528="✅ ЗАШЛО",Z528="❌ НЕ ЗАШЛО",Z528="½ ЗАШЛО",Z528="½ НЕ ЗАШЛО",Z528="ВОЗВРАТ")),W528,"")</f>
        <v/>
      </c>
      <c r="AC528" s="15"/>
      <c r="AD528" s="16" t="str">
        <f aca="false">IF(OR(AC528="",P528=""),"",P528/AC528-1)</f>
        <v/>
      </c>
      <c r="AE528" s="19" t="str">
        <f aca="false">IF(AND(M528=0,OR(Z528="✅ ЗАШЛО",Z528="❌ НЕ ЗАШЛО"),L528&lt;&gt;""),(L528-IF(Z528="✅ ЗАШЛО",1,0))^2,"")</f>
        <v/>
      </c>
      <c r="AF528" s="15"/>
      <c r="AG528" s="15"/>
      <c r="AH528" s="13"/>
      <c r="AI528" s="13"/>
      <c r="AJ528" s="13"/>
      <c r="AK528" s="20" t="str">
        <f aca="false">IF(AH528="","",IF(ABS(AH528+AI528+AJ528-1)&lt;0.000001,"OK","ОШИБКА"))</f>
        <v/>
      </c>
      <c r="AL528" s="13"/>
      <c r="AM528" s="12"/>
      <c r="AN528" s="12"/>
      <c r="AO528" s="12"/>
      <c r="AP528" s="12"/>
      <c r="AQ528" s="18" t="str">
        <f aca="false">IF(A528="","",N(AQ527)+N(AA528))</f>
        <v/>
      </c>
      <c r="AR528" s="18" t="str">
        <f aca="false">IF(AQ528="","",MAX(0,MAX($AQ$8:AQ528))-AQ528)</f>
        <v/>
      </c>
    </row>
    <row r="529" customFormat="false" ht="15" hidden="false" customHeight="fals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3"/>
      <c r="M529" s="13"/>
      <c r="N529" s="13"/>
      <c r="O529" s="14" t="str">
        <f aca="false">IF(OR(L529="",L529=0),"",(1-M529)/L529)</f>
        <v/>
      </c>
      <c r="P529" s="15"/>
      <c r="Q529" s="12"/>
      <c r="R529" s="12"/>
      <c r="S529" s="13"/>
      <c r="T529" s="16" t="str">
        <f aca="false">IF(OR(S529="",L529=""),"",L529/(1-M529)-S529)</f>
        <v/>
      </c>
      <c r="U529" s="16" t="str">
        <f aca="false">IF(OR(L529="",P529=""),"",L529*(P529-1)-N529)</f>
        <v/>
      </c>
      <c r="V529" s="13"/>
      <c r="W529" s="17"/>
      <c r="X529" s="12"/>
      <c r="Y529" s="12"/>
      <c r="Z529" s="12"/>
      <c r="AA529" s="18" t="str">
        <f aca="false">IF(K529&lt;&gt;"ВИРТУАЛЬНЫЙ ВЫБОР","",IF(Z529="✅ ЗАШЛО",W529*(P529-1),IF(Z529="❌ НЕ ЗАШЛО",-W529,IF(Z529="½ ЗАШЛО",W529*(P529-1)/2,IF(Z529="½ НЕ ЗАШЛО",-W529/2,IF(Z529="ВОЗВРАТ",0,""))))))</f>
        <v/>
      </c>
      <c r="AB529" s="18" t="str">
        <f aca="false">IF(AND(K529="ВИРТУАЛЬНЫЙ ВЫБОР",OR(Z529="✅ ЗАШЛО",Z529="❌ НЕ ЗАШЛО",Z529="½ ЗАШЛО",Z529="½ НЕ ЗАШЛО",Z529="ВОЗВРАТ")),W529,"")</f>
        <v/>
      </c>
      <c r="AC529" s="15"/>
      <c r="AD529" s="16" t="str">
        <f aca="false">IF(OR(AC529="",P529=""),"",P529/AC529-1)</f>
        <v/>
      </c>
      <c r="AE529" s="19" t="str">
        <f aca="false">IF(AND(M529=0,OR(Z529="✅ ЗАШЛО",Z529="❌ НЕ ЗАШЛО"),L529&lt;&gt;""),(L529-IF(Z529="✅ ЗАШЛО",1,0))^2,"")</f>
        <v/>
      </c>
      <c r="AF529" s="15"/>
      <c r="AG529" s="15"/>
      <c r="AH529" s="13"/>
      <c r="AI529" s="13"/>
      <c r="AJ529" s="13"/>
      <c r="AK529" s="20" t="str">
        <f aca="false">IF(AH529="","",IF(ABS(AH529+AI529+AJ529-1)&lt;0.000001,"OK","ОШИБКА"))</f>
        <v/>
      </c>
      <c r="AL529" s="13"/>
      <c r="AM529" s="12"/>
      <c r="AN529" s="12"/>
      <c r="AO529" s="12"/>
      <c r="AP529" s="12"/>
      <c r="AQ529" s="18" t="str">
        <f aca="false">IF(A529="","",N(AQ528)+N(AA529))</f>
        <v/>
      </c>
      <c r="AR529" s="18" t="str">
        <f aca="false">IF(AQ529="","",MAX(0,MAX($AQ$8:AQ529))-AQ529)</f>
        <v/>
      </c>
    </row>
    <row r="530" customFormat="false" ht="15" hidden="false" customHeight="fals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3"/>
      <c r="M530" s="13"/>
      <c r="N530" s="13"/>
      <c r="O530" s="14" t="str">
        <f aca="false">IF(OR(L530="",L530=0),"",(1-M530)/L530)</f>
        <v/>
      </c>
      <c r="P530" s="15"/>
      <c r="Q530" s="12"/>
      <c r="R530" s="12"/>
      <c r="S530" s="13"/>
      <c r="T530" s="16" t="str">
        <f aca="false">IF(OR(S530="",L530=""),"",L530/(1-M530)-S530)</f>
        <v/>
      </c>
      <c r="U530" s="16" t="str">
        <f aca="false">IF(OR(L530="",P530=""),"",L530*(P530-1)-N530)</f>
        <v/>
      </c>
      <c r="V530" s="13"/>
      <c r="W530" s="17"/>
      <c r="X530" s="12"/>
      <c r="Y530" s="12"/>
      <c r="Z530" s="12"/>
      <c r="AA530" s="18" t="str">
        <f aca="false">IF(K530&lt;&gt;"ВИРТУАЛЬНЫЙ ВЫБОР","",IF(Z530="✅ ЗАШЛО",W530*(P530-1),IF(Z530="❌ НЕ ЗАШЛО",-W530,IF(Z530="½ ЗАШЛО",W530*(P530-1)/2,IF(Z530="½ НЕ ЗАШЛО",-W530/2,IF(Z530="ВОЗВРАТ",0,""))))))</f>
        <v/>
      </c>
      <c r="AB530" s="18" t="str">
        <f aca="false">IF(AND(K530="ВИРТУАЛЬНЫЙ ВЫБОР",OR(Z530="✅ ЗАШЛО",Z530="❌ НЕ ЗАШЛО",Z530="½ ЗАШЛО",Z530="½ НЕ ЗАШЛО",Z530="ВОЗВРАТ")),W530,"")</f>
        <v/>
      </c>
      <c r="AC530" s="15"/>
      <c r="AD530" s="16" t="str">
        <f aca="false">IF(OR(AC530="",P530=""),"",P530/AC530-1)</f>
        <v/>
      </c>
      <c r="AE530" s="19" t="str">
        <f aca="false">IF(AND(M530=0,OR(Z530="✅ ЗАШЛО",Z530="❌ НЕ ЗАШЛО"),L530&lt;&gt;""),(L530-IF(Z530="✅ ЗАШЛО",1,0))^2,"")</f>
        <v/>
      </c>
      <c r="AF530" s="15"/>
      <c r="AG530" s="15"/>
      <c r="AH530" s="13"/>
      <c r="AI530" s="13"/>
      <c r="AJ530" s="13"/>
      <c r="AK530" s="20" t="str">
        <f aca="false">IF(AH530="","",IF(ABS(AH530+AI530+AJ530-1)&lt;0.000001,"OK","ОШИБКА"))</f>
        <v/>
      </c>
      <c r="AL530" s="13"/>
      <c r="AM530" s="12"/>
      <c r="AN530" s="12"/>
      <c r="AO530" s="12"/>
      <c r="AP530" s="12"/>
      <c r="AQ530" s="18" t="str">
        <f aca="false">IF(A530="","",N(AQ529)+N(AA530))</f>
        <v/>
      </c>
      <c r="AR530" s="18" t="str">
        <f aca="false">IF(AQ530="","",MAX(0,MAX($AQ$8:AQ530))-AQ530)</f>
        <v/>
      </c>
    </row>
    <row r="531" customFormat="false" ht="15" hidden="false" customHeight="fals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3"/>
      <c r="M531" s="13"/>
      <c r="N531" s="13"/>
      <c r="O531" s="14" t="str">
        <f aca="false">IF(OR(L531="",L531=0),"",(1-M531)/L531)</f>
        <v/>
      </c>
      <c r="P531" s="15"/>
      <c r="Q531" s="12"/>
      <c r="R531" s="12"/>
      <c r="S531" s="13"/>
      <c r="T531" s="16" t="str">
        <f aca="false">IF(OR(S531="",L531=""),"",L531/(1-M531)-S531)</f>
        <v/>
      </c>
      <c r="U531" s="16" t="str">
        <f aca="false">IF(OR(L531="",P531=""),"",L531*(P531-1)-N531)</f>
        <v/>
      </c>
      <c r="V531" s="13"/>
      <c r="W531" s="17"/>
      <c r="X531" s="12"/>
      <c r="Y531" s="12"/>
      <c r="Z531" s="12"/>
      <c r="AA531" s="18" t="str">
        <f aca="false">IF(K531&lt;&gt;"ВИРТУАЛЬНЫЙ ВЫБОР","",IF(Z531="✅ ЗАШЛО",W531*(P531-1),IF(Z531="❌ НЕ ЗАШЛО",-W531,IF(Z531="½ ЗАШЛО",W531*(P531-1)/2,IF(Z531="½ НЕ ЗАШЛО",-W531/2,IF(Z531="ВОЗВРАТ",0,""))))))</f>
        <v/>
      </c>
      <c r="AB531" s="18" t="str">
        <f aca="false">IF(AND(K531="ВИРТУАЛЬНЫЙ ВЫБОР",OR(Z531="✅ ЗАШЛО",Z531="❌ НЕ ЗАШЛО",Z531="½ ЗАШЛО",Z531="½ НЕ ЗАШЛО",Z531="ВОЗВРАТ")),W531,"")</f>
        <v/>
      </c>
      <c r="AC531" s="15"/>
      <c r="AD531" s="16" t="str">
        <f aca="false">IF(OR(AC531="",P531=""),"",P531/AC531-1)</f>
        <v/>
      </c>
      <c r="AE531" s="19" t="str">
        <f aca="false">IF(AND(M531=0,OR(Z531="✅ ЗАШЛО",Z531="❌ НЕ ЗАШЛО"),L531&lt;&gt;""),(L531-IF(Z531="✅ ЗАШЛО",1,0))^2,"")</f>
        <v/>
      </c>
      <c r="AF531" s="15"/>
      <c r="AG531" s="15"/>
      <c r="AH531" s="13"/>
      <c r="AI531" s="13"/>
      <c r="AJ531" s="13"/>
      <c r="AK531" s="20" t="str">
        <f aca="false">IF(AH531="","",IF(ABS(AH531+AI531+AJ531-1)&lt;0.000001,"OK","ОШИБКА"))</f>
        <v/>
      </c>
      <c r="AL531" s="13"/>
      <c r="AM531" s="12"/>
      <c r="AN531" s="12"/>
      <c r="AO531" s="12"/>
      <c r="AP531" s="12"/>
      <c r="AQ531" s="18" t="str">
        <f aca="false">IF(A531="","",N(AQ530)+N(AA531))</f>
        <v/>
      </c>
      <c r="AR531" s="18" t="str">
        <f aca="false">IF(AQ531="","",MAX(0,MAX($AQ$8:AQ531))-AQ531)</f>
        <v/>
      </c>
    </row>
    <row r="532" customFormat="false" ht="15" hidden="false" customHeight="fals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3"/>
      <c r="M532" s="13"/>
      <c r="N532" s="13"/>
      <c r="O532" s="14" t="str">
        <f aca="false">IF(OR(L532="",L532=0),"",(1-M532)/L532)</f>
        <v/>
      </c>
      <c r="P532" s="15"/>
      <c r="Q532" s="12"/>
      <c r="R532" s="12"/>
      <c r="S532" s="13"/>
      <c r="T532" s="16" t="str">
        <f aca="false">IF(OR(S532="",L532=""),"",L532/(1-M532)-S532)</f>
        <v/>
      </c>
      <c r="U532" s="16" t="str">
        <f aca="false">IF(OR(L532="",P532=""),"",L532*(P532-1)-N532)</f>
        <v/>
      </c>
      <c r="V532" s="13"/>
      <c r="W532" s="17"/>
      <c r="X532" s="12"/>
      <c r="Y532" s="12"/>
      <c r="Z532" s="12"/>
      <c r="AA532" s="18" t="str">
        <f aca="false">IF(K532&lt;&gt;"ВИРТУАЛЬНЫЙ ВЫБОР","",IF(Z532="✅ ЗАШЛО",W532*(P532-1),IF(Z532="❌ НЕ ЗАШЛО",-W532,IF(Z532="½ ЗАШЛО",W532*(P532-1)/2,IF(Z532="½ НЕ ЗАШЛО",-W532/2,IF(Z532="ВОЗВРАТ",0,""))))))</f>
        <v/>
      </c>
      <c r="AB532" s="18" t="str">
        <f aca="false">IF(AND(K532="ВИРТУАЛЬНЫЙ ВЫБОР",OR(Z532="✅ ЗАШЛО",Z532="❌ НЕ ЗАШЛО",Z532="½ ЗАШЛО",Z532="½ НЕ ЗАШЛО",Z532="ВОЗВРАТ")),W532,"")</f>
        <v/>
      </c>
      <c r="AC532" s="15"/>
      <c r="AD532" s="16" t="str">
        <f aca="false">IF(OR(AC532="",P532=""),"",P532/AC532-1)</f>
        <v/>
      </c>
      <c r="AE532" s="19" t="str">
        <f aca="false">IF(AND(M532=0,OR(Z532="✅ ЗАШЛО",Z532="❌ НЕ ЗАШЛО"),L532&lt;&gt;""),(L532-IF(Z532="✅ ЗАШЛО",1,0))^2,"")</f>
        <v/>
      </c>
      <c r="AF532" s="15"/>
      <c r="AG532" s="15"/>
      <c r="AH532" s="13"/>
      <c r="AI532" s="13"/>
      <c r="AJ532" s="13"/>
      <c r="AK532" s="20" t="str">
        <f aca="false">IF(AH532="","",IF(ABS(AH532+AI532+AJ532-1)&lt;0.000001,"OK","ОШИБКА"))</f>
        <v/>
      </c>
      <c r="AL532" s="13"/>
      <c r="AM532" s="12"/>
      <c r="AN532" s="12"/>
      <c r="AO532" s="12"/>
      <c r="AP532" s="12"/>
      <c r="AQ532" s="18" t="str">
        <f aca="false">IF(A532="","",N(AQ531)+N(AA532))</f>
        <v/>
      </c>
      <c r="AR532" s="18" t="str">
        <f aca="false">IF(AQ532="","",MAX(0,MAX($AQ$8:AQ532))-AQ532)</f>
        <v/>
      </c>
    </row>
    <row r="533" customFormat="false" ht="15" hidden="false" customHeight="fals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3"/>
      <c r="M533" s="13"/>
      <c r="N533" s="13"/>
      <c r="O533" s="14" t="str">
        <f aca="false">IF(OR(L533="",L533=0),"",(1-M533)/L533)</f>
        <v/>
      </c>
      <c r="P533" s="15"/>
      <c r="Q533" s="12"/>
      <c r="R533" s="12"/>
      <c r="S533" s="13"/>
      <c r="T533" s="16" t="str">
        <f aca="false">IF(OR(S533="",L533=""),"",L533/(1-M533)-S533)</f>
        <v/>
      </c>
      <c r="U533" s="16" t="str">
        <f aca="false">IF(OR(L533="",P533=""),"",L533*(P533-1)-N533)</f>
        <v/>
      </c>
      <c r="V533" s="13"/>
      <c r="W533" s="17"/>
      <c r="X533" s="12"/>
      <c r="Y533" s="12"/>
      <c r="Z533" s="12"/>
      <c r="AA533" s="18" t="str">
        <f aca="false">IF(K533&lt;&gt;"ВИРТУАЛЬНЫЙ ВЫБОР","",IF(Z533="✅ ЗАШЛО",W533*(P533-1),IF(Z533="❌ НЕ ЗАШЛО",-W533,IF(Z533="½ ЗАШЛО",W533*(P533-1)/2,IF(Z533="½ НЕ ЗАШЛО",-W533/2,IF(Z533="ВОЗВРАТ",0,""))))))</f>
        <v/>
      </c>
      <c r="AB533" s="18" t="str">
        <f aca="false">IF(AND(K533="ВИРТУАЛЬНЫЙ ВЫБОР",OR(Z533="✅ ЗАШЛО",Z533="❌ НЕ ЗАШЛО",Z533="½ ЗАШЛО",Z533="½ НЕ ЗАШЛО",Z533="ВОЗВРАТ")),W533,"")</f>
        <v/>
      </c>
      <c r="AC533" s="15"/>
      <c r="AD533" s="16" t="str">
        <f aca="false">IF(OR(AC533="",P533=""),"",P533/AC533-1)</f>
        <v/>
      </c>
      <c r="AE533" s="19" t="str">
        <f aca="false">IF(AND(M533=0,OR(Z533="✅ ЗАШЛО",Z533="❌ НЕ ЗАШЛО"),L533&lt;&gt;""),(L533-IF(Z533="✅ ЗАШЛО",1,0))^2,"")</f>
        <v/>
      </c>
      <c r="AF533" s="15"/>
      <c r="AG533" s="15"/>
      <c r="AH533" s="13"/>
      <c r="AI533" s="13"/>
      <c r="AJ533" s="13"/>
      <c r="AK533" s="20" t="str">
        <f aca="false">IF(AH533="","",IF(ABS(AH533+AI533+AJ533-1)&lt;0.000001,"OK","ОШИБКА"))</f>
        <v/>
      </c>
      <c r="AL533" s="13"/>
      <c r="AM533" s="12"/>
      <c r="AN533" s="12"/>
      <c r="AO533" s="12"/>
      <c r="AP533" s="12"/>
      <c r="AQ533" s="18" t="str">
        <f aca="false">IF(A533="","",N(AQ532)+N(AA533))</f>
        <v/>
      </c>
      <c r="AR533" s="18" t="str">
        <f aca="false">IF(AQ533="","",MAX(0,MAX($AQ$8:AQ533))-AQ533)</f>
        <v/>
      </c>
    </row>
    <row r="534" customFormat="false" ht="15" hidden="false" customHeight="fals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3"/>
      <c r="M534" s="13"/>
      <c r="N534" s="13"/>
      <c r="O534" s="14" t="str">
        <f aca="false">IF(OR(L534="",L534=0),"",(1-M534)/L534)</f>
        <v/>
      </c>
      <c r="P534" s="15"/>
      <c r="Q534" s="12"/>
      <c r="R534" s="12"/>
      <c r="S534" s="13"/>
      <c r="T534" s="16" t="str">
        <f aca="false">IF(OR(S534="",L534=""),"",L534/(1-M534)-S534)</f>
        <v/>
      </c>
      <c r="U534" s="16" t="str">
        <f aca="false">IF(OR(L534="",P534=""),"",L534*(P534-1)-N534)</f>
        <v/>
      </c>
      <c r="V534" s="13"/>
      <c r="W534" s="17"/>
      <c r="X534" s="12"/>
      <c r="Y534" s="12"/>
      <c r="Z534" s="12"/>
      <c r="AA534" s="18" t="str">
        <f aca="false">IF(K534&lt;&gt;"ВИРТУАЛЬНЫЙ ВЫБОР","",IF(Z534="✅ ЗАШЛО",W534*(P534-1),IF(Z534="❌ НЕ ЗАШЛО",-W534,IF(Z534="½ ЗАШЛО",W534*(P534-1)/2,IF(Z534="½ НЕ ЗАШЛО",-W534/2,IF(Z534="ВОЗВРАТ",0,""))))))</f>
        <v/>
      </c>
      <c r="AB534" s="18" t="str">
        <f aca="false">IF(AND(K534="ВИРТУАЛЬНЫЙ ВЫБОР",OR(Z534="✅ ЗАШЛО",Z534="❌ НЕ ЗАШЛО",Z534="½ ЗАШЛО",Z534="½ НЕ ЗАШЛО",Z534="ВОЗВРАТ")),W534,"")</f>
        <v/>
      </c>
      <c r="AC534" s="15"/>
      <c r="AD534" s="16" t="str">
        <f aca="false">IF(OR(AC534="",P534=""),"",P534/AC534-1)</f>
        <v/>
      </c>
      <c r="AE534" s="19" t="str">
        <f aca="false">IF(AND(M534=0,OR(Z534="✅ ЗАШЛО",Z534="❌ НЕ ЗАШЛО"),L534&lt;&gt;""),(L534-IF(Z534="✅ ЗАШЛО",1,0))^2,"")</f>
        <v/>
      </c>
      <c r="AF534" s="15"/>
      <c r="AG534" s="15"/>
      <c r="AH534" s="13"/>
      <c r="AI534" s="13"/>
      <c r="AJ534" s="13"/>
      <c r="AK534" s="20" t="str">
        <f aca="false">IF(AH534="","",IF(ABS(AH534+AI534+AJ534-1)&lt;0.000001,"OK","ОШИБКА"))</f>
        <v/>
      </c>
      <c r="AL534" s="13"/>
      <c r="AM534" s="12"/>
      <c r="AN534" s="12"/>
      <c r="AO534" s="12"/>
      <c r="AP534" s="12"/>
      <c r="AQ534" s="18" t="str">
        <f aca="false">IF(A534="","",N(AQ533)+N(AA534))</f>
        <v/>
      </c>
      <c r="AR534" s="18" t="str">
        <f aca="false">IF(AQ534="","",MAX(0,MAX($AQ$8:AQ534))-AQ534)</f>
        <v/>
      </c>
    </row>
    <row r="535" customFormat="false" ht="15" hidden="false" customHeight="fals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3"/>
      <c r="M535" s="13"/>
      <c r="N535" s="13"/>
      <c r="O535" s="14" t="str">
        <f aca="false">IF(OR(L535="",L535=0),"",(1-M535)/L535)</f>
        <v/>
      </c>
      <c r="P535" s="15"/>
      <c r="Q535" s="12"/>
      <c r="R535" s="12"/>
      <c r="S535" s="13"/>
      <c r="T535" s="16" t="str">
        <f aca="false">IF(OR(S535="",L535=""),"",L535/(1-M535)-S535)</f>
        <v/>
      </c>
      <c r="U535" s="16" t="str">
        <f aca="false">IF(OR(L535="",P535=""),"",L535*(P535-1)-N535)</f>
        <v/>
      </c>
      <c r="V535" s="13"/>
      <c r="W535" s="17"/>
      <c r="X535" s="12"/>
      <c r="Y535" s="12"/>
      <c r="Z535" s="12"/>
      <c r="AA535" s="18" t="str">
        <f aca="false">IF(K535&lt;&gt;"ВИРТУАЛЬНЫЙ ВЫБОР","",IF(Z535="✅ ЗАШЛО",W535*(P535-1),IF(Z535="❌ НЕ ЗАШЛО",-W535,IF(Z535="½ ЗАШЛО",W535*(P535-1)/2,IF(Z535="½ НЕ ЗАШЛО",-W535/2,IF(Z535="ВОЗВРАТ",0,""))))))</f>
        <v/>
      </c>
      <c r="AB535" s="18" t="str">
        <f aca="false">IF(AND(K535="ВИРТУАЛЬНЫЙ ВЫБОР",OR(Z535="✅ ЗАШЛО",Z535="❌ НЕ ЗАШЛО",Z535="½ ЗАШЛО",Z535="½ НЕ ЗАШЛО",Z535="ВОЗВРАТ")),W535,"")</f>
        <v/>
      </c>
      <c r="AC535" s="15"/>
      <c r="AD535" s="16" t="str">
        <f aca="false">IF(OR(AC535="",P535=""),"",P535/AC535-1)</f>
        <v/>
      </c>
      <c r="AE535" s="19" t="str">
        <f aca="false">IF(AND(M535=0,OR(Z535="✅ ЗАШЛО",Z535="❌ НЕ ЗАШЛО"),L535&lt;&gt;""),(L535-IF(Z535="✅ ЗАШЛО",1,0))^2,"")</f>
        <v/>
      </c>
      <c r="AF535" s="15"/>
      <c r="AG535" s="15"/>
      <c r="AH535" s="13"/>
      <c r="AI535" s="13"/>
      <c r="AJ535" s="13"/>
      <c r="AK535" s="20" t="str">
        <f aca="false">IF(AH535="","",IF(ABS(AH535+AI535+AJ535-1)&lt;0.000001,"OK","ОШИБКА"))</f>
        <v/>
      </c>
      <c r="AL535" s="13"/>
      <c r="AM535" s="12"/>
      <c r="AN535" s="12"/>
      <c r="AO535" s="12"/>
      <c r="AP535" s="12"/>
      <c r="AQ535" s="18" t="str">
        <f aca="false">IF(A535="","",N(AQ534)+N(AA535))</f>
        <v/>
      </c>
      <c r="AR535" s="18" t="str">
        <f aca="false">IF(AQ535="","",MAX(0,MAX($AQ$8:AQ535))-AQ535)</f>
        <v/>
      </c>
    </row>
    <row r="536" customFormat="false" ht="15" hidden="false" customHeight="fals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3"/>
      <c r="M536" s="13"/>
      <c r="N536" s="13"/>
      <c r="O536" s="14" t="str">
        <f aca="false">IF(OR(L536="",L536=0),"",(1-M536)/L536)</f>
        <v/>
      </c>
      <c r="P536" s="15"/>
      <c r="Q536" s="12"/>
      <c r="R536" s="12"/>
      <c r="S536" s="13"/>
      <c r="T536" s="16" t="str">
        <f aca="false">IF(OR(S536="",L536=""),"",L536/(1-M536)-S536)</f>
        <v/>
      </c>
      <c r="U536" s="16" t="str">
        <f aca="false">IF(OR(L536="",P536=""),"",L536*(P536-1)-N536)</f>
        <v/>
      </c>
      <c r="V536" s="13"/>
      <c r="W536" s="17"/>
      <c r="X536" s="12"/>
      <c r="Y536" s="12"/>
      <c r="Z536" s="12"/>
      <c r="AA536" s="18" t="str">
        <f aca="false">IF(K536&lt;&gt;"ВИРТУАЛЬНЫЙ ВЫБОР","",IF(Z536="✅ ЗАШЛО",W536*(P536-1),IF(Z536="❌ НЕ ЗАШЛО",-W536,IF(Z536="½ ЗАШЛО",W536*(P536-1)/2,IF(Z536="½ НЕ ЗАШЛО",-W536/2,IF(Z536="ВОЗВРАТ",0,""))))))</f>
        <v/>
      </c>
      <c r="AB536" s="18" t="str">
        <f aca="false">IF(AND(K536="ВИРТУАЛЬНЫЙ ВЫБОР",OR(Z536="✅ ЗАШЛО",Z536="❌ НЕ ЗАШЛО",Z536="½ ЗАШЛО",Z536="½ НЕ ЗАШЛО",Z536="ВОЗВРАТ")),W536,"")</f>
        <v/>
      </c>
      <c r="AC536" s="15"/>
      <c r="AD536" s="16" t="str">
        <f aca="false">IF(OR(AC536="",P536=""),"",P536/AC536-1)</f>
        <v/>
      </c>
      <c r="AE536" s="19" t="str">
        <f aca="false">IF(AND(M536=0,OR(Z536="✅ ЗАШЛО",Z536="❌ НЕ ЗАШЛО"),L536&lt;&gt;""),(L536-IF(Z536="✅ ЗАШЛО",1,0))^2,"")</f>
        <v/>
      </c>
      <c r="AF536" s="15"/>
      <c r="AG536" s="15"/>
      <c r="AH536" s="13"/>
      <c r="AI536" s="13"/>
      <c r="AJ536" s="13"/>
      <c r="AK536" s="20" t="str">
        <f aca="false">IF(AH536="","",IF(ABS(AH536+AI536+AJ536-1)&lt;0.000001,"OK","ОШИБКА"))</f>
        <v/>
      </c>
      <c r="AL536" s="13"/>
      <c r="AM536" s="12"/>
      <c r="AN536" s="12"/>
      <c r="AO536" s="12"/>
      <c r="AP536" s="12"/>
      <c r="AQ536" s="18" t="str">
        <f aca="false">IF(A536="","",N(AQ535)+N(AA536))</f>
        <v/>
      </c>
      <c r="AR536" s="18" t="str">
        <f aca="false">IF(AQ536="","",MAX(0,MAX($AQ$8:AQ536))-AQ536)</f>
        <v/>
      </c>
    </row>
    <row r="537" customFormat="false" ht="15" hidden="false" customHeight="fals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3"/>
      <c r="M537" s="13"/>
      <c r="N537" s="13"/>
      <c r="O537" s="14" t="str">
        <f aca="false">IF(OR(L537="",L537=0),"",(1-M537)/L537)</f>
        <v/>
      </c>
      <c r="P537" s="15"/>
      <c r="Q537" s="12"/>
      <c r="R537" s="12"/>
      <c r="S537" s="13"/>
      <c r="T537" s="16" t="str">
        <f aca="false">IF(OR(S537="",L537=""),"",L537/(1-M537)-S537)</f>
        <v/>
      </c>
      <c r="U537" s="16" t="str">
        <f aca="false">IF(OR(L537="",P537=""),"",L537*(P537-1)-N537)</f>
        <v/>
      </c>
      <c r="V537" s="13"/>
      <c r="W537" s="17"/>
      <c r="X537" s="12"/>
      <c r="Y537" s="12"/>
      <c r="Z537" s="12"/>
      <c r="AA537" s="18" t="str">
        <f aca="false">IF(K537&lt;&gt;"ВИРТУАЛЬНЫЙ ВЫБОР","",IF(Z537="✅ ЗАШЛО",W537*(P537-1),IF(Z537="❌ НЕ ЗАШЛО",-W537,IF(Z537="½ ЗАШЛО",W537*(P537-1)/2,IF(Z537="½ НЕ ЗАШЛО",-W537/2,IF(Z537="ВОЗВРАТ",0,""))))))</f>
        <v/>
      </c>
      <c r="AB537" s="18" t="str">
        <f aca="false">IF(AND(K537="ВИРТУАЛЬНЫЙ ВЫБОР",OR(Z537="✅ ЗАШЛО",Z537="❌ НЕ ЗАШЛО",Z537="½ ЗАШЛО",Z537="½ НЕ ЗАШЛО",Z537="ВОЗВРАТ")),W537,"")</f>
        <v/>
      </c>
      <c r="AC537" s="15"/>
      <c r="AD537" s="16" t="str">
        <f aca="false">IF(OR(AC537="",P537=""),"",P537/AC537-1)</f>
        <v/>
      </c>
      <c r="AE537" s="19" t="str">
        <f aca="false">IF(AND(M537=0,OR(Z537="✅ ЗАШЛО",Z537="❌ НЕ ЗАШЛО"),L537&lt;&gt;""),(L537-IF(Z537="✅ ЗАШЛО",1,0))^2,"")</f>
        <v/>
      </c>
      <c r="AF537" s="15"/>
      <c r="AG537" s="15"/>
      <c r="AH537" s="13"/>
      <c r="AI537" s="13"/>
      <c r="AJ537" s="13"/>
      <c r="AK537" s="20" t="str">
        <f aca="false">IF(AH537="","",IF(ABS(AH537+AI537+AJ537-1)&lt;0.000001,"OK","ОШИБКА"))</f>
        <v/>
      </c>
      <c r="AL537" s="13"/>
      <c r="AM537" s="12"/>
      <c r="AN537" s="12"/>
      <c r="AO537" s="12"/>
      <c r="AP537" s="12"/>
      <c r="AQ537" s="18" t="str">
        <f aca="false">IF(A537="","",N(AQ536)+N(AA537))</f>
        <v/>
      </c>
      <c r="AR537" s="18" t="str">
        <f aca="false">IF(AQ537="","",MAX(0,MAX($AQ$8:AQ537))-AQ537)</f>
        <v/>
      </c>
    </row>
    <row r="538" customFormat="false" ht="15" hidden="false" customHeight="fals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3"/>
      <c r="M538" s="13"/>
      <c r="N538" s="13"/>
      <c r="O538" s="14" t="str">
        <f aca="false">IF(OR(L538="",L538=0),"",(1-M538)/L538)</f>
        <v/>
      </c>
      <c r="P538" s="15"/>
      <c r="Q538" s="12"/>
      <c r="R538" s="12"/>
      <c r="S538" s="13"/>
      <c r="T538" s="16" t="str">
        <f aca="false">IF(OR(S538="",L538=""),"",L538/(1-M538)-S538)</f>
        <v/>
      </c>
      <c r="U538" s="16" t="str">
        <f aca="false">IF(OR(L538="",P538=""),"",L538*(P538-1)-N538)</f>
        <v/>
      </c>
      <c r="V538" s="13"/>
      <c r="W538" s="17"/>
      <c r="X538" s="12"/>
      <c r="Y538" s="12"/>
      <c r="Z538" s="12"/>
      <c r="AA538" s="18" t="str">
        <f aca="false">IF(K538&lt;&gt;"ВИРТУАЛЬНЫЙ ВЫБОР","",IF(Z538="✅ ЗАШЛО",W538*(P538-1),IF(Z538="❌ НЕ ЗАШЛО",-W538,IF(Z538="½ ЗАШЛО",W538*(P538-1)/2,IF(Z538="½ НЕ ЗАШЛО",-W538/2,IF(Z538="ВОЗВРАТ",0,""))))))</f>
        <v/>
      </c>
      <c r="AB538" s="18" t="str">
        <f aca="false">IF(AND(K538="ВИРТУАЛЬНЫЙ ВЫБОР",OR(Z538="✅ ЗАШЛО",Z538="❌ НЕ ЗАШЛО",Z538="½ ЗАШЛО",Z538="½ НЕ ЗАШЛО",Z538="ВОЗВРАТ")),W538,"")</f>
        <v/>
      </c>
      <c r="AC538" s="15"/>
      <c r="AD538" s="16" t="str">
        <f aca="false">IF(OR(AC538="",P538=""),"",P538/AC538-1)</f>
        <v/>
      </c>
      <c r="AE538" s="19" t="str">
        <f aca="false">IF(AND(M538=0,OR(Z538="✅ ЗАШЛО",Z538="❌ НЕ ЗАШЛО"),L538&lt;&gt;""),(L538-IF(Z538="✅ ЗАШЛО",1,0))^2,"")</f>
        <v/>
      </c>
      <c r="AF538" s="15"/>
      <c r="AG538" s="15"/>
      <c r="AH538" s="13"/>
      <c r="AI538" s="13"/>
      <c r="AJ538" s="13"/>
      <c r="AK538" s="20" t="str">
        <f aca="false">IF(AH538="","",IF(ABS(AH538+AI538+AJ538-1)&lt;0.000001,"OK","ОШИБКА"))</f>
        <v/>
      </c>
      <c r="AL538" s="13"/>
      <c r="AM538" s="12"/>
      <c r="AN538" s="12"/>
      <c r="AO538" s="12"/>
      <c r="AP538" s="12"/>
      <c r="AQ538" s="18" t="str">
        <f aca="false">IF(A538="","",N(AQ537)+N(AA538))</f>
        <v/>
      </c>
      <c r="AR538" s="18" t="str">
        <f aca="false">IF(AQ538="","",MAX(0,MAX($AQ$8:AQ538))-AQ538)</f>
        <v/>
      </c>
    </row>
    <row r="539" customFormat="false" ht="15" hidden="false" customHeight="fals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3"/>
      <c r="M539" s="13"/>
      <c r="N539" s="13"/>
      <c r="O539" s="14" t="str">
        <f aca="false">IF(OR(L539="",L539=0),"",(1-M539)/L539)</f>
        <v/>
      </c>
      <c r="P539" s="15"/>
      <c r="Q539" s="12"/>
      <c r="R539" s="12"/>
      <c r="S539" s="13"/>
      <c r="T539" s="16" t="str">
        <f aca="false">IF(OR(S539="",L539=""),"",L539/(1-M539)-S539)</f>
        <v/>
      </c>
      <c r="U539" s="16" t="str">
        <f aca="false">IF(OR(L539="",P539=""),"",L539*(P539-1)-N539)</f>
        <v/>
      </c>
      <c r="V539" s="13"/>
      <c r="W539" s="17"/>
      <c r="X539" s="12"/>
      <c r="Y539" s="12"/>
      <c r="Z539" s="12"/>
      <c r="AA539" s="18" t="str">
        <f aca="false">IF(K539&lt;&gt;"ВИРТУАЛЬНЫЙ ВЫБОР","",IF(Z539="✅ ЗАШЛО",W539*(P539-1),IF(Z539="❌ НЕ ЗАШЛО",-W539,IF(Z539="½ ЗАШЛО",W539*(P539-1)/2,IF(Z539="½ НЕ ЗАШЛО",-W539/2,IF(Z539="ВОЗВРАТ",0,""))))))</f>
        <v/>
      </c>
      <c r="AB539" s="18" t="str">
        <f aca="false">IF(AND(K539="ВИРТУАЛЬНЫЙ ВЫБОР",OR(Z539="✅ ЗАШЛО",Z539="❌ НЕ ЗАШЛО",Z539="½ ЗАШЛО",Z539="½ НЕ ЗАШЛО",Z539="ВОЗВРАТ")),W539,"")</f>
        <v/>
      </c>
      <c r="AC539" s="15"/>
      <c r="AD539" s="16" t="str">
        <f aca="false">IF(OR(AC539="",P539=""),"",P539/AC539-1)</f>
        <v/>
      </c>
      <c r="AE539" s="19" t="str">
        <f aca="false">IF(AND(M539=0,OR(Z539="✅ ЗАШЛО",Z539="❌ НЕ ЗАШЛО"),L539&lt;&gt;""),(L539-IF(Z539="✅ ЗАШЛО",1,0))^2,"")</f>
        <v/>
      </c>
      <c r="AF539" s="15"/>
      <c r="AG539" s="15"/>
      <c r="AH539" s="13"/>
      <c r="AI539" s="13"/>
      <c r="AJ539" s="13"/>
      <c r="AK539" s="20" t="str">
        <f aca="false">IF(AH539="","",IF(ABS(AH539+AI539+AJ539-1)&lt;0.000001,"OK","ОШИБКА"))</f>
        <v/>
      </c>
      <c r="AL539" s="13"/>
      <c r="AM539" s="12"/>
      <c r="AN539" s="12"/>
      <c r="AO539" s="12"/>
      <c r="AP539" s="12"/>
      <c r="AQ539" s="18" t="str">
        <f aca="false">IF(A539="","",N(AQ538)+N(AA539))</f>
        <v/>
      </c>
      <c r="AR539" s="18" t="str">
        <f aca="false">IF(AQ539="","",MAX(0,MAX($AQ$8:AQ539))-AQ539)</f>
        <v/>
      </c>
    </row>
    <row r="540" customFormat="false" ht="15" hidden="false" customHeight="fals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3"/>
      <c r="M540" s="13"/>
      <c r="N540" s="13"/>
      <c r="O540" s="14" t="str">
        <f aca="false">IF(OR(L540="",L540=0),"",(1-M540)/L540)</f>
        <v/>
      </c>
      <c r="P540" s="15"/>
      <c r="Q540" s="12"/>
      <c r="R540" s="12"/>
      <c r="S540" s="13"/>
      <c r="T540" s="16" t="str">
        <f aca="false">IF(OR(S540="",L540=""),"",L540/(1-M540)-S540)</f>
        <v/>
      </c>
      <c r="U540" s="16" t="str">
        <f aca="false">IF(OR(L540="",P540=""),"",L540*(P540-1)-N540)</f>
        <v/>
      </c>
      <c r="V540" s="13"/>
      <c r="W540" s="17"/>
      <c r="X540" s="12"/>
      <c r="Y540" s="12"/>
      <c r="Z540" s="12"/>
      <c r="AA540" s="18" t="str">
        <f aca="false">IF(K540&lt;&gt;"ВИРТУАЛЬНЫЙ ВЫБОР","",IF(Z540="✅ ЗАШЛО",W540*(P540-1),IF(Z540="❌ НЕ ЗАШЛО",-W540,IF(Z540="½ ЗАШЛО",W540*(P540-1)/2,IF(Z540="½ НЕ ЗАШЛО",-W540/2,IF(Z540="ВОЗВРАТ",0,""))))))</f>
        <v/>
      </c>
      <c r="AB540" s="18" t="str">
        <f aca="false">IF(AND(K540="ВИРТУАЛЬНЫЙ ВЫБОР",OR(Z540="✅ ЗАШЛО",Z540="❌ НЕ ЗАШЛО",Z540="½ ЗАШЛО",Z540="½ НЕ ЗАШЛО",Z540="ВОЗВРАТ")),W540,"")</f>
        <v/>
      </c>
      <c r="AC540" s="15"/>
      <c r="AD540" s="16" t="str">
        <f aca="false">IF(OR(AC540="",P540=""),"",P540/AC540-1)</f>
        <v/>
      </c>
      <c r="AE540" s="19" t="str">
        <f aca="false">IF(AND(M540=0,OR(Z540="✅ ЗАШЛО",Z540="❌ НЕ ЗАШЛО"),L540&lt;&gt;""),(L540-IF(Z540="✅ ЗАШЛО",1,0))^2,"")</f>
        <v/>
      </c>
      <c r="AF540" s="15"/>
      <c r="AG540" s="15"/>
      <c r="AH540" s="13"/>
      <c r="AI540" s="13"/>
      <c r="AJ540" s="13"/>
      <c r="AK540" s="20" t="str">
        <f aca="false">IF(AH540="","",IF(ABS(AH540+AI540+AJ540-1)&lt;0.000001,"OK","ОШИБКА"))</f>
        <v/>
      </c>
      <c r="AL540" s="13"/>
      <c r="AM540" s="12"/>
      <c r="AN540" s="12"/>
      <c r="AO540" s="12"/>
      <c r="AP540" s="12"/>
      <c r="AQ540" s="18" t="str">
        <f aca="false">IF(A540="","",N(AQ539)+N(AA540))</f>
        <v/>
      </c>
      <c r="AR540" s="18" t="str">
        <f aca="false">IF(AQ540="","",MAX(0,MAX($AQ$8:AQ540))-AQ540)</f>
        <v/>
      </c>
    </row>
    <row r="541" customFormat="false" ht="15" hidden="false" customHeight="fals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3"/>
      <c r="M541" s="13"/>
      <c r="N541" s="13"/>
      <c r="O541" s="14" t="str">
        <f aca="false">IF(OR(L541="",L541=0),"",(1-M541)/L541)</f>
        <v/>
      </c>
      <c r="P541" s="15"/>
      <c r="Q541" s="12"/>
      <c r="R541" s="12"/>
      <c r="S541" s="13"/>
      <c r="T541" s="16" t="str">
        <f aca="false">IF(OR(S541="",L541=""),"",L541/(1-M541)-S541)</f>
        <v/>
      </c>
      <c r="U541" s="16" t="str">
        <f aca="false">IF(OR(L541="",P541=""),"",L541*(P541-1)-N541)</f>
        <v/>
      </c>
      <c r="V541" s="13"/>
      <c r="W541" s="17"/>
      <c r="X541" s="12"/>
      <c r="Y541" s="12"/>
      <c r="Z541" s="12"/>
      <c r="AA541" s="18" t="str">
        <f aca="false">IF(K541&lt;&gt;"ВИРТУАЛЬНЫЙ ВЫБОР","",IF(Z541="✅ ЗАШЛО",W541*(P541-1),IF(Z541="❌ НЕ ЗАШЛО",-W541,IF(Z541="½ ЗАШЛО",W541*(P541-1)/2,IF(Z541="½ НЕ ЗАШЛО",-W541/2,IF(Z541="ВОЗВРАТ",0,""))))))</f>
        <v/>
      </c>
      <c r="AB541" s="18" t="str">
        <f aca="false">IF(AND(K541="ВИРТУАЛЬНЫЙ ВЫБОР",OR(Z541="✅ ЗАШЛО",Z541="❌ НЕ ЗАШЛО",Z541="½ ЗАШЛО",Z541="½ НЕ ЗАШЛО",Z541="ВОЗВРАТ")),W541,"")</f>
        <v/>
      </c>
      <c r="AC541" s="15"/>
      <c r="AD541" s="16" t="str">
        <f aca="false">IF(OR(AC541="",P541=""),"",P541/AC541-1)</f>
        <v/>
      </c>
      <c r="AE541" s="19" t="str">
        <f aca="false">IF(AND(M541=0,OR(Z541="✅ ЗАШЛО",Z541="❌ НЕ ЗАШЛО"),L541&lt;&gt;""),(L541-IF(Z541="✅ ЗАШЛО",1,0))^2,"")</f>
        <v/>
      </c>
      <c r="AF541" s="15"/>
      <c r="AG541" s="15"/>
      <c r="AH541" s="13"/>
      <c r="AI541" s="13"/>
      <c r="AJ541" s="13"/>
      <c r="AK541" s="20" t="str">
        <f aca="false">IF(AH541="","",IF(ABS(AH541+AI541+AJ541-1)&lt;0.000001,"OK","ОШИБКА"))</f>
        <v/>
      </c>
      <c r="AL541" s="13"/>
      <c r="AM541" s="12"/>
      <c r="AN541" s="12"/>
      <c r="AO541" s="12"/>
      <c r="AP541" s="12"/>
      <c r="AQ541" s="18" t="str">
        <f aca="false">IF(A541="","",N(AQ540)+N(AA541))</f>
        <v/>
      </c>
      <c r="AR541" s="18" t="str">
        <f aca="false">IF(AQ541="","",MAX(0,MAX($AQ$8:AQ541))-AQ541)</f>
        <v/>
      </c>
    </row>
    <row r="542" customFormat="false" ht="15" hidden="false" customHeight="fals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3"/>
      <c r="M542" s="13"/>
      <c r="N542" s="13"/>
      <c r="O542" s="14" t="str">
        <f aca="false">IF(OR(L542="",L542=0),"",(1-M542)/L542)</f>
        <v/>
      </c>
      <c r="P542" s="15"/>
      <c r="Q542" s="12"/>
      <c r="R542" s="12"/>
      <c r="S542" s="13"/>
      <c r="T542" s="16" t="str">
        <f aca="false">IF(OR(S542="",L542=""),"",L542/(1-M542)-S542)</f>
        <v/>
      </c>
      <c r="U542" s="16" t="str">
        <f aca="false">IF(OR(L542="",P542=""),"",L542*(P542-1)-N542)</f>
        <v/>
      </c>
      <c r="V542" s="13"/>
      <c r="W542" s="17"/>
      <c r="X542" s="12"/>
      <c r="Y542" s="12"/>
      <c r="Z542" s="12"/>
      <c r="AA542" s="18" t="str">
        <f aca="false">IF(K542&lt;&gt;"ВИРТУАЛЬНЫЙ ВЫБОР","",IF(Z542="✅ ЗАШЛО",W542*(P542-1),IF(Z542="❌ НЕ ЗАШЛО",-W542,IF(Z542="½ ЗАШЛО",W542*(P542-1)/2,IF(Z542="½ НЕ ЗАШЛО",-W542/2,IF(Z542="ВОЗВРАТ",0,""))))))</f>
        <v/>
      </c>
      <c r="AB542" s="18" t="str">
        <f aca="false">IF(AND(K542="ВИРТУАЛЬНЫЙ ВЫБОР",OR(Z542="✅ ЗАШЛО",Z542="❌ НЕ ЗАШЛО",Z542="½ ЗАШЛО",Z542="½ НЕ ЗАШЛО",Z542="ВОЗВРАТ")),W542,"")</f>
        <v/>
      </c>
      <c r="AC542" s="15"/>
      <c r="AD542" s="16" t="str">
        <f aca="false">IF(OR(AC542="",P542=""),"",P542/AC542-1)</f>
        <v/>
      </c>
      <c r="AE542" s="19" t="str">
        <f aca="false">IF(AND(M542=0,OR(Z542="✅ ЗАШЛО",Z542="❌ НЕ ЗАШЛО"),L542&lt;&gt;""),(L542-IF(Z542="✅ ЗАШЛО",1,0))^2,"")</f>
        <v/>
      </c>
      <c r="AF542" s="15"/>
      <c r="AG542" s="15"/>
      <c r="AH542" s="13"/>
      <c r="AI542" s="13"/>
      <c r="AJ542" s="13"/>
      <c r="AK542" s="20" t="str">
        <f aca="false">IF(AH542="","",IF(ABS(AH542+AI542+AJ542-1)&lt;0.000001,"OK","ОШИБКА"))</f>
        <v/>
      </c>
      <c r="AL542" s="13"/>
      <c r="AM542" s="12"/>
      <c r="AN542" s="12"/>
      <c r="AO542" s="12"/>
      <c r="AP542" s="12"/>
      <c r="AQ542" s="18" t="str">
        <f aca="false">IF(A542="","",N(AQ541)+N(AA542))</f>
        <v/>
      </c>
      <c r="AR542" s="18" t="str">
        <f aca="false">IF(AQ542="","",MAX(0,MAX($AQ$8:AQ542))-AQ542)</f>
        <v/>
      </c>
    </row>
    <row r="543" customFormat="false" ht="15" hidden="false" customHeight="fals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3"/>
      <c r="M543" s="13"/>
      <c r="N543" s="13"/>
      <c r="O543" s="14" t="str">
        <f aca="false">IF(OR(L543="",L543=0),"",(1-M543)/L543)</f>
        <v/>
      </c>
      <c r="P543" s="15"/>
      <c r="Q543" s="12"/>
      <c r="R543" s="12"/>
      <c r="S543" s="13"/>
      <c r="T543" s="16" t="str">
        <f aca="false">IF(OR(S543="",L543=""),"",L543/(1-M543)-S543)</f>
        <v/>
      </c>
      <c r="U543" s="16" t="str">
        <f aca="false">IF(OR(L543="",P543=""),"",L543*(P543-1)-N543)</f>
        <v/>
      </c>
      <c r="V543" s="13"/>
      <c r="W543" s="17"/>
      <c r="X543" s="12"/>
      <c r="Y543" s="12"/>
      <c r="Z543" s="12"/>
      <c r="AA543" s="18" t="str">
        <f aca="false">IF(K543&lt;&gt;"ВИРТУАЛЬНЫЙ ВЫБОР","",IF(Z543="✅ ЗАШЛО",W543*(P543-1),IF(Z543="❌ НЕ ЗАШЛО",-W543,IF(Z543="½ ЗАШЛО",W543*(P543-1)/2,IF(Z543="½ НЕ ЗАШЛО",-W543/2,IF(Z543="ВОЗВРАТ",0,""))))))</f>
        <v/>
      </c>
      <c r="AB543" s="18" t="str">
        <f aca="false">IF(AND(K543="ВИРТУАЛЬНЫЙ ВЫБОР",OR(Z543="✅ ЗАШЛО",Z543="❌ НЕ ЗАШЛО",Z543="½ ЗАШЛО",Z543="½ НЕ ЗАШЛО",Z543="ВОЗВРАТ")),W543,"")</f>
        <v/>
      </c>
      <c r="AC543" s="15"/>
      <c r="AD543" s="16" t="str">
        <f aca="false">IF(OR(AC543="",P543=""),"",P543/AC543-1)</f>
        <v/>
      </c>
      <c r="AE543" s="19" t="str">
        <f aca="false">IF(AND(M543=0,OR(Z543="✅ ЗАШЛО",Z543="❌ НЕ ЗАШЛО"),L543&lt;&gt;""),(L543-IF(Z543="✅ ЗАШЛО",1,0))^2,"")</f>
        <v/>
      </c>
      <c r="AF543" s="15"/>
      <c r="AG543" s="15"/>
      <c r="AH543" s="13"/>
      <c r="AI543" s="13"/>
      <c r="AJ543" s="13"/>
      <c r="AK543" s="20" t="str">
        <f aca="false">IF(AH543="","",IF(ABS(AH543+AI543+AJ543-1)&lt;0.000001,"OK","ОШИБКА"))</f>
        <v/>
      </c>
      <c r="AL543" s="13"/>
      <c r="AM543" s="12"/>
      <c r="AN543" s="12"/>
      <c r="AO543" s="12"/>
      <c r="AP543" s="12"/>
      <c r="AQ543" s="18" t="str">
        <f aca="false">IF(A543="","",N(AQ542)+N(AA543))</f>
        <v/>
      </c>
      <c r="AR543" s="18" t="str">
        <f aca="false">IF(AQ543="","",MAX(0,MAX($AQ$8:AQ543))-AQ543)</f>
        <v/>
      </c>
    </row>
    <row r="544" customFormat="false" ht="15" hidden="false" customHeight="fals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3"/>
      <c r="M544" s="13"/>
      <c r="N544" s="13"/>
      <c r="O544" s="14" t="str">
        <f aca="false">IF(OR(L544="",L544=0),"",(1-M544)/L544)</f>
        <v/>
      </c>
      <c r="P544" s="15"/>
      <c r="Q544" s="12"/>
      <c r="R544" s="12"/>
      <c r="S544" s="13"/>
      <c r="T544" s="16" t="str">
        <f aca="false">IF(OR(S544="",L544=""),"",L544/(1-M544)-S544)</f>
        <v/>
      </c>
      <c r="U544" s="16" t="str">
        <f aca="false">IF(OR(L544="",P544=""),"",L544*(P544-1)-N544)</f>
        <v/>
      </c>
      <c r="V544" s="13"/>
      <c r="W544" s="17"/>
      <c r="X544" s="12"/>
      <c r="Y544" s="12"/>
      <c r="Z544" s="12"/>
      <c r="AA544" s="18" t="str">
        <f aca="false">IF(K544&lt;&gt;"ВИРТУАЛЬНЫЙ ВЫБОР","",IF(Z544="✅ ЗАШЛО",W544*(P544-1),IF(Z544="❌ НЕ ЗАШЛО",-W544,IF(Z544="½ ЗАШЛО",W544*(P544-1)/2,IF(Z544="½ НЕ ЗАШЛО",-W544/2,IF(Z544="ВОЗВРАТ",0,""))))))</f>
        <v/>
      </c>
      <c r="AB544" s="18" t="str">
        <f aca="false">IF(AND(K544="ВИРТУАЛЬНЫЙ ВЫБОР",OR(Z544="✅ ЗАШЛО",Z544="❌ НЕ ЗАШЛО",Z544="½ ЗАШЛО",Z544="½ НЕ ЗАШЛО",Z544="ВОЗВРАТ")),W544,"")</f>
        <v/>
      </c>
      <c r="AC544" s="15"/>
      <c r="AD544" s="16" t="str">
        <f aca="false">IF(OR(AC544="",P544=""),"",P544/AC544-1)</f>
        <v/>
      </c>
      <c r="AE544" s="19" t="str">
        <f aca="false">IF(AND(M544=0,OR(Z544="✅ ЗАШЛО",Z544="❌ НЕ ЗАШЛО"),L544&lt;&gt;""),(L544-IF(Z544="✅ ЗАШЛО",1,0))^2,"")</f>
        <v/>
      </c>
      <c r="AF544" s="15"/>
      <c r="AG544" s="15"/>
      <c r="AH544" s="13"/>
      <c r="AI544" s="13"/>
      <c r="AJ544" s="13"/>
      <c r="AK544" s="20" t="str">
        <f aca="false">IF(AH544="","",IF(ABS(AH544+AI544+AJ544-1)&lt;0.000001,"OK","ОШИБКА"))</f>
        <v/>
      </c>
      <c r="AL544" s="13"/>
      <c r="AM544" s="12"/>
      <c r="AN544" s="12"/>
      <c r="AO544" s="12"/>
      <c r="AP544" s="12"/>
      <c r="AQ544" s="18" t="str">
        <f aca="false">IF(A544="","",N(AQ543)+N(AA544))</f>
        <v/>
      </c>
      <c r="AR544" s="18" t="str">
        <f aca="false">IF(AQ544="","",MAX(0,MAX($AQ$8:AQ544))-AQ544)</f>
        <v/>
      </c>
    </row>
    <row r="545" customFormat="false" ht="15" hidden="false" customHeight="fals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3"/>
      <c r="M545" s="13"/>
      <c r="N545" s="13"/>
      <c r="O545" s="14" t="str">
        <f aca="false">IF(OR(L545="",L545=0),"",(1-M545)/L545)</f>
        <v/>
      </c>
      <c r="P545" s="15"/>
      <c r="Q545" s="12"/>
      <c r="R545" s="12"/>
      <c r="S545" s="13"/>
      <c r="T545" s="16" t="str">
        <f aca="false">IF(OR(S545="",L545=""),"",L545/(1-M545)-S545)</f>
        <v/>
      </c>
      <c r="U545" s="16" t="str">
        <f aca="false">IF(OR(L545="",P545=""),"",L545*(P545-1)-N545)</f>
        <v/>
      </c>
      <c r="V545" s="13"/>
      <c r="W545" s="17"/>
      <c r="X545" s="12"/>
      <c r="Y545" s="12"/>
      <c r="Z545" s="12"/>
      <c r="AA545" s="18" t="str">
        <f aca="false">IF(K545&lt;&gt;"ВИРТУАЛЬНЫЙ ВЫБОР","",IF(Z545="✅ ЗАШЛО",W545*(P545-1),IF(Z545="❌ НЕ ЗАШЛО",-W545,IF(Z545="½ ЗАШЛО",W545*(P545-1)/2,IF(Z545="½ НЕ ЗАШЛО",-W545/2,IF(Z545="ВОЗВРАТ",0,""))))))</f>
        <v/>
      </c>
      <c r="AB545" s="18" t="str">
        <f aca="false">IF(AND(K545="ВИРТУАЛЬНЫЙ ВЫБОР",OR(Z545="✅ ЗАШЛО",Z545="❌ НЕ ЗАШЛО",Z545="½ ЗАШЛО",Z545="½ НЕ ЗАШЛО",Z545="ВОЗВРАТ")),W545,"")</f>
        <v/>
      </c>
      <c r="AC545" s="15"/>
      <c r="AD545" s="16" t="str">
        <f aca="false">IF(OR(AC545="",P545=""),"",P545/AC545-1)</f>
        <v/>
      </c>
      <c r="AE545" s="19" t="str">
        <f aca="false">IF(AND(M545=0,OR(Z545="✅ ЗАШЛО",Z545="❌ НЕ ЗАШЛО"),L545&lt;&gt;""),(L545-IF(Z545="✅ ЗАШЛО",1,0))^2,"")</f>
        <v/>
      </c>
      <c r="AF545" s="15"/>
      <c r="AG545" s="15"/>
      <c r="AH545" s="13"/>
      <c r="AI545" s="13"/>
      <c r="AJ545" s="13"/>
      <c r="AK545" s="20" t="str">
        <f aca="false">IF(AH545="","",IF(ABS(AH545+AI545+AJ545-1)&lt;0.000001,"OK","ОШИБКА"))</f>
        <v/>
      </c>
      <c r="AL545" s="13"/>
      <c r="AM545" s="12"/>
      <c r="AN545" s="12"/>
      <c r="AO545" s="12"/>
      <c r="AP545" s="12"/>
      <c r="AQ545" s="18" t="str">
        <f aca="false">IF(A545="","",N(AQ544)+N(AA545))</f>
        <v/>
      </c>
      <c r="AR545" s="18" t="str">
        <f aca="false">IF(AQ545="","",MAX(0,MAX($AQ$8:AQ545))-AQ545)</f>
        <v/>
      </c>
    </row>
    <row r="546" customFormat="false" ht="15" hidden="false" customHeight="fals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3"/>
      <c r="M546" s="13"/>
      <c r="N546" s="13"/>
      <c r="O546" s="14" t="str">
        <f aca="false">IF(OR(L546="",L546=0),"",(1-M546)/L546)</f>
        <v/>
      </c>
      <c r="P546" s="15"/>
      <c r="Q546" s="12"/>
      <c r="R546" s="12"/>
      <c r="S546" s="13"/>
      <c r="T546" s="16" t="str">
        <f aca="false">IF(OR(S546="",L546=""),"",L546/(1-M546)-S546)</f>
        <v/>
      </c>
      <c r="U546" s="16" t="str">
        <f aca="false">IF(OR(L546="",P546=""),"",L546*(P546-1)-N546)</f>
        <v/>
      </c>
      <c r="V546" s="13"/>
      <c r="W546" s="17"/>
      <c r="X546" s="12"/>
      <c r="Y546" s="12"/>
      <c r="Z546" s="12"/>
      <c r="AA546" s="18" t="str">
        <f aca="false">IF(K546&lt;&gt;"ВИРТУАЛЬНЫЙ ВЫБОР","",IF(Z546="✅ ЗАШЛО",W546*(P546-1),IF(Z546="❌ НЕ ЗАШЛО",-W546,IF(Z546="½ ЗАШЛО",W546*(P546-1)/2,IF(Z546="½ НЕ ЗАШЛО",-W546/2,IF(Z546="ВОЗВРАТ",0,""))))))</f>
        <v/>
      </c>
      <c r="AB546" s="18" t="str">
        <f aca="false">IF(AND(K546="ВИРТУАЛЬНЫЙ ВЫБОР",OR(Z546="✅ ЗАШЛО",Z546="❌ НЕ ЗАШЛО",Z546="½ ЗАШЛО",Z546="½ НЕ ЗАШЛО",Z546="ВОЗВРАТ")),W546,"")</f>
        <v/>
      </c>
      <c r="AC546" s="15"/>
      <c r="AD546" s="16" t="str">
        <f aca="false">IF(OR(AC546="",P546=""),"",P546/AC546-1)</f>
        <v/>
      </c>
      <c r="AE546" s="19" t="str">
        <f aca="false">IF(AND(M546=0,OR(Z546="✅ ЗАШЛО",Z546="❌ НЕ ЗАШЛО"),L546&lt;&gt;""),(L546-IF(Z546="✅ ЗАШЛО",1,0))^2,"")</f>
        <v/>
      </c>
      <c r="AF546" s="15"/>
      <c r="AG546" s="15"/>
      <c r="AH546" s="13"/>
      <c r="AI546" s="13"/>
      <c r="AJ546" s="13"/>
      <c r="AK546" s="20" t="str">
        <f aca="false">IF(AH546="","",IF(ABS(AH546+AI546+AJ546-1)&lt;0.000001,"OK","ОШИБКА"))</f>
        <v/>
      </c>
      <c r="AL546" s="13"/>
      <c r="AM546" s="12"/>
      <c r="AN546" s="12"/>
      <c r="AO546" s="12"/>
      <c r="AP546" s="12"/>
      <c r="AQ546" s="18" t="str">
        <f aca="false">IF(A546="","",N(AQ545)+N(AA546))</f>
        <v/>
      </c>
      <c r="AR546" s="18" t="str">
        <f aca="false">IF(AQ546="","",MAX(0,MAX($AQ$8:AQ546))-AQ546)</f>
        <v/>
      </c>
    </row>
    <row r="547" customFormat="false" ht="15" hidden="false" customHeight="fals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3"/>
      <c r="M547" s="13"/>
      <c r="N547" s="13"/>
      <c r="O547" s="14" t="str">
        <f aca="false">IF(OR(L547="",L547=0),"",(1-M547)/L547)</f>
        <v/>
      </c>
      <c r="P547" s="15"/>
      <c r="Q547" s="12"/>
      <c r="R547" s="12"/>
      <c r="S547" s="13"/>
      <c r="T547" s="16" t="str">
        <f aca="false">IF(OR(S547="",L547=""),"",L547/(1-M547)-S547)</f>
        <v/>
      </c>
      <c r="U547" s="16" t="str">
        <f aca="false">IF(OR(L547="",P547=""),"",L547*(P547-1)-N547)</f>
        <v/>
      </c>
      <c r="V547" s="13"/>
      <c r="W547" s="17"/>
      <c r="X547" s="12"/>
      <c r="Y547" s="12"/>
      <c r="Z547" s="12"/>
      <c r="AA547" s="18" t="str">
        <f aca="false">IF(K547&lt;&gt;"ВИРТУАЛЬНЫЙ ВЫБОР","",IF(Z547="✅ ЗАШЛО",W547*(P547-1),IF(Z547="❌ НЕ ЗАШЛО",-W547,IF(Z547="½ ЗАШЛО",W547*(P547-1)/2,IF(Z547="½ НЕ ЗАШЛО",-W547/2,IF(Z547="ВОЗВРАТ",0,""))))))</f>
        <v/>
      </c>
      <c r="AB547" s="18" t="str">
        <f aca="false">IF(AND(K547="ВИРТУАЛЬНЫЙ ВЫБОР",OR(Z547="✅ ЗАШЛО",Z547="❌ НЕ ЗАШЛО",Z547="½ ЗАШЛО",Z547="½ НЕ ЗАШЛО",Z547="ВОЗВРАТ")),W547,"")</f>
        <v/>
      </c>
      <c r="AC547" s="15"/>
      <c r="AD547" s="16" t="str">
        <f aca="false">IF(OR(AC547="",P547=""),"",P547/AC547-1)</f>
        <v/>
      </c>
      <c r="AE547" s="19" t="str">
        <f aca="false">IF(AND(M547=0,OR(Z547="✅ ЗАШЛО",Z547="❌ НЕ ЗАШЛО"),L547&lt;&gt;""),(L547-IF(Z547="✅ ЗАШЛО",1,0))^2,"")</f>
        <v/>
      </c>
      <c r="AF547" s="15"/>
      <c r="AG547" s="15"/>
      <c r="AH547" s="13"/>
      <c r="AI547" s="13"/>
      <c r="AJ547" s="13"/>
      <c r="AK547" s="20" t="str">
        <f aca="false">IF(AH547="","",IF(ABS(AH547+AI547+AJ547-1)&lt;0.000001,"OK","ОШИБКА"))</f>
        <v/>
      </c>
      <c r="AL547" s="13"/>
      <c r="AM547" s="12"/>
      <c r="AN547" s="12"/>
      <c r="AO547" s="12"/>
      <c r="AP547" s="12"/>
      <c r="AQ547" s="18" t="str">
        <f aca="false">IF(A547="","",N(AQ546)+N(AA547))</f>
        <v/>
      </c>
      <c r="AR547" s="18" t="str">
        <f aca="false">IF(AQ547="","",MAX(0,MAX($AQ$8:AQ547))-AQ547)</f>
        <v/>
      </c>
    </row>
    <row r="548" customFormat="false" ht="15" hidden="false" customHeight="fals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3"/>
      <c r="M548" s="13"/>
      <c r="N548" s="13"/>
      <c r="O548" s="14" t="str">
        <f aca="false">IF(OR(L548="",L548=0),"",(1-M548)/L548)</f>
        <v/>
      </c>
      <c r="P548" s="15"/>
      <c r="Q548" s="12"/>
      <c r="R548" s="12"/>
      <c r="S548" s="13"/>
      <c r="T548" s="16" t="str">
        <f aca="false">IF(OR(S548="",L548=""),"",L548/(1-M548)-S548)</f>
        <v/>
      </c>
      <c r="U548" s="16" t="str">
        <f aca="false">IF(OR(L548="",P548=""),"",L548*(P548-1)-N548)</f>
        <v/>
      </c>
      <c r="V548" s="13"/>
      <c r="W548" s="17"/>
      <c r="X548" s="12"/>
      <c r="Y548" s="12"/>
      <c r="Z548" s="12"/>
      <c r="AA548" s="18" t="str">
        <f aca="false">IF(K548&lt;&gt;"ВИРТУАЛЬНЫЙ ВЫБОР","",IF(Z548="✅ ЗАШЛО",W548*(P548-1),IF(Z548="❌ НЕ ЗАШЛО",-W548,IF(Z548="½ ЗАШЛО",W548*(P548-1)/2,IF(Z548="½ НЕ ЗАШЛО",-W548/2,IF(Z548="ВОЗВРАТ",0,""))))))</f>
        <v/>
      </c>
      <c r="AB548" s="18" t="str">
        <f aca="false">IF(AND(K548="ВИРТУАЛЬНЫЙ ВЫБОР",OR(Z548="✅ ЗАШЛО",Z548="❌ НЕ ЗАШЛО",Z548="½ ЗАШЛО",Z548="½ НЕ ЗАШЛО",Z548="ВОЗВРАТ")),W548,"")</f>
        <v/>
      </c>
      <c r="AC548" s="15"/>
      <c r="AD548" s="16" t="str">
        <f aca="false">IF(OR(AC548="",P548=""),"",P548/AC548-1)</f>
        <v/>
      </c>
      <c r="AE548" s="19" t="str">
        <f aca="false">IF(AND(M548=0,OR(Z548="✅ ЗАШЛО",Z548="❌ НЕ ЗАШЛО"),L548&lt;&gt;""),(L548-IF(Z548="✅ ЗАШЛО",1,0))^2,"")</f>
        <v/>
      </c>
      <c r="AF548" s="15"/>
      <c r="AG548" s="15"/>
      <c r="AH548" s="13"/>
      <c r="AI548" s="13"/>
      <c r="AJ548" s="13"/>
      <c r="AK548" s="20" t="str">
        <f aca="false">IF(AH548="","",IF(ABS(AH548+AI548+AJ548-1)&lt;0.000001,"OK","ОШИБКА"))</f>
        <v/>
      </c>
      <c r="AL548" s="13"/>
      <c r="AM548" s="12"/>
      <c r="AN548" s="12"/>
      <c r="AO548" s="12"/>
      <c r="AP548" s="12"/>
      <c r="AQ548" s="18" t="str">
        <f aca="false">IF(A548="","",N(AQ547)+N(AA548))</f>
        <v/>
      </c>
      <c r="AR548" s="18" t="str">
        <f aca="false">IF(AQ548="","",MAX(0,MAX($AQ$8:AQ548))-AQ548)</f>
        <v/>
      </c>
    </row>
    <row r="549" customFormat="false" ht="15" hidden="false" customHeight="fals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3"/>
      <c r="M549" s="13"/>
      <c r="N549" s="13"/>
      <c r="O549" s="14" t="str">
        <f aca="false">IF(OR(L549="",L549=0),"",(1-M549)/L549)</f>
        <v/>
      </c>
      <c r="P549" s="15"/>
      <c r="Q549" s="12"/>
      <c r="R549" s="12"/>
      <c r="S549" s="13"/>
      <c r="T549" s="16" t="str">
        <f aca="false">IF(OR(S549="",L549=""),"",L549/(1-M549)-S549)</f>
        <v/>
      </c>
      <c r="U549" s="16" t="str">
        <f aca="false">IF(OR(L549="",P549=""),"",L549*(P549-1)-N549)</f>
        <v/>
      </c>
      <c r="V549" s="13"/>
      <c r="W549" s="17"/>
      <c r="X549" s="12"/>
      <c r="Y549" s="12"/>
      <c r="Z549" s="12"/>
      <c r="AA549" s="18" t="str">
        <f aca="false">IF(K549&lt;&gt;"ВИРТУАЛЬНЫЙ ВЫБОР","",IF(Z549="✅ ЗАШЛО",W549*(P549-1),IF(Z549="❌ НЕ ЗАШЛО",-W549,IF(Z549="½ ЗАШЛО",W549*(P549-1)/2,IF(Z549="½ НЕ ЗАШЛО",-W549/2,IF(Z549="ВОЗВРАТ",0,""))))))</f>
        <v/>
      </c>
      <c r="AB549" s="18" t="str">
        <f aca="false">IF(AND(K549="ВИРТУАЛЬНЫЙ ВЫБОР",OR(Z549="✅ ЗАШЛО",Z549="❌ НЕ ЗАШЛО",Z549="½ ЗАШЛО",Z549="½ НЕ ЗАШЛО",Z549="ВОЗВРАТ")),W549,"")</f>
        <v/>
      </c>
      <c r="AC549" s="15"/>
      <c r="AD549" s="16" t="str">
        <f aca="false">IF(OR(AC549="",P549=""),"",P549/AC549-1)</f>
        <v/>
      </c>
      <c r="AE549" s="19" t="str">
        <f aca="false">IF(AND(M549=0,OR(Z549="✅ ЗАШЛО",Z549="❌ НЕ ЗАШЛО"),L549&lt;&gt;""),(L549-IF(Z549="✅ ЗАШЛО",1,0))^2,"")</f>
        <v/>
      </c>
      <c r="AF549" s="15"/>
      <c r="AG549" s="15"/>
      <c r="AH549" s="13"/>
      <c r="AI549" s="13"/>
      <c r="AJ549" s="13"/>
      <c r="AK549" s="20" t="str">
        <f aca="false">IF(AH549="","",IF(ABS(AH549+AI549+AJ549-1)&lt;0.000001,"OK","ОШИБКА"))</f>
        <v/>
      </c>
      <c r="AL549" s="13"/>
      <c r="AM549" s="12"/>
      <c r="AN549" s="12"/>
      <c r="AO549" s="12"/>
      <c r="AP549" s="12"/>
      <c r="AQ549" s="18" t="str">
        <f aca="false">IF(A549="","",N(AQ548)+N(AA549))</f>
        <v/>
      </c>
      <c r="AR549" s="18" t="str">
        <f aca="false">IF(AQ549="","",MAX(0,MAX($AQ$8:AQ549))-AQ549)</f>
        <v/>
      </c>
    </row>
    <row r="550" customFormat="false" ht="15" hidden="false" customHeight="fals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3"/>
      <c r="M550" s="13"/>
      <c r="N550" s="13"/>
      <c r="O550" s="14" t="str">
        <f aca="false">IF(OR(L550="",L550=0),"",(1-M550)/L550)</f>
        <v/>
      </c>
      <c r="P550" s="15"/>
      <c r="Q550" s="12"/>
      <c r="R550" s="12"/>
      <c r="S550" s="13"/>
      <c r="T550" s="16" t="str">
        <f aca="false">IF(OR(S550="",L550=""),"",L550/(1-M550)-S550)</f>
        <v/>
      </c>
      <c r="U550" s="16" t="str">
        <f aca="false">IF(OR(L550="",P550=""),"",L550*(P550-1)-N550)</f>
        <v/>
      </c>
      <c r="V550" s="13"/>
      <c r="W550" s="17"/>
      <c r="X550" s="12"/>
      <c r="Y550" s="12"/>
      <c r="Z550" s="12"/>
      <c r="AA550" s="18" t="str">
        <f aca="false">IF(K550&lt;&gt;"ВИРТУАЛЬНЫЙ ВЫБОР","",IF(Z550="✅ ЗАШЛО",W550*(P550-1),IF(Z550="❌ НЕ ЗАШЛО",-W550,IF(Z550="½ ЗАШЛО",W550*(P550-1)/2,IF(Z550="½ НЕ ЗАШЛО",-W550/2,IF(Z550="ВОЗВРАТ",0,""))))))</f>
        <v/>
      </c>
      <c r="AB550" s="18" t="str">
        <f aca="false">IF(AND(K550="ВИРТУАЛЬНЫЙ ВЫБОР",OR(Z550="✅ ЗАШЛО",Z550="❌ НЕ ЗАШЛО",Z550="½ ЗАШЛО",Z550="½ НЕ ЗАШЛО",Z550="ВОЗВРАТ")),W550,"")</f>
        <v/>
      </c>
      <c r="AC550" s="15"/>
      <c r="AD550" s="16" t="str">
        <f aca="false">IF(OR(AC550="",P550=""),"",P550/AC550-1)</f>
        <v/>
      </c>
      <c r="AE550" s="19" t="str">
        <f aca="false">IF(AND(M550=0,OR(Z550="✅ ЗАШЛО",Z550="❌ НЕ ЗАШЛО"),L550&lt;&gt;""),(L550-IF(Z550="✅ ЗАШЛО",1,0))^2,"")</f>
        <v/>
      </c>
      <c r="AF550" s="15"/>
      <c r="AG550" s="15"/>
      <c r="AH550" s="13"/>
      <c r="AI550" s="13"/>
      <c r="AJ550" s="13"/>
      <c r="AK550" s="20" t="str">
        <f aca="false">IF(AH550="","",IF(ABS(AH550+AI550+AJ550-1)&lt;0.000001,"OK","ОШИБКА"))</f>
        <v/>
      </c>
      <c r="AL550" s="13"/>
      <c r="AM550" s="12"/>
      <c r="AN550" s="12"/>
      <c r="AO550" s="12"/>
      <c r="AP550" s="12"/>
      <c r="AQ550" s="18" t="str">
        <f aca="false">IF(A550="","",N(AQ549)+N(AA550))</f>
        <v/>
      </c>
      <c r="AR550" s="18" t="str">
        <f aca="false">IF(AQ550="","",MAX(0,MAX($AQ$8:AQ550))-AQ550)</f>
        <v/>
      </c>
    </row>
    <row r="551" customFormat="false" ht="15" hidden="false" customHeight="fals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3"/>
      <c r="M551" s="13"/>
      <c r="N551" s="13"/>
      <c r="O551" s="14" t="str">
        <f aca="false">IF(OR(L551="",L551=0),"",(1-M551)/L551)</f>
        <v/>
      </c>
      <c r="P551" s="15"/>
      <c r="Q551" s="12"/>
      <c r="R551" s="12"/>
      <c r="S551" s="13"/>
      <c r="T551" s="16" t="str">
        <f aca="false">IF(OR(S551="",L551=""),"",L551/(1-M551)-S551)</f>
        <v/>
      </c>
      <c r="U551" s="16" t="str">
        <f aca="false">IF(OR(L551="",P551=""),"",L551*(P551-1)-N551)</f>
        <v/>
      </c>
      <c r="V551" s="13"/>
      <c r="W551" s="17"/>
      <c r="X551" s="12"/>
      <c r="Y551" s="12"/>
      <c r="Z551" s="12"/>
      <c r="AA551" s="18" t="str">
        <f aca="false">IF(K551&lt;&gt;"ВИРТУАЛЬНЫЙ ВЫБОР","",IF(Z551="✅ ЗАШЛО",W551*(P551-1),IF(Z551="❌ НЕ ЗАШЛО",-W551,IF(Z551="½ ЗАШЛО",W551*(P551-1)/2,IF(Z551="½ НЕ ЗАШЛО",-W551/2,IF(Z551="ВОЗВРАТ",0,""))))))</f>
        <v/>
      </c>
      <c r="AB551" s="18" t="str">
        <f aca="false">IF(AND(K551="ВИРТУАЛЬНЫЙ ВЫБОР",OR(Z551="✅ ЗАШЛО",Z551="❌ НЕ ЗАШЛО",Z551="½ ЗАШЛО",Z551="½ НЕ ЗАШЛО",Z551="ВОЗВРАТ")),W551,"")</f>
        <v/>
      </c>
      <c r="AC551" s="15"/>
      <c r="AD551" s="16" t="str">
        <f aca="false">IF(OR(AC551="",P551=""),"",P551/AC551-1)</f>
        <v/>
      </c>
      <c r="AE551" s="19" t="str">
        <f aca="false">IF(AND(M551=0,OR(Z551="✅ ЗАШЛО",Z551="❌ НЕ ЗАШЛО"),L551&lt;&gt;""),(L551-IF(Z551="✅ ЗАШЛО",1,0))^2,"")</f>
        <v/>
      </c>
      <c r="AF551" s="15"/>
      <c r="AG551" s="15"/>
      <c r="AH551" s="13"/>
      <c r="AI551" s="13"/>
      <c r="AJ551" s="13"/>
      <c r="AK551" s="20" t="str">
        <f aca="false">IF(AH551="","",IF(ABS(AH551+AI551+AJ551-1)&lt;0.000001,"OK","ОШИБКА"))</f>
        <v/>
      </c>
      <c r="AL551" s="13"/>
      <c r="AM551" s="12"/>
      <c r="AN551" s="12"/>
      <c r="AO551" s="12"/>
      <c r="AP551" s="12"/>
      <c r="AQ551" s="18" t="str">
        <f aca="false">IF(A551="","",N(AQ550)+N(AA551))</f>
        <v/>
      </c>
      <c r="AR551" s="18" t="str">
        <f aca="false">IF(AQ551="","",MAX(0,MAX($AQ$8:AQ551))-AQ551)</f>
        <v/>
      </c>
    </row>
    <row r="552" customFormat="false" ht="15" hidden="false" customHeight="fals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3"/>
      <c r="M552" s="13"/>
      <c r="N552" s="13"/>
      <c r="O552" s="14" t="str">
        <f aca="false">IF(OR(L552="",L552=0),"",(1-M552)/L552)</f>
        <v/>
      </c>
      <c r="P552" s="15"/>
      <c r="Q552" s="12"/>
      <c r="R552" s="12"/>
      <c r="S552" s="13"/>
      <c r="T552" s="16" t="str">
        <f aca="false">IF(OR(S552="",L552=""),"",L552/(1-M552)-S552)</f>
        <v/>
      </c>
      <c r="U552" s="16" t="str">
        <f aca="false">IF(OR(L552="",P552=""),"",L552*(P552-1)-N552)</f>
        <v/>
      </c>
      <c r="V552" s="13"/>
      <c r="W552" s="17"/>
      <c r="X552" s="12"/>
      <c r="Y552" s="12"/>
      <c r="Z552" s="12"/>
      <c r="AA552" s="18" t="str">
        <f aca="false">IF(K552&lt;&gt;"ВИРТУАЛЬНЫЙ ВЫБОР","",IF(Z552="✅ ЗАШЛО",W552*(P552-1),IF(Z552="❌ НЕ ЗАШЛО",-W552,IF(Z552="½ ЗАШЛО",W552*(P552-1)/2,IF(Z552="½ НЕ ЗАШЛО",-W552/2,IF(Z552="ВОЗВРАТ",0,""))))))</f>
        <v/>
      </c>
      <c r="AB552" s="18" t="str">
        <f aca="false">IF(AND(K552="ВИРТУАЛЬНЫЙ ВЫБОР",OR(Z552="✅ ЗАШЛО",Z552="❌ НЕ ЗАШЛО",Z552="½ ЗАШЛО",Z552="½ НЕ ЗАШЛО",Z552="ВОЗВРАТ")),W552,"")</f>
        <v/>
      </c>
      <c r="AC552" s="15"/>
      <c r="AD552" s="16" t="str">
        <f aca="false">IF(OR(AC552="",P552=""),"",P552/AC552-1)</f>
        <v/>
      </c>
      <c r="AE552" s="19" t="str">
        <f aca="false">IF(AND(M552=0,OR(Z552="✅ ЗАШЛО",Z552="❌ НЕ ЗАШЛО"),L552&lt;&gt;""),(L552-IF(Z552="✅ ЗАШЛО",1,0))^2,"")</f>
        <v/>
      </c>
      <c r="AF552" s="15"/>
      <c r="AG552" s="15"/>
      <c r="AH552" s="13"/>
      <c r="AI552" s="13"/>
      <c r="AJ552" s="13"/>
      <c r="AK552" s="20" t="str">
        <f aca="false">IF(AH552="","",IF(ABS(AH552+AI552+AJ552-1)&lt;0.000001,"OK","ОШИБКА"))</f>
        <v/>
      </c>
      <c r="AL552" s="13"/>
      <c r="AM552" s="12"/>
      <c r="AN552" s="12"/>
      <c r="AO552" s="12"/>
      <c r="AP552" s="12"/>
      <c r="AQ552" s="18" t="str">
        <f aca="false">IF(A552="","",N(AQ551)+N(AA552))</f>
        <v/>
      </c>
      <c r="AR552" s="18" t="str">
        <f aca="false">IF(AQ552="","",MAX(0,MAX($AQ$8:AQ552))-AQ552)</f>
        <v/>
      </c>
    </row>
    <row r="553" customFormat="false" ht="15" hidden="false" customHeight="fals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3"/>
      <c r="M553" s="13"/>
      <c r="N553" s="13"/>
      <c r="O553" s="14" t="str">
        <f aca="false">IF(OR(L553="",L553=0),"",(1-M553)/L553)</f>
        <v/>
      </c>
      <c r="P553" s="15"/>
      <c r="Q553" s="12"/>
      <c r="R553" s="12"/>
      <c r="S553" s="13"/>
      <c r="T553" s="16" t="str">
        <f aca="false">IF(OR(S553="",L553=""),"",L553/(1-M553)-S553)</f>
        <v/>
      </c>
      <c r="U553" s="16" t="str">
        <f aca="false">IF(OR(L553="",P553=""),"",L553*(P553-1)-N553)</f>
        <v/>
      </c>
      <c r="V553" s="13"/>
      <c r="W553" s="17"/>
      <c r="X553" s="12"/>
      <c r="Y553" s="12"/>
      <c r="Z553" s="12"/>
      <c r="AA553" s="18" t="str">
        <f aca="false">IF(K553&lt;&gt;"ВИРТУАЛЬНЫЙ ВЫБОР","",IF(Z553="✅ ЗАШЛО",W553*(P553-1),IF(Z553="❌ НЕ ЗАШЛО",-W553,IF(Z553="½ ЗАШЛО",W553*(P553-1)/2,IF(Z553="½ НЕ ЗАШЛО",-W553/2,IF(Z553="ВОЗВРАТ",0,""))))))</f>
        <v/>
      </c>
      <c r="AB553" s="18" t="str">
        <f aca="false">IF(AND(K553="ВИРТУАЛЬНЫЙ ВЫБОР",OR(Z553="✅ ЗАШЛО",Z553="❌ НЕ ЗАШЛО",Z553="½ ЗАШЛО",Z553="½ НЕ ЗАШЛО",Z553="ВОЗВРАТ")),W553,"")</f>
        <v/>
      </c>
      <c r="AC553" s="15"/>
      <c r="AD553" s="16" t="str">
        <f aca="false">IF(OR(AC553="",P553=""),"",P553/AC553-1)</f>
        <v/>
      </c>
      <c r="AE553" s="19" t="str">
        <f aca="false">IF(AND(M553=0,OR(Z553="✅ ЗАШЛО",Z553="❌ НЕ ЗАШЛО"),L553&lt;&gt;""),(L553-IF(Z553="✅ ЗАШЛО",1,0))^2,"")</f>
        <v/>
      </c>
      <c r="AF553" s="15"/>
      <c r="AG553" s="15"/>
      <c r="AH553" s="13"/>
      <c r="AI553" s="13"/>
      <c r="AJ553" s="13"/>
      <c r="AK553" s="20" t="str">
        <f aca="false">IF(AH553="","",IF(ABS(AH553+AI553+AJ553-1)&lt;0.000001,"OK","ОШИБКА"))</f>
        <v/>
      </c>
      <c r="AL553" s="13"/>
      <c r="AM553" s="12"/>
      <c r="AN553" s="12"/>
      <c r="AO553" s="12"/>
      <c r="AP553" s="12"/>
      <c r="AQ553" s="18" t="str">
        <f aca="false">IF(A553="","",N(AQ552)+N(AA553))</f>
        <v/>
      </c>
      <c r="AR553" s="18" t="str">
        <f aca="false">IF(AQ553="","",MAX(0,MAX($AQ$8:AQ553))-AQ553)</f>
        <v/>
      </c>
    </row>
    <row r="554" customFormat="false" ht="15" hidden="false" customHeight="fals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3"/>
      <c r="M554" s="13"/>
      <c r="N554" s="13"/>
      <c r="O554" s="14" t="str">
        <f aca="false">IF(OR(L554="",L554=0),"",(1-M554)/L554)</f>
        <v/>
      </c>
      <c r="P554" s="15"/>
      <c r="Q554" s="12"/>
      <c r="R554" s="12"/>
      <c r="S554" s="13"/>
      <c r="T554" s="16" t="str">
        <f aca="false">IF(OR(S554="",L554=""),"",L554/(1-M554)-S554)</f>
        <v/>
      </c>
      <c r="U554" s="16" t="str">
        <f aca="false">IF(OR(L554="",P554=""),"",L554*(P554-1)-N554)</f>
        <v/>
      </c>
      <c r="V554" s="13"/>
      <c r="W554" s="17"/>
      <c r="X554" s="12"/>
      <c r="Y554" s="12"/>
      <c r="Z554" s="12"/>
      <c r="AA554" s="18" t="str">
        <f aca="false">IF(K554&lt;&gt;"ВИРТУАЛЬНЫЙ ВЫБОР","",IF(Z554="✅ ЗАШЛО",W554*(P554-1),IF(Z554="❌ НЕ ЗАШЛО",-W554,IF(Z554="½ ЗАШЛО",W554*(P554-1)/2,IF(Z554="½ НЕ ЗАШЛО",-W554/2,IF(Z554="ВОЗВРАТ",0,""))))))</f>
        <v/>
      </c>
      <c r="AB554" s="18" t="str">
        <f aca="false">IF(AND(K554="ВИРТУАЛЬНЫЙ ВЫБОР",OR(Z554="✅ ЗАШЛО",Z554="❌ НЕ ЗАШЛО",Z554="½ ЗАШЛО",Z554="½ НЕ ЗАШЛО",Z554="ВОЗВРАТ")),W554,"")</f>
        <v/>
      </c>
      <c r="AC554" s="15"/>
      <c r="AD554" s="16" t="str">
        <f aca="false">IF(OR(AC554="",P554=""),"",P554/AC554-1)</f>
        <v/>
      </c>
      <c r="AE554" s="19" t="str">
        <f aca="false">IF(AND(M554=0,OR(Z554="✅ ЗАШЛО",Z554="❌ НЕ ЗАШЛО"),L554&lt;&gt;""),(L554-IF(Z554="✅ ЗАШЛО",1,0))^2,"")</f>
        <v/>
      </c>
      <c r="AF554" s="15"/>
      <c r="AG554" s="15"/>
      <c r="AH554" s="13"/>
      <c r="AI554" s="13"/>
      <c r="AJ554" s="13"/>
      <c r="AK554" s="20" t="str">
        <f aca="false">IF(AH554="","",IF(ABS(AH554+AI554+AJ554-1)&lt;0.000001,"OK","ОШИБКА"))</f>
        <v/>
      </c>
      <c r="AL554" s="13"/>
      <c r="AM554" s="12"/>
      <c r="AN554" s="12"/>
      <c r="AO554" s="12"/>
      <c r="AP554" s="12"/>
      <c r="AQ554" s="18" t="str">
        <f aca="false">IF(A554="","",N(AQ553)+N(AA554))</f>
        <v/>
      </c>
      <c r="AR554" s="18" t="str">
        <f aca="false">IF(AQ554="","",MAX(0,MAX($AQ$8:AQ554))-AQ554)</f>
        <v/>
      </c>
    </row>
    <row r="555" customFormat="false" ht="15" hidden="false" customHeight="fals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3"/>
      <c r="M555" s="13"/>
      <c r="N555" s="13"/>
      <c r="O555" s="14" t="str">
        <f aca="false">IF(OR(L555="",L555=0),"",(1-M555)/L555)</f>
        <v/>
      </c>
      <c r="P555" s="15"/>
      <c r="Q555" s="12"/>
      <c r="R555" s="12"/>
      <c r="S555" s="13"/>
      <c r="T555" s="16" t="str">
        <f aca="false">IF(OR(S555="",L555=""),"",L555/(1-M555)-S555)</f>
        <v/>
      </c>
      <c r="U555" s="16" t="str">
        <f aca="false">IF(OR(L555="",P555=""),"",L555*(P555-1)-N555)</f>
        <v/>
      </c>
      <c r="V555" s="13"/>
      <c r="W555" s="17"/>
      <c r="X555" s="12"/>
      <c r="Y555" s="12"/>
      <c r="Z555" s="12"/>
      <c r="AA555" s="18" t="str">
        <f aca="false">IF(K555&lt;&gt;"ВИРТУАЛЬНЫЙ ВЫБОР","",IF(Z555="✅ ЗАШЛО",W555*(P555-1),IF(Z555="❌ НЕ ЗАШЛО",-W555,IF(Z555="½ ЗАШЛО",W555*(P555-1)/2,IF(Z555="½ НЕ ЗАШЛО",-W555/2,IF(Z555="ВОЗВРАТ",0,""))))))</f>
        <v/>
      </c>
      <c r="AB555" s="18" t="str">
        <f aca="false">IF(AND(K555="ВИРТУАЛЬНЫЙ ВЫБОР",OR(Z555="✅ ЗАШЛО",Z555="❌ НЕ ЗАШЛО",Z555="½ ЗАШЛО",Z555="½ НЕ ЗАШЛО",Z555="ВОЗВРАТ")),W555,"")</f>
        <v/>
      </c>
      <c r="AC555" s="15"/>
      <c r="AD555" s="16" t="str">
        <f aca="false">IF(OR(AC555="",P555=""),"",P555/AC555-1)</f>
        <v/>
      </c>
      <c r="AE555" s="19" t="str">
        <f aca="false">IF(AND(M555=0,OR(Z555="✅ ЗАШЛО",Z555="❌ НЕ ЗАШЛО"),L555&lt;&gt;""),(L555-IF(Z555="✅ ЗАШЛО",1,0))^2,"")</f>
        <v/>
      </c>
      <c r="AF555" s="15"/>
      <c r="AG555" s="15"/>
      <c r="AH555" s="13"/>
      <c r="AI555" s="13"/>
      <c r="AJ555" s="13"/>
      <c r="AK555" s="20" t="str">
        <f aca="false">IF(AH555="","",IF(ABS(AH555+AI555+AJ555-1)&lt;0.000001,"OK","ОШИБКА"))</f>
        <v/>
      </c>
      <c r="AL555" s="13"/>
      <c r="AM555" s="12"/>
      <c r="AN555" s="12"/>
      <c r="AO555" s="12"/>
      <c r="AP555" s="12"/>
      <c r="AQ555" s="18" t="str">
        <f aca="false">IF(A555="","",N(AQ554)+N(AA555))</f>
        <v/>
      </c>
      <c r="AR555" s="18" t="str">
        <f aca="false">IF(AQ555="","",MAX(0,MAX($AQ$8:AQ555))-AQ555)</f>
        <v/>
      </c>
    </row>
    <row r="556" customFormat="false" ht="15" hidden="false" customHeight="fals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3"/>
      <c r="M556" s="13"/>
      <c r="N556" s="13"/>
      <c r="O556" s="14" t="str">
        <f aca="false">IF(OR(L556="",L556=0),"",(1-M556)/L556)</f>
        <v/>
      </c>
      <c r="P556" s="15"/>
      <c r="Q556" s="12"/>
      <c r="R556" s="12"/>
      <c r="S556" s="13"/>
      <c r="T556" s="16" t="str">
        <f aca="false">IF(OR(S556="",L556=""),"",L556/(1-M556)-S556)</f>
        <v/>
      </c>
      <c r="U556" s="16" t="str">
        <f aca="false">IF(OR(L556="",P556=""),"",L556*(P556-1)-N556)</f>
        <v/>
      </c>
      <c r="V556" s="13"/>
      <c r="W556" s="17"/>
      <c r="X556" s="12"/>
      <c r="Y556" s="12"/>
      <c r="Z556" s="12"/>
      <c r="AA556" s="18" t="str">
        <f aca="false">IF(K556&lt;&gt;"ВИРТУАЛЬНЫЙ ВЫБОР","",IF(Z556="✅ ЗАШЛО",W556*(P556-1),IF(Z556="❌ НЕ ЗАШЛО",-W556,IF(Z556="½ ЗАШЛО",W556*(P556-1)/2,IF(Z556="½ НЕ ЗАШЛО",-W556/2,IF(Z556="ВОЗВРАТ",0,""))))))</f>
        <v/>
      </c>
      <c r="AB556" s="18" t="str">
        <f aca="false">IF(AND(K556="ВИРТУАЛЬНЫЙ ВЫБОР",OR(Z556="✅ ЗАШЛО",Z556="❌ НЕ ЗАШЛО",Z556="½ ЗАШЛО",Z556="½ НЕ ЗАШЛО",Z556="ВОЗВРАТ")),W556,"")</f>
        <v/>
      </c>
      <c r="AC556" s="15"/>
      <c r="AD556" s="16" t="str">
        <f aca="false">IF(OR(AC556="",P556=""),"",P556/AC556-1)</f>
        <v/>
      </c>
      <c r="AE556" s="19" t="str">
        <f aca="false">IF(AND(M556=0,OR(Z556="✅ ЗАШЛО",Z556="❌ НЕ ЗАШЛО"),L556&lt;&gt;""),(L556-IF(Z556="✅ ЗАШЛО",1,0))^2,"")</f>
        <v/>
      </c>
      <c r="AF556" s="15"/>
      <c r="AG556" s="15"/>
      <c r="AH556" s="13"/>
      <c r="AI556" s="13"/>
      <c r="AJ556" s="13"/>
      <c r="AK556" s="20" t="str">
        <f aca="false">IF(AH556="","",IF(ABS(AH556+AI556+AJ556-1)&lt;0.000001,"OK","ОШИБКА"))</f>
        <v/>
      </c>
      <c r="AL556" s="13"/>
      <c r="AM556" s="12"/>
      <c r="AN556" s="12"/>
      <c r="AO556" s="12"/>
      <c r="AP556" s="12"/>
      <c r="AQ556" s="18" t="str">
        <f aca="false">IF(A556="","",N(AQ555)+N(AA556))</f>
        <v/>
      </c>
      <c r="AR556" s="18" t="str">
        <f aca="false">IF(AQ556="","",MAX(0,MAX($AQ$8:AQ556))-AQ556)</f>
        <v/>
      </c>
    </row>
    <row r="557" customFormat="false" ht="15" hidden="false" customHeight="fals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3"/>
      <c r="M557" s="13"/>
      <c r="N557" s="13"/>
      <c r="O557" s="14" t="str">
        <f aca="false">IF(OR(L557="",L557=0),"",(1-M557)/L557)</f>
        <v/>
      </c>
      <c r="P557" s="15"/>
      <c r="Q557" s="12"/>
      <c r="R557" s="12"/>
      <c r="S557" s="13"/>
      <c r="T557" s="16" t="str">
        <f aca="false">IF(OR(S557="",L557=""),"",L557/(1-M557)-S557)</f>
        <v/>
      </c>
      <c r="U557" s="16" t="str">
        <f aca="false">IF(OR(L557="",P557=""),"",L557*(P557-1)-N557)</f>
        <v/>
      </c>
      <c r="V557" s="13"/>
      <c r="W557" s="17"/>
      <c r="X557" s="12"/>
      <c r="Y557" s="12"/>
      <c r="Z557" s="12"/>
      <c r="AA557" s="18" t="str">
        <f aca="false">IF(K557&lt;&gt;"ВИРТУАЛЬНЫЙ ВЫБОР","",IF(Z557="✅ ЗАШЛО",W557*(P557-1),IF(Z557="❌ НЕ ЗАШЛО",-W557,IF(Z557="½ ЗАШЛО",W557*(P557-1)/2,IF(Z557="½ НЕ ЗАШЛО",-W557/2,IF(Z557="ВОЗВРАТ",0,""))))))</f>
        <v/>
      </c>
      <c r="AB557" s="18" t="str">
        <f aca="false">IF(AND(K557="ВИРТУАЛЬНЫЙ ВЫБОР",OR(Z557="✅ ЗАШЛО",Z557="❌ НЕ ЗАШЛО",Z557="½ ЗАШЛО",Z557="½ НЕ ЗАШЛО",Z557="ВОЗВРАТ")),W557,"")</f>
        <v/>
      </c>
      <c r="AC557" s="15"/>
      <c r="AD557" s="16" t="str">
        <f aca="false">IF(OR(AC557="",P557=""),"",P557/AC557-1)</f>
        <v/>
      </c>
      <c r="AE557" s="19" t="str">
        <f aca="false">IF(AND(M557=0,OR(Z557="✅ ЗАШЛО",Z557="❌ НЕ ЗАШЛО"),L557&lt;&gt;""),(L557-IF(Z557="✅ ЗАШЛО",1,0))^2,"")</f>
        <v/>
      </c>
      <c r="AF557" s="15"/>
      <c r="AG557" s="15"/>
      <c r="AH557" s="13"/>
      <c r="AI557" s="13"/>
      <c r="AJ557" s="13"/>
      <c r="AK557" s="20" t="str">
        <f aca="false">IF(AH557="","",IF(ABS(AH557+AI557+AJ557-1)&lt;0.000001,"OK","ОШИБКА"))</f>
        <v/>
      </c>
      <c r="AL557" s="13"/>
      <c r="AM557" s="12"/>
      <c r="AN557" s="12"/>
      <c r="AO557" s="12"/>
      <c r="AP557" s="12"/>
      <c r="AQ557" s="18" t="str">
        <f aca="false">IF(A557="","",N(AQ556)+N(AA557))</f>
        <v/>
      </c>
      <c r="AR557" s="18" t="str">
        <f aca="false">IF(AQ557="","",MAX(0,MAX($AQ$8:AQ557))-AQ557)</f>
        <v/>
      </c>
    </row>
    <row r="558" customFormat="false" ht="15" hidden="false" customHeight="fals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3"/>
      <c r="M558" s="13"/>
      <c r="N558" s="13"/>
      <c r="O558" s="14" t="str">
        <f aca="false">IF(OR(L558="",L558=0),"",(1-M558)/L558)</f>
        <v/>
      </c>
      <c r="P558" s="15"/>
      <c r="Q558" s="12"/>
      <c r="R558" s="12"/>
      <c r="S558" s="13"/>
      <c r="T558" s="16" t="str">
        <f aca="false">IF(OR(S558="",L558=""),"",L558/(1-M558)-S558)</f>
        <v/>
      </c>
      <c r="U558" s="16" t="str">
        <f aca="false">IF(OR(L558="",P558=""),"",L558*(P558-1)-N558)</f>
        <v/>
      </c>
      <c r="V558" s="13"/>
      <c r="W558" s="17"/>
      <c r="X558" s="12"/>
      <c r="Y558" s="12"/>
      <c r="Z558" s="12"/>
      <c r="AA558" s="18" t="str">
        <f aca="false">IF(K558&lt;&gt;"ВИРТУАЛЬНЫЙ ВЫБОР","",IF(Z558="✅ ЗАШЛО",W558*(P558-1),IF(Z558="❌ НЕ ЗАШЛО",-W558,IF(Z558="½ ЗАШЛО",W558*(P558-1)/2,IF(Z558="½ НЕ ЗАШЛО",-W558/2,IF(Z558="ВОЗВРАТ",0,""))))))</f>
        <v/>
      </c>
      <c r="AB558" s="18" t="str">
        <f aca="false">IF(AND(K558="ВИРТУАЛЬНЫЙ ВЫБОР",OR(Z558="✅ ЗАШЛО",Z558="❌ НЕ ЗАШЛО",Z558="½ ЗАШЛО",Z558="½ НЕ ЗАШЛО",Z558="ВОЗВРАТ")),W558,"")</f>
        <v/>
      </c>
      <c r="AC558" s="15"/>
      <c r="AD558" s="16" t="str">
        <f aca="false">IF(OR(AC558="",P558=""),"",P558/AC558-1)</f>
        <v/>
      </c>
      <c r="AE558" s="19" t="str">
        <f aca="false">IF(AND(M558=0,OR(Z558="✅ ЗАШЛО",Z558="❌ НЕ ЗАШЛО"),L558&lt;&gt;""),(L558-IF(Z558="✅ ЗАШЛО",1,0))^2,"")</f>
        <v/>
      </c>
      <c r="AF558" s="15"/>
      <c r="AG558" s="15"/>
      <c r="AH558" s="13"/>
      <c r="AI558" s="13"/>
      <c r="AJ558" s="13"/>
      <c r="AK558" s="20" t="str">
        <f aca="false">IF(AH558="","",IF(ABS(AH558+AI558+AJ558-1)&lt;0.000001,"OK","ОШИБКА"))</f>
        <v/>
      </c>
      <c r="AL558" s="13"/>
      <c r="AM558" s="12"/>
      <c r="AN558" s="12"/>
      <c r="AO558" s="12"/>
      <c r="AP558" s="12"/>
      <c r="AQ558" s="18" t="str">
        <f aca="false">IF(A558="","",N(AQ557)+N(AA558))</f>
        <v/>
      </c>
      <c r="AR558" s="18" t="str">
        <f aca="false">IF(AQ558="","",MAX(0,MAX($AQ$8:AQ558))-AQ558)</f>
        <v/>
      </c>
    </row>
    <row r="559" customFormat="false" ht="15" hidden="false" customHeight="fals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3"/>
      <c r="M559" s="13"/>
      <c r="N559" s="13"/>
      <c r="O559" s="14" t="str">
        <f aca="false">IF(OR(L559="",L559=0),"",(1-M559)/L559)</f>
        <v/>
      </c>
      <c r="P559" s="15"/>
      <c r="Q559" s="12"/>
      <c r="R559" s="12"/>
      <c r="S559" s="13"/>
      <c r="T559" s="16" t="str">
        <f aca="false">IF(OR(S559="",L559=""),"",L559/(1-M559)-S559)</f>
        <v/>
      </c>
      <c r="U559" s="16" t="str">
        <f aca="false">IF(OR(L559="",P559=""),"",L559*(P559-1)-N559)</f>
        <v/>
      </c>
      <c r="V559" s="13"/>
      <c r="W559" s="17"/>
      <c r="X559" s="12"/>
      <c r="Y559" s="12"/>
      <c r="Z559" s="12"/>
      <c r="AA559" s="18" t="str">
        <f aca="false">IF(K559&lt;&gt;"ВИРТУАЛЬНЫЙ ВЫБОР","",IF(Z559="✅ ЗАШЛО",W559*(P559-1),IF(Z559="❌ НЕ ЗАШЛО",-W559,IF(Z559="½ ЗАШЛО",W559*(P559-1)/2,IF(Z559="½ НЕ ЗАШЛО",-W559/2,IF(Z559="ВОЗВРАТ",0,""))))))</f>
        <v/>
      </c>
      <c r="AB559" s="18" t="str">
        <f aca="false">IF(AND(K559="ВИРТУАЛЬНЫЙ ВЫБОР",OR(Z559="✅ ЗАШЛО",Z559="❌ НЕ ЗАШЛО",Z559="½ ЗАШЛО",Z559="½ НЕ ЗАШЛО",Z559="ВОЗВРАТ")),W559,"")</f>
        <v/>
      </c>
      <c r="AC559" s="15"/>
      <c r="AD559" s="16" t="str">
        <f aca="false">IF(OR(AC559="",P559=""),"",P559/AC559-1)</f>
        <v/>
      </c>
      <c r="AE559" s="19" t="str">
        <f aca="false">IF(AND(M559=0,OR(Z559="✅ ЗАШЛО",Z559="❌ НЕ ЗАШЛО"),L559&lt;&gt;""),(L559-IF(Z559="✅ ЗАШЛО",1,0))^2,"")</f>
        <v/>
      </c>
      <c r="AF559" s="15"/>
      <c r="AG559" s="15"/>
      <c r="AH559" s="13"/>
      <c r="AI559" s="13"/>
      <c r="AJ559" s="13"/>
      <c r="AK559" s="20" t="str">
        <f aca="false">IF(AH559="","",IF(ABS(AH559+AI559+AJ559-1)&lt;0.000001,"OK","ОШИБКА"))</f>
        <v/>
      </c>
      <c r="AL559" s="13"/>
      <c r="AM559" s="12"/>
      <c r="AN559" s="12"/>
      <c r="AO559" s="12"/>
      <c r="AP559" s="12"/>
      <c r="AQ559" s="18" t="str">
        <f aca="false">IF(A559="","",N(AQ558)+N(AA559))</f>
        <v/>
      </c>
      <c r="AR559" s="18" t="str">
        <f aca="false">IF(AQ559="","",MAX(0,MAX($AQ$8:AQ559))-AQ559)</f>
        <v/>
      </c>
    </row>
    <row r="560" customFormat="false" ht="15" hidden="false" customHeight="fals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3"/>
      <c r="M560" s="13"/>
      <c r="N560" s="13"/>
      <c r="O560" s="14" t="str">
        <f aca="false">IF(OR(L560="",L560=0),"",(1-M560)/L560)</f>
        <v/>
      </c>
      <c r="P560" s="15"/>
      <c r="Q560" s="12"/>
      <c r="R560" s="12"/>
      <c r="S560" s="13"/>
      <c r="T560" s="16" t="str">
        <f aca="false">IF(OR(S560="",L560=""),"",L560/(1-M560)-S560)</f>
        <v/>
      </c>
      <c r="U560" s="16" t="str">
        <f aca="false">IF(OR(L560="",P560=""),"",L560*(P560-1)-N560)</f>
        <v/>
      </c>
      <c r="V560" s="13"/>
      <c r="W560" s="17"/>
      <c r="X560" s="12"/>
      <c r="Y560" s="12"/>
      <c r="Z560" s="12"/>
      <c r="AA560" s="18" t="str">
        <f aca="false">IF(K560&lt;&gt;"ВИРТУАЛЬНЫЙ ВЫБОР","",IF(Z560="✅ ЗАШЛО",W560*(P560-1),IF(Z560="❌ НЕ ЗАШЛО",-W560,IF(Z560="½ ЗАШЛО",W560*(P560-1)/2,IF(Z560="½ НЕ ЗАШЛО",-W560/2,IF(Z560="ВОЗВРАТ",0,""))))))</f>
        <v/>
      </c>
      <c r="AB560" s="18" t="str">
        <f aca="false">IF(AND(K560="ВИРТУАЛЬНЫЙ ВЫБОР",OR(Z560="✅ ЗАШЛО",Z560="❌ НЕ ЗАШЛО",Z560="½ ЗАШЛО",Z560="½ НЕ ЗАШЛО",Z560="ВОЗВРАТ")),W560,"")</f>
        <v/>
      </c>
      <c r="AC560" s="15"/>
      <c r="AD560" s="16" t="str">
        <f aca="false">IF(OR(AC560="",P560=""),"",P560/AC560-1)</f>
        <v/>
      </c>
      <c r="AE560" s="19" t="str">
        <f aca="false">IF(AND(M560=0,OR(Z560="✅ ЗАШЛО",Z560="❌ НЕ ЗАШЛО"),L560&lt;&gt;""),(L560-IF(Z560="✅ ЗАШЛО",1,0))^2,"")</f>
        <v/>
      </c>
      <c r="AF560" s="15"/>
      <c r="AG560" s="15"/>
      <c r="AH560" s="13"/>
      <c r="AI560" s="13"/>
      <c r="AJ560" s="13"/>
      <c r="AK560" s="20" t="str">
        <f aca="false">IF(AH560="","",IF(ABS(AH560+AI560+AJ560-1)&lt;0.000001,"OK","ОШИБКА"))</f>
        <v/>
      </c>
      <c r="AL560" s="13"/>
      <c r="AM560" s="12"/>
      <c r="AN560" s="12"/>
      <c r="AO560" s="12"/>
      <c r="AP560" s="12"/>
      <c r="AQ560" s="18" t="str">
        <f aca="false">IF(A560="","",N(AQ559)+N(AA560))</f>
        <v/>
      </c>
      <c r="AR560" s="18" t="str">
        <f aca="false">IF(AQ560="","",MAX(0,MAX($AQ$8:AQ560))-AQ560)</f>
        <v/>
      </c>
    </row>
    <row r="561" customFormat="false" ht="15" hidden="false" customHeight="fals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3"/>
      <c r="M561" s="13"/>
      <c r="N561" s="13"/>
      <c r="O561" s="14" t="str">
        <f aca="false">IF(OR(L561="",L561=0),"",(1-M561)/L561)</f>
        <v/>
      </c>
      <c r="P561" s="15"/>
      <c r="Q561" s="12"/>
      <c r="R561" s="12"/>
      <c r="S561" s="13"/>
      <c r="T561" s="16" t="str">
        <f aca="false">IF(OR(S561="",L561=""),"",L561/(1-M561)-S561)</f>
        <v/>
      </c>
      <c r="U561" s="16" t="str">
        <f aca="false">IF(OR(L561="",P561=""),"",L561*(P561-1)-N561)</f>
        <v/>
      </c>
      <c r="V561" s="13"/>
      <c r="W561" s="17"/>
      <c r="X561" s="12"/>
      <c r="Y561" s="12"/>
      <c r="Z561" s="12"/>
      <c r="AA561" s="18" t="str">
        <f aca="false">IF(K561&lt;&gt;"ВИРТУАЛЬНЫЙ ВЫБОР","",IF(Z561="✅ ЗАШЛО",W561*(P561-1),IF(Z561="❌ НЕ ЗАШЛО",-W561,IF(Z561="½ ЗАШЛО",W561*(P561-1)/2,IF(Z561="½ НЕ ЗАШЛО",-W561/2,IF(Z561="ВОЗВРАТ",0,""))))))</f>
        <v/>
      </c>
      <c r="AB561" s="18" t="str">
        <f aca="false">IF(AND(K561="ВИРТУАЛЬНЫЙ ВЫБОР",OR(Z561="✅ ЗАШЛО",Z561="❌ НЕ ЗАШЛО",Z561="½ ЗАШЛО",Z561="½ НЕ ЗАШЛО",Z561="ВОЗВРАТ")),W561,"")</f>
        <v/>
      </c>
      <c r="AC561" s="15"/>
      <c r="AD561" s="16" t="str">
        <f aca="false">IF(OR(AC561="",P561=""),"",P561/AC561-1)</f>
        <v/>
      </c>
      <c r="AE561" s="19" t="str">
        <f aca="false">IF(AND(M561=0,OR(Z561="✅ ЗАШЛО",Z561="❌ НЕ ЗАШЛО"),L561&lt;&gt;""),(L561-IF(Z561="✅ ЗАШЛО",1,0))^2,"")</f>
        <v/>
      </c>
      <c r="AF561" s="15"/>
      <c r="AG561" s="15"/>
      <c r="AH561" s="13"/>
      <c r="AI561" s="13"/>
      <c r="AJ561" s="13"/>
      <c r="AK561" s="20" t="str">
        <f aca="false">IF(AH561="","",IF(ABS(AH561+AI561+AJ561-1)&lt;0.000001,"OK","ОШИБКА"))</f>
        <v/>
      </c>
      <c r="AL561" s="13"/>
      <c r="AM561" s="12"/>
      <c r="AN561" s="12"/>
      <c r="AO561" s="12"/>
      <c r="AP561" s="12"/>
      <c r="AQ561" s="18" t="str">
        <f aca="false">IF(A561="","",N(AQ560)+N(AA561))</f>
        <v/>
      </c>
      <c r="AR561" s="18" t="str">
        <f aca="false">IF(AQ561="","",MAX(0,MAX($AQ$8:AQ561))-AQ561)</f>
        <v/>
      </c>
    </row>
    <row r="562" customFormat="false" ht="15" hidden="false" customHeight="fals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3"/>
      <c r="M562" s="13"/>
      <c r="N562" s="13"/>
      <c r="O562" s="14" t="str">
        <f aca="false">IF(OR(L562="",L562=0),"",(1-M562)/L562)</f>
        <v/>
      </c>
      <c r="P562" s="15"/>
      <c r="Q562" s="12"/>
      <c r="R562" s="12"/>
      <c r="S562" s="13"/>
      <c r="T562" s="16" t="str">
        <f aca="false">IF(OR(S562="",L562=""),"",L562/(1-M562)-S562)</f>
        <v/>
      </c>
      <c r="U562" s="16" t="str">
        <f aca="false">IF(OR(L562="",P562=""),"",L562*(P562-1)-N562)</f>
        <v/>
      </c>
      <c r="V562" s="13"/>
      <c r="W562" s="17"/>
      <c r="X562" s="12"/>
      <c r="Y562" s="12"/>
      <c r="Z562" s="12"/>
      <c r="AA562" s="18" t="str">
        <f aca="false">IF(K562&lt;&gt;"ВИРТУАЛЬНЫЙ ВЫБОР","",IF(Z562="✅ ЗАШЛО",W562*(P562-1),IF(Z562="❌ НЕ ЗАШЛО",-W562,IF(Z562="½ ЗАШЛО",W562*(P562-1)/2,IF(Z562="½ НЕ ЗАШЛО",-W562/2,IF(Z562="ВОЗВРАТ",0,""))))))</f>
        <v/>
      </c>
      <c r="AB562" s="18" t="str">
        <f aca="false">IF(AND(K562="ВИРТУАЛЬНЫЙ ВЫБОР",OR(Z562="✅ ЗАШЛО",Z562="❌ НЕ ЗАШЛО",Z562="½ ЗАШЛО",Z562="½ НЕ ЗАШЛО",Z562="ВОЗВРАТ")),W562,"")</f>
        <v/>
      </c>
      <c r="AC562" s="15"/>
      <c r="AD562" s="16" t="str">
        <f aca="false">IF(OR(AC562="",P562=""),"",P562/AC562-1)</f>
        <v/>
      </c>
      <c r="AE562" s="19" t="str">
        <f aca="false">IF(AND(M562=0,OR(Z562="✅ ЗАШЛО",Z562="❌ НЕ ЗАШЛО"),L562&lt;&gt;""),(L562-IF(Z562="✅ ЗАШЛО",1,0))^2,"")</f>
        <v/>
      </c>
      <c r="AF562" s="15"/>
      <c r="AG562" s="15"/>
      <c r="AH562" s="13"/>
      <c r="AI562" s="13"/>
      <c r="AJ562" s="13"/>
      <c r="AK562" s="20" t="str">
        <f aca="false">IF(AH562="","",IF(ABS(AH562+AI562+AJ562-1)&lt;0.000001,"OK","ОШИБКА"))</f>
        <v/>
      </c>
      <c r="AL562" s="13"/>
      <c r="AM562" s="12"/>
      <c r="AN562" s="12"/>
      <c r="AO562" s="12"/>
      <c r="AP562" s="12"/>
      <c r="AQ562" s="18" t="str">
        <f aca="false">IF(A562="","",N(AQ561)+N(AA562))</f>
        <v/>
      </c>
      <c r="AR562" s="18" t="str">
        <f aca="false">IF(AQ562="","",MAX(0,MAX($AQ$8:AQ562))-AQ562)</f>
        <v/>
      </c>
    </row>
    <row r="563" customFormat="false" ht="15" hidden="false" customHeight="fals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3"/>
      <c r="M563" s="13"/>
      <c r="N563" s="13"/>
      <c r="O563" s="14" t="str">
        <f aca="false">IF(OR(L563="",L563=0),"",(1-M563)/L563)</f>
        <v/>
      </c>
      <c r="P563" s="15"/>
      <c r="Q563" s="12"/>
      <c r="R563" s="12"/>
      <c r="S563" s="13"/>
      <c r="T563" s="16" t="str">
        <f aca="false">IF(OR(S563="",L563=""),"",L563/(1-M563)-S563)</f>
        <v/>
      </c>
      <c r="U563" s="16" t="str">
        <f aca="false">IF(OR(L563="",P563=""),"",L563*(P563-1)-N563)</f>
        <v/>
      </c>
      <c r="V563" s="13"/>
      <c r="W563" s="17"/>
      <c r="X563" s="12"/>
      <c r="Y563" s="12"/>
      <c r="Z563" s="12"/>
      <c r="AA563" s="18" t="str">
        <f aca="false">IF(K563&lt;&gt;"ВИРТУАЛЬНЫЙ ВЫБОР","",IF(Z563="✅ ЗАШЛО",W563*(P563-1),IF(Z563="❌ НЕ ЗАШЛО",-W563,IF(Z563="½ ЗАШЛО",W563*(P563-1)/2,IF(Z563="½ НЕ ЗАШЛО",-W563/2,IF(Z563="ВОЗВРАТ",0,""))))))</f>
        <v/>
      </c>
      <c r="AB563" s="18" t="str">
        <f aca="false">IF(AND(K563="ВИРТУАЛЬНЫЙ ВЫБОР",OR(Z563="✅ ЗАШЛО",Z563="❌ НЕ ЗАШЛО",Z563="½ ЗАШЛО",Z563="½ НЕ ЗАШЛО",Z563="ВОЗВРАТ")),W563,"")</f>
        <v/>
      </c>
      <c r="AC563" s="15"/>
      <c r="AD563" s="16" t="str">
        <f aca="false">IF(OR(AC563="",P563=""),"",P563/AC563-1)</f>
        <v/>
      </c>
      <c r="AE563" s="19" t="str">
        <f aca="false">IF(AND(M563=0,OR(Z563="✅ ЗАШЛО",Z563="❌ НЕ ЗАШЛО"),L563&lt;&gt;""),(L563-IF(Z563="✅ ЗАШЛО",1,0))^2,"")</f>
        <v/>
      </c>
      <c r="AF563" s="15"/>
      <c r="AG563" s="15"/>
      <c r="AH563" s="13"/>
      <c r="AI563" s="13"/>
      <c r="AJ563" s="13"/>
      <c r="AK563" s="20" t="str">
        <f aca="false">IF(AH563="","",IF(ABS(AH563+AI563+AJ563-1)&lt;0.000001,"OK","ОШИБКА"))</f>
        <v/>
      </c>
      <c r="AL563" s="13"/>
      <c r="AM563" s="12"/>
      <c r="AN563" s="12"/>
      <c r="AO563" s="12"/>
      <c r="AP563" s="12"/>
      <c r="AQ563" s="18" t="str">
        <f aca="false">IF(A563="","",N(AQ562)+N(AA563))</f>
        <v/>
      </c>
      <c r="AR563" s="18" t="str">
        <f aca="false">IF(AQ563="","",MAX(0,MAX($AQ$8:AQ563))-AQ563)</f>
        <v/>
      </c>
    </row>
    <row r="564" customFormat="false" ht="15" hidden="false" customHeight="fals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3"/>
      <c r="M564" s="13"/>
      <c r="N564" s="13"/>
      <c r="O564" s="14" t="str">
        <f aca="false">IF(OR(L564="",L564=0),"",(1-M564)/L564)</f>
        <v/>
      </c>
      <c r="P564" s="15"/>
      <c r="Q564" s="12"/>
      <c r="R564" s="12"/>
      <c r="S564" s="13"/>
      <c r="T564" s="16" t="str">
        <f aca="false">IF(OR(S564="",L564=""),"",L564/(1-M564)-S564)</f>
        <v/>
      </c>
      <c r="U564" s="16" t="str">
        <f aca="false">IF(OR(L564="",P564=""),"",L564*(P564-1)-N564)</f>
        <v/>
      </c>
      <c r="V564" s="13"/>
      <c r="W564" s="17"/>
      <c r="X564" s="12"/>
      <c r="Y564" s="12"/>
      <c r="Z564" s="12"/>
      <c r="AA564" s="18" t="str">
        <f aca="false">IF(K564&lt;&gt;"ВИРТУАЛЬНЫЙ ВЫБОР","",IF(Z564="✅ ЗАШЛО",W564*(P564-1),IF(Z564="❌ НЕ ЗАШЛО",-W564,IF(Z564="½ ЗАШЛО",W564*(P564-1)/2,IF(Z564="½ НЕ ЗАШЛО",-W564/2,IF(Z564="ВОЗВРАТ",0,""))))))</f>
        <v/>
      </c>
      <c r="AB564" s="18" t="str">
        <f aca="false">IF(AND(K564="ВИРТУАЛЬНЫЙ ВЫБОР",OR(Z564="✅ ЗАШЛО",Z564="❌ НЕ ЗАШЛО",Z564="½ ЗАШЛО",Z564="½ НЕ ЗАШЛО",Z564="ВОЗВРАТ")),W564,"")</f>
        <v/>
      </c>
      <c r="AC564" s="15"/>
      <c r="AD564" s="16" t="str">
        <f aca="false">IF(OR(AC564="",P564=""),"",P564/AC564-1)</f>
        <v/>
      </c>
      <c r="AE564" s="19" t="str">
        <f aca="false">IF(AND(M564=0,OR(Z564="✅ ЗАШЛО",Z564="❌ НЕ ЗАШЛО"),L564&lt;&gt;""),(L564-IF(Z564="✅ ЗАШЛО",1,0))^2,"")</f>
        <v/>
      </c>
      <c r="AF564" s="15"/>
      <c r="AG564" s="15"/>
      <c r="AH564" s="13"/>
      <c r="AI564" s="13"/>
      <c r="AJ564" s="13"/>
      <c r="AK564" s="20" t="str">
        <f aca="false">IF(AH564="","",IF(ABS(AH564+AI564+AJ564-1)&lt;0.000001,"OK","ОШИБКА"))</f>
        <v/>
      </c>
      <c r="AL564" s="13"/>
      <c r="AM564" s="12"/>
      <c r="AN564" s="12"/>
      <c r="AO564" s="12"/>
      <c r="AP564" s="12"/>
      <c r="AQ564" s="18" t="str">
        <f aca="false">IF(A564="","",N(AQ563)+N(AA564))</f>
        <v/>
      </c>
      <c r="AR564" s="18" t="str">
        <f aca="false">IF(AQ564="","",MAX(0,MAX($AQ$8:AQ564))-AQ564)</f>
        <v/>
      </c>
    </row>
    <row r="565" customFormat="false" ht="15" hidden="false" customHeight="fals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3"/>
      <c r="M565" s="13"/>
      <c r="N565" s="13"/>
      <c r="O565" s="14" t="str">
        <f aca="false">IF(OR(L565="",L565=0),"",(1-M565)/L565)</f>
        <v/>
      </c>
      <c r="P565" s="15"/>
      <c r="Q565" s="12"/>
      <c r="R565" s="12"/>
      <c r="S565" s="13"/>
      <c r="T565" s="16" t="str">
        <f aca="false">IF(OR(S565="",L565=""),"",L565/(1-M565)-S565)</f>
        <v/>
      </c>
      <c r="U565" s="16" t="str">
        <f aca="false">IF(OR(L565="",P565=""),"",L565*(P565-1)-N565)</f>
        <v/>
      </c>
      <c r="V565" s="13"/>
      <c r="W565" s="17"/>
      <c r="X565" s="12"/>
      <c r="Y565" s="12"/>
      <c r="Z565" s="12"/>
      <c r="AA565" s="18" t="str">
        <f aca="false">IF(K565&lt;&gt;"ВИРТУАЛЬНЫЙ ВЫБОР","",IF(Z565="✅ ЗАШЛО",W565*(P565-1),IF(Z565="❌ НЕ ЗАШЛО",-W565,IF(Z565="½ ЗАШЛО",W565*(P565-1)/2,IF(Z565="½ НЕ ЗАШЛО",-W565/2,IF(Z565="ВОЗВРАТ",0,""))))))</f>
        <v/>
      </c>
      <c r="AB565" s="18" t="str">
        <f aca="false">IF(AND(K565="ВИРТУАЛЬНЫЙ ВЫБОР",OR(Z565="✅ ЗАШЛО",Z565="❌ НЕ ЗАШЛО",Z565="½ ЗАШЛО",Z565="½ НЕ ЗАШЛО",Z565="ВОЗВРАТ")),W565,"")</f>
        <v/>
      </c>
      <c r="AC565" s="15"/>
      <c r="AD565" s="16" t="str">
        <f aca="false">IF(OR(AC565="",P565=""),"",P565/AC565-1)</f>
        <v/>
      </c>
      <c r="AE565" s="19" t="str">
        <f aca="false">IF(AND(M565=0,OR(Z565="✅ ЗАШЛО",Z565="❌ НЕ ЗАШЛО"),L565&lt;&gt;""),(L565-IF(Z565="✅ ЗАШЛО",1,0))^2,"")</f>
        <v/>
      </c>
      <c r="AF565" s="15"/>
      <c r="AG565" s="15"/>
      <c r="AH565" s="13"/>
      <c r="AI565" s="13"/>
      <c r="AJ565" s="13"/>
      <c r="AK565" s="20" t="str">
        <f aca="false">IF(AH565="","",IF(ABS(AH565+AI565+AJ565-1)&lt;0.000001,"OK","ОШИБКА"))</f>
        <v/>
      </c>
      <c r="AL565" s="13"/>
      <c r="AM565" s="12"/>
      <c r="AN565" s="12"/>
      <c r="AO565" s="12"/>
      <c r="AP565" s="12"/>
      <c r="AQ565" s="18" t="str">
        <f aca="false">IF(A565="","",N(AQ564)+N(AA565))</f>
        <v/>
      </c>
      <c r="AR565" s="18" t="str">
        <f aca="false">IF(AQ565="","",MAX(0,MAX($AQ$8:AQ565))-AQ565)</f>
        <v/>
      </c>
    </row>
    <row r="566" customFormat="false" ht="15" hidden="false" customHeight="fals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3"/>
      <c r="M566" s="13"/>
      <c r="N566" s="13"/>
      <c r="O566" s="14" t="str">
        <f aca="false">IF(OR(L566="",L566=0),"",(1-M566)/L566)</f>
        <v/>
      </c>
      <c r="P566" s="15"/>
      <c r="Q566" s="12"/>
      <c r="R566" s="12"/>
      <c r="S566" s="13"/>
      <c r="T566" s="16" t="str">
        <f aca="false">IF(OR(S566="",L566=""),"",L566/(1-M566)-S566)</f>
        <v/>
      </c>
      <c r="U566" s="16" t="str">
        <f aca="false">IF(OR(L566="",P566=""),"",L566*(P566-1)-N566)</f>
        <v/>
      </c>
      <c r="V566" s="13"/>
      <c r="W566" s="17"/>
      <c r="X566" s="12"/>
      <c r="Y566" s="12"/>
      <c r="Z566" s="12"/>
      <c r="AA566" s="18" t="str">
        <f aca="false">IF(K566&lt;&gt;"ВИРТУАЛЬНЫЙ ВЫБОР","",IF(Z566="✅ ЗАШЛО",W566*(P566-1),IF(Z566="❌ НЕ ЗАШЛО",-W566,IF(Z566="½ ЗАШЛО",W566*(P566-1)/2,IF(Z566="½ НЕ ЗАШЛО",-W566/2,IF(Z566="ВОЗВРАТ",0,""))))))</f>
        <v/>
      </c>
      <c r="AB566" s="18" t="str">
        <f aca="false">IF(AND(K566="ВИРТУАЛЬНЫЙ ВЫБОР",OR(Z566="✅ ЗАШЛО",Z566="❌ НЕ ЗАШЛО",Z566="½ ЗАШЛО",Z566="½ НЕ ЗАШЛО",Z566="ВОЗВРАТ")),W566,"")</f>
        <v/>
      </c>
      <c r="AC566" s="15"/>
      <c r="AD566" s="16" t="str">
        <f aca="false">IF(OR(AC566="",P566=""),"",P566/AC566-1)</f>
        <v/>
      </c>
      <c r="AE566" s="19" t="str">
        <f aca="false">IF(AND(M566=0,OR(Z566="✅ ЗАШЛО",Z566="❌ НЕ ЗАШЛО"),L566&lt;&gt;""),(L566-IF(Z566="✅ ЗАШЛО",1,0))^2,"")</f>
        <v/>
      </c>
      <c r="AF566" s="15"/>
      <c r="AG566" s="15"/>
      <c r="AH566" s="13"/>
      <c r="AI566" s="13"/>
      <c r="AJ566" s="13"/>
      <c r="AK566" s="20" t="str">
        <f aca="false">IF(AH566="","",IF(ABS(AH566+AI566+AJ566-1)&lt;0.000001,"OK","ОШИБКА"))</f>
        <v/>
      </c>
      <c r="AL566" s="13"/>
      <c r="AM566" s="12"/>
      <c r="AN566" s="12"/>
      <c r="AO566" s="12"/>
      <c r="AP566" s="12"/>
      <c r="AQ566" s="18" t="str">
        <f aca="false">IF(A566="","",N(AQ565)+N(AA566))</f>
        <v/>
      </c>
      <c r="AR566" s="18" t="str">
        <f aca="false">IF(AQ566="","",MAX(0,MAX($AQ$8:AQ566))-AQ566)</f>
        <v/>
      </c>
    </row>
    <row r="567" customFormat="false" ht="15" hidden="false" customHeight="fals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3"/>
      <c r="M567" s="13"/>
      <c r="N567" s="13"/>
      <c r="O567" s="14" t="str">
        <f aca="false">IF(OR(L567="",L567=0),"",(1-M567)/L567)</f>
        <v/>
      </c>
      <c r="P567" s="15"/>
      <c r="Q567" s="12"/>
      <c r="R567" s="12"/>
      <c r="S567" s="13"/>
      <c r="T567" s="16" t="str">
        <f aca="false">IF(OR(S567="",L567=""),"",L567/(1-M567)-S567)</f>
        <v/>
      </c>
      <c r="U567" s="16" t="str">
        <f aca="false">IF(OR(L567="",P567=""),"",L567*(P567-1)-N567)</f>
        <v/>
      </c>
      <c r="V567" s="13"/>
      <c r="W567" s="17"/>
      <c r="X567" s="12"/>
      <c r="Y567" s="12"/>
      <c r="Z567" s="12"/>
      <c r="AA567" s="18" t="str">
        <f aca="false">IF(K567&lt;&gt;"ВИРТУАЛЬНЫЙ ВЫБОР","",IF(Z567="✅ ЗАШЛО",W567*(P567-1),IF(Z567="❌ НЕ ЗАШЛО",-W567,IF(Z567="½ ЗАШЛО",W567*(P567-1)/2,IF(Z567="½ НЕ ЗАШЛО",-W567/2,IF(Z567="ВОЗВРАТ",0,""))))))</f>
        <v/>
      </c>
      <c r="AB567" s="18" t="str">
        <f aca="false">IF(AND(K567="ВИРТУАЛЬНЫЙ ВЫБОР",OR(Z567="✅ ЗАШЛО",Z567="❌ НЕ ЗАШЛО",Z567="½ ЗАШЛО",Z567="½ НЕ ЗАШЛО",Z567="ВОЗВРАТ")),W567,"")</f>
        <v/>
      </c>
      <c r="AC567" s="15"/>
      <c r="AD567" s="16" t="str">
        <f aca="false">IF(OR(AC567="",P567=""),"",P567/AC567-1)</f>
        <v/>
      </c>
      <c r="AE567" s="19" t="str">
        <f aca="false">IF(AND(M567=0,OR(Z567="✅ ЗАШЛО",Z567="❌ НЕ ЗАШЛО"),L567&lt;&gt;""),(L567-IF(Z567="✅ ЗАШЛО",1,0))^2,"")</f>
        <v/>
      </c>
      <c r="AF567" s="15"/>
      <c r="AG567" s="15"/>
      <c r="AH567" s="13"/>
      <c r="AI567" s="13"/>
      <c r="AJ567" s="13"/>
      <c r="AK567" s="20" t="str">
        <f aca="false">IF(AH567="","",IF(ABS(AH567+AI567+AJ567-1)&lt;0.000001,"OK","ОШИБКА"))</f>
        <v/>
      </c>
      <c r="AL567" s="13"/>
      <c r="AM567" s="12"/>
      <c r="AN567" s="12"/>
      <c r="AO567" s="12"/>
      <c r="AP567" s="12"/>
      <c r="AQ567" s="18" t="str">
        <f aca="false">IF(A567="","",N(AQ566)+N(AA567))</f>
        <v/>
      </c>
      <c r="AR567" s="18" t="str">
        <f aca="false">IF(AQ567="","",MAX(0,MAX($AQ$8:AQ567))-AQ567)</f>
        <v/>
      </c>
    </row>
    <row r="568" customFormat="false" ht="15" hidden="false" customHeight="fals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3"/>
      <c r="M568" s="13"/>
      <c r="N568" s="13"/>
      <c r="O568" s="14" t="str">
        <f aca="false">IF(OR(L568="",L568=0),"",(1-M568)/L568)</f>
        <v/>
      </c>
      <c r="P568" s="15"/>
      <c r="Q568" s="12"/>
      <c r="R568" s="12"/>
      <c r="S568" s="13"/>
      <c r="T568" s="16" t="str">
        <f aca="false">IF(OR(S568="",L568=""),"",L568/(1-M568)-S568)</f>
        <v/>
      </c>
      <c r="U568" s="16" t="str">
        <f aca="false">IF(OR(L568="",P568=""),"",L568*(P568-1)-N568)</f>
        <v/>
      </c>
      <c r="V568" s="13"/>
      <c r="W568" s="17"/>
      <c r="X568" s="12"/>
      <c r="Y568" s="12"/>
      <c r="Z568" s="12"/>
      <c r="AA568" s="18" t="str">
        <f aca="false">IF(K568&lt;&gt;"ВИРТУАЛЬНЫЙ ВЫБОР","",IF(Z568="✅ ЗАШЛО",W568*(P568-1),IF(Z568="❌ НЕ ЗАШЛО",-W568,IF(Z568="½ ЗАШЛО",W568*(P568-1)/2,IF(Z568="½ НЕ ЗАШЛО",-W568/2,IF(Z568="ВОЗВРАТ",0,""))))))</f>
        <v/>
      </c>
      <c r="AB568" s="18" t="str">
        <f aca="false">IF(AND(K568="ВИРТУАЛЬНЫЙ ВЫБОР",OR(Z568="✅ ЗАШЛО",Z568="❌ НЕ ЗАШЛО",Z568="½ ЗАШЛО",Z568="½ НЕ ЗАШЛО",Z568="ВОЗВРАТ")),W568,"")</f>
        <v/>
      </c>
      <c r="AC568" s="15"/>
      <c r="AD568" s="16" t="str">
        <f aca="false">IF(OR(AC568="",P568=""),"",P568/AC568-1)</f>
        <v/>
      </c>
      <c r="AE568" s="19" t="str">
        <f aca="false">IF(AND(M568=0,OR(Z568="✅ ЗАШЛО",Z568="❌ НЕ ЗАШЛО"),L568&lt;&gt;""),(L568-IF(Z568="✅ ЗАШЛО",1,0))^2,"")</f>
        <v/>
      </c>
      <c r="AF568" s="15"/>
      <c r="AG568" s="15"/>
      <c r="AH568" s="13"/>
      <c r="AI568" s="13"/>
      <c r="AJ568" s="13"/>
      <c r="AK568" s="20" t="str">
        <f aca="false">IF(AH568="","",IF(ABS(AH568+AI568+AJ568-1)&lt;0.000001,"OK","ОШИБКА"))</f>
        <v/>
      </c>
      <c r="AL568" s="13"/>
      <c r="AM568" s="12"/>
      <c r="AN568" s="12"/>
      <c r="AO568" s="12"/>
      <c r="AP568" s="12"/>
      <c r="AQ568" s="18" t="str">
        <f aca="false">IF(A568="","",N(AQ567)+N(AA568))</f>
        <v/>
      </c>
      <c r="AR568" s="18" t="str">
        <f aca="false">IF(AQ568="","",MAX(0,MAX($AQ$8:AQ568))-AQ568)</f>
        <v/>
      </c>
    </row>
    <row r="569" customFormat="false" ht="15" hidden="false" customHeight="fals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3"/>
      <c r="M569" s="13"/>
      <c r="N569" s="13"/>
      <c r="O569" s="14" t="str">
        <f aca="false">IF(OR(L569="",L569=0),"",(1-M569)/L569)</f>
        <v/>
      </c>
      <c r="P569" s="15"/>
      <c r="Q569" s="12"/>
      <c r="R569" s="12"/>
      <c r="S569" s="13"/>
      <c r="T569" s="16" t="str">
        <f aca="false">IF(OR(S569="",L569=""),"",L569/(1-M569)-S569)</f>
        <v/>
      </c>
      <c r="U569" s="16" t="str">
        <f aca="false">IF(OR(L569="",P569=""),"",L569*(P569-1)-N569)</f>
        <v/>
      </c>
      <c r="V569" s="13"/>
      <c r="W569" s="17"/>
      <c r="X569" s="12"/>
      <c r="Y569" s="12"/>
      <c r="Z569" s="12"/>
      <c r="AA569" s="18" t="str">
        <f aca="false">IF(K569&lt;&gt;"ВИРТУАЛЬНЫЙ ВЫБОР","",IF(Z569="✅ ЗАШЛО",W569*(P569-1),IF(Z569="❌ НЕ ЗАШЛО",-W569,IF(Z569="½ ЗАШЛО",W569*(P569-1)/2,IF(Z569="½ НЕ ЗАШЛО",-W569/2,IF(Z569="ВОЗВРАТ",0,""))))))</f>
        <v/>
      </c>
      <c r="AB569" s="18" t="str">
        <f aca="false">IF(AND(K569="ВИРТУАЛЬНЫЙ ВЫБОР",OR(Z569="✅ ЗАШЛО",Z569="❌ НЕ ЗАШЛО",Z569="½ ЗАШЛО",Z569="½ НЕ ЗАШЛО",Z569="ВОЗВРАТ")),W569,"")</f>
        <v/>
      </c>
      <c r="AC569" s="15"/>
      <c r="AD569" s="16" t="str">
        <f aca="false">IF(OR(AC569="",P569=""),"",P569/AC569-1)</f>
        <v/>
      </c>
      <c r="AE569" s="19" t="str">
        <f aca="false">IF(AND(M569=0,OR(Z569="✅ ЗАШЛО",Z569="❌ НЕ ЗАШЛО"),L569&lt;&gt;""),(L569-IF(Z569="✅ ЗАШЛО",1,0))^2,"")</f>
        <v/>
      </c>
      <c r="AF569" s="15"/>
      <c r="AG569" s="15"/>
      <c r="AH569" s="13"/>
      <c r="AI569" s="13"/>
      <c r="AJ569" s="13"/>
      <c r="AK569" s="20" t="str">
        <f aca="false">IF(AH569="","",IF(ABS(AH569+AI569+AJ569-1)&lt;0.000001,"OK","ОШИБКА"))</f>
        <v/>
      </c>
      <c r="AL569" s="13"/>
      <c r="AM569" s="12"/>
      <c r="AN569" s="12"/>
      <c r="AO569" s="12"/>
      <c r="AP569" s="12"/>
      <c r="AQ569" s="18" t="str">
        <f aca="false">IF(A569="","",N(AQ568)+N(AA569))</f>
        <v/>
      </c>
      <c r="AR569" s="18" t="str">
        <f aca="false">IF(AQ569="","",MAX(0,MAX($AQ$8:AQ569))-AQ569)</f>
        <v/>
      </c>
    </row>
    <row r="570" customFormat="false" ht="15" hidden="false" customHeight="fals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3"/>
      <c r="M570" s="13"/>
      <c r="N570" s="13"/>
      <c r="O570" s="14" t="str">
        <f aca="false">IF(OR(L570="",L570=0),"",(1-M570)/L570)</f>
        <v/>
      </c>
      <c r="P570" s="15"/>
      <c r="Q570" s="12"/>
      <c r="R570" s="12"/>
      <c r="S570" s="13"/>
      <c r="T570" s="16" t="str">
        <f aca="false">IF(OR(S570="",L570=""),"",L570/(1-M570)-S570)</f>
        <v/>
      </c>
      <c r="U570" s="16" t="str">
        <f aca="false">IF(OR(L570="",P570=""),"",L570*(P570-1)-N570)</f>
        <v/>
      </c>
      <c r="V570" s="13"/>
      <c r="W570" s="17"/>
      <c r="X570" s="12"/>
      <c r="Y570" s="12"/>
      <c r="Z570" s="12"/>
      <c r="AA570" s="18" t="str">
        <f aca="false">IF(K570&lt;&gt;"ВИРТУАЛЬНЫЙ ВЫБОР","",IF(Z570="✅ ЗАШЛО",W570*(P570-1),IF(Z570="❌ НЕ ЗАШЛО",-W570,IF(Z570="½ ЗАШЛО",W570*(P570-1)/2,IF(Z570="½ НЕ ЗАШЛО",-W570/2,IF(Z570="ВОЗВРАТ",0,""))))))</f>
        <v/>
      </c>
      <c r="AB570" s="18" t="str">
        <f aca="false">IF(AND(K570="ВИРТУАЛЬНЫЙ ВЫБОР",OR(Z570="✅ ЗАШЛО",Z570="❌ НЕ ЗАШЛО",Z570="½ ЗАШЛО",Z570="½ НЕ ЗАШЛО",Z570="ВОЗВРАТ")),W570,"")</f>
        <v/>
      </c>
      <c r="AC570" s="15"/>
      <c r="AD570" s="16" t="str">
        <f aca="false">IF(OR(AC570="",P570=""),"",P570/AC570-1)</f>
        <v/>
      </c>
      <c r="AE570" s="19" t="str">
        <f aca="false">IF(AND(M570=0,OR(Z570="✅ ЗАШЛО",Z570="❌ НЕ ЗАШЛО"),L570&lt;&gt;""),(L570-IF(Z570="✅ ЗАШЛО",1,0))^2,"")</f>
        <v/>
      </c>
      <c r="AF570" s="15"/>
      <c r="AG570" s="15"/>
      <c r="AH570" s="13"/>
      <c r="AI570" s="13"/>
      <c r="AJ570" s="13"/>
      <c r="AK570" s="20" t="str">
        <f aca="false">IF(AH570="","",IF(ABS(AH570+AI570+AJ570-1)&lt;0.000001,"OK","ОШИБКА"))</f>
        <v/>
      </c>
      <c r="AL570" s="13"/>
      <c r="AM570" s="12"/>
      <c r="AN570" s="12"/>
      <c r="AO570" s="12"/>
      <c r="AP570" s="12"/>
      <c r="AQ570" s="18" t="str">
        <f aca="false">IF(A570="","",N(AQ569)+N(AA570))</f>
        <v/>
      </c>
      <c r="AR570" s="18" t="str">
        <f aca="false">IF(AQ570="","",MAX(0,MAX($AQ$8:AQ570))-AQ570)</f>
        <v/>
      </c>
    </row>
    <row r="571" customFormat="false" ht="15" hidden="false" customHeight="fals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3"/>
      <c r="M571" s="13"/>
      <c r="N571" s="13"/>
      <c r="O571" s="14" t="str">
        <f aca="false">IF(OR(L571="",L571=0),"",(1-M571)/L571)</f>
        <v/>
      </c>
      <c r="P571" s="15"/>
      <c r="Q571" s="12"/>
      <c r="R571" s="12"/>
      <c r="S571" s="13"/>
      <c r="T571" s="16" t="str">
        <f aca="false">IF(OR(S571="",L571=""),"",L571/(1-M571)-S571)</f>
        <v/>
      </c>
      <c r="U571" s="16" t="str">
        <f aca="false">IF(OR(L571="",P571=""),"",L571*(P571-1)-N571)</f>
        <v/>
      </c>
      <c r="V571" s="13"/>
      <c r="W571" s="17"/>
      <c r="X571" s="12"/>
      <c r="Y571" s="12"/>
      <c r="Z571" s="12"/>
      <c r="AA571" s="18" t="str">
        <f aca="false">IF(K571&lt;&gt;"ВИРТУАЛЬНЫЙ ВЫБОР","",IF(Z571="✅ ЗАШЛО",W571*(P571-1),IF(Z571="❌ НЕ ЗАШЛО",-W571,IF(Z571="½ ЗАШЛО",W571*(P571-1)/2,IF(Z571="½ НЕ ЗАШЛО",-W571/2,IF(Z571="ВОЗВРАТ",0,""))))))</f>
        <v/>
      </c>
      <c r="AB571" s="18" t="str">
        <f aca="false">IF(AND(K571="ВИРТУАЛЬНЫЙ ВЫБОР",OR(Z571="✅ ЗАШЛО",Z571="❌ НЕ ЗАШЛО",Z571="½ ЗАШЛО",Z571="½ НЕ ЗАШЛО",Z571="ВОЗВРАТ")),W571,"")</f>
        <v/>
      </c>
      <c r="AC571" s="15"/>
      <c r="AD571" s="16" t="str">
        <f aca="false">IF(OR(AC571="",P571=""),"",P571/AC571-1)</f>
        <v/>
      </c>
      <c r="AE571" s="19" t="str">
        <f aca="false">IF(AND(M571=0,OR(Z571="✅ ЗАШЛО",Z571="❌ НЕ ЗАШЛО"),L571&lt;&gt;""),(L571-IF(Z571="✅ ЗАШЛО",1,0))^2,"")</f>
        <v/>
      </c>
      <c r="AF571" s="15"/>
      <c r="AG571" s="15"/>
      <c r="AH571" s="13"/>
      <c r="AI571" s="13"/>
      <c r="AJ571" s="13"/>
      <c r="AK571" s="20" t="str">
        <f aca="false">IF(AH571="","",IF(ABS(AH571+AI571+AJ571-1)&lt;0.000001,"OK","ОШИБКА"))</f>
        <v/>
      </c>
      <c r="AL571" s="13"/>
      <c r="AM571" s="12"/>
      <c r="AN571" s="12"/>
      <c r="AO571" s="12"/>
      <c r="AP571" s="12"/>
      <c r="AQ571" s="18" t="str">
        <f aca="false">IF(A571="","",N(AQ570)+N(AA571))</f>
        <v/>
      </c>
      <c r="AR571" s="18" t="str">
        <f aca="false">IF(AQ571="","",MAX(0,MAX($AQ$8:AQ571))-AQ571)</f>
        <v/>
      </c>
    </row>
    <row r="572" customFormat="false" ht="15" hidden="false" customHeight="fals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3"/>
      <c r="M572" s="13"/>
      <c r="N572" s="13"/>
      <c r="O572" s="14" t="str">
        <f aca="false">IF(OR(L572="",L572=0),"",(1-M572)/L572)</f>
        <v/>
      </c>
      <c r="P572" s="15"/>
      <c r="Q572" s="12"/>
      <c r="R572" s="12"/>
      <c r="S572" s="13"/>
      <c r="T572" s="16" t="str">
        <f aca="false">IF(OR(S572="",L572=""),"",L572/(1-M572)-S572)</f>
        <v/>
      </c>
      <c r="U572" s="16" t="str">
        <f aca="false">IF(OR(L572="",P572=""),"",L572*(P572-1)-N572)</f>
        <v/>
      </c>
      <c r="V572" s="13"/>
      <c r="W572" s="17"/>
      <c r="X572" s="12"/>
      <c r="Y572" s="12"/>
      <c r="Z572" s="12"/>
      <c r="AA572" s="18" t="str">
        <f aca="false">IF(K572&lt;&gt;"ВИРТУАЛЬНЫЙ ВЫБОР","",IF(Z572="✅ ЗАШЛО",W572*(P572-1),IF(Z572="❌ НЕ ЗАШЛО",-W572,IF(Z572="½ ЗАШЛО",W572*(P572-1)/2,IF(Z572="½ НЕ ЗАШЛО",-W572/2,IF(Z572="ВОЗВРАТ",0,""))))))</f>
        <v/>
      </c>
      <c r="AB572" s="18" t="str">
        <f aca="false">IF(AND(K572="ВИРТУАЛЬНЫЙ ВЫБОР",OR(Z572="✅ ЗАШЛО",Z572="❌ НЕ ЗАШЛО",Z572="½ ЗАШЛО",Z572="½ НЕ ЗАШЛО",Z572="ВОЗВРАТ")),W572,"")</f>
        <v/>
      </c>
      <c r="AC572" s="15"/>
      <c r="AD572" s="16" t="str">
        <f aca="false">IF(OR(AC572="",P572=""),"",P572/AC572-1)</f>
        <v/>
      </c>
      <c r="AE572" s="19" t="str">
        <f aca="false">IF(AND(M572=0,OR(Z572="✅ ЗАШЛО",Z572="❌ НЕ ЗАШЛО"),L572&lt;&gt;""),(L572-IF(Z572="✅ ЗАШЛО",1,0))^2,"")</f>
        <v/>
      </c>
      <c r="AF572" s="15"/>
      <c r="AG572" s="15"/>
      <c r="AH572" s="13"/>
      <c r="AI572" s="13"/>
      <c r="AJ572" s="13"/>
      <c r="AK572" s="20" t="str">
        <f aca="false">IF(AH572="","",IF(ABS(AH572+AI572+AJ572-1)&lt;0.000001,"OK","ОШИБКА"))</f>
        <v/>
      </c>
      <c r="AL572" s="13"/>
      <c r="AM572" s="12"/>
      <c r="AN572" s="12"/>
      <c r="AO572" s="12"/>
      <c r="AP572" s="12"/>
      <c r="AQ572" s="18" t="str">
        <f aca="false">IF(A572="","",N(AQ571)+N(AA572))</f>
        <v/>
      </c>
      <c r="AR572" s="18" t="str">
        <f aca="false">IF(AQ572="","",MAX(0,MAX($AQ$8:AQ572))-AQ572)</f>
        <v/>
      </c>
    </row>
    <row r="573" customFormat="false" ht="15" hidden="false" customHeight="fals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3"/>
      <c r="M573" s="13"/>
      <c r="N573" s="13"/>
      <c r="O573" s="14" t="str">
        <f aca="false">IF(OR(L573="",L573=0),"",(1-M573)/L573)</f>
        <v/>
      </c>
      <c r="P573" s="15"/>
      <c r="Q573" s="12"/>
      <c r="R573" s="12"/>
      <c r="S573" s="13"/>
      <c r="T573" s="16" t="str">
        <f aca="false">IF(OR(S573="",L573=""),"",L573/(1-M573)-S573)</f>
        <v/>
      </c>
      <c r="U573" s="16" t="str">
        <f aca="false">IF(OR(L573="",P573=""),"",L573*(P573-1)-N573)</f>
        <v/>
      </c>
      <c r="V573" s="13"/>
      <c r="W573" s="17"/>
      <c r="X573" s="12"/>
      <c r="Y573" s="12"/>
      <c r="Z573" s="12"/>
      <c r="AA573" s="18" t="str">
        <f aca="false">IF(K573&lt;&gt;"ВИРТУАЛЬНЫЙ ВЫБОР","",IF(Z573="✅ ЗАШЛО",W573*(P573-1),IF(Z573="❌ НЕ ЗАШЛО",-W573,IF(Z573="½ ЗАШЛО",W573*(P573-1)/2,IF(Z573="½ НЕ ЗАШЛО",-W573/2,IF(Z573="ВОЗВРАТ",0,""))))))</f>
        <v/>
      </c>
      <c r="AB573" s="18" t="str">
        <f aca="false">IF(AND(K573="ВИРТУАЛЬНЫЙ ВЫБОР",OR(Z573="✅ ЗАШЛО",Z573="❌ НЕ ЗАШЛО",Z573="½ ЗАШЛО",Z573="½ НЕ ЗАШЛО",Z573="ВОЗВРАТ")),W573,"")</f>
        <v/>
      </c>
      <c r="AC573" s="15"/>
      <c r="AD573" s="16" t="str">
        <f aca="false">IF(OR(AC573="",P573=""),"",P573/AC573-1)</f>
        <v/>
      </c>
      <c r="AE573" s="19" t="str">
        <f aca="false">IF(AND(M573=0,OR(Z573="✅ ЗАШЛО",Z573="❌ НЕ ЗАШЛО"),L573&lt;&gt;""),(L573-IF(Z573="✅ ЗАШЛО",1,0))^2,"")</f>
        <v/>
      </c>
      <c r="AF573" s="15"/>
      <c r="AG573" s="15"/>
      <c r="AH573" s="13"/>
      <c r="AI573" s="13"/>
      <c r="AJ573" s="13"/>
      <c r="AK573" s="20" t="str">
        <f aca="false">IF(AH573="","",IF(ABS(AH573+AI573+AJ573-1)&lt;0.000001,"OK","ОШИБКА"))</f>
        <v/>
      </c>
      <c r="AL573" s="13"/>
      <c r="AM573" s="12"/>
      <c r="AN573" s="12"/>
      <c r="AO573" s="12"/>
      <c r="AP573" s="12"/>
      <c r="AQ573" s="18" t="str">
        <f aca="false">IF(A573="","",N(AQ572)+N(AA573))</f>
        <v/>
      </c>
      <c r="AR573" s="18" t="str">
        <f aca="false">IF(AQ573="","",MAX(0,MAX($AQ$8:AQ573))-AQ573)</f>
        <v/>
      </c>
    </row>
    <row r="574" customFormat="false" ht="15" hidden="false" customHeight="fals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3"/>
      <c r="M574" s="13"/>
      <c r="N574" s="13"/>
      <c r="O574" s="14" t="str">
        <f aca="false">IF(OR(L574="",L574=0),"",(1-M574)/L574)</f>
        <v/>
      </c>
      <c r="P574" s="15"/>
      <c r="Q574" s="12"/>
      <c r="R574" s="12"/>
      <c r="S574" s="13"/>
      <c r="T574" s="16" t="str">
        <f aca="false">IF(OR(S574="",L574=""),"",L574/(1-M574)-S574)</f>
        <v/>
      </c>
      <c r="U574" s="16" t="str">
        <f aca="false">IF(OR(L574="",P574=""),"",L574*(P574-1)-N574)</f>
        <v/>
      </c>
      <c r="V574" s="13"/>
      <c r="W574" s="17"/>
      <c r="X574" s="12"/>
      <c r="Y574" s="12"/>
      <c r="Z574" s="12"/>
      <c r="AA574" s="18" t="str">
        <f aca="false">IF(K574&lt;&gt;"ВИРТУАЛЬНЫЙ ВЫБОР","",IF(Z574="✅ ЗАШЛО",W574*(P574-1),IF(Z574="❌ НЕ ЗАШЛО",-W574,IF(Z574="½ ЗАШЛО",W574*(P574-1)/2,IF(Z574="½ НЕ ЗАШЛО",-W574/2,IF(Z574="ВОЗВРАТ",0,""))))))</f>
        <v/>
      </c>
      <c r="AB574" s="18" t="str">
        <f aca="false">IF(AND(K574="ВИРТУАЛЬНЫЙ ВЫБОР",OR(Z574="✅ ЗАШЛО",Z574="❌ НЕ ЗАШЛО",Z574="½ ЗАШЛО",Z574="½ НЕ ЗАШЛО",Z574="ВОЗВРАТ")),W574,"")</f>
        <v/>
      </c>
      <c r="AC574" s="15"/>
      <c r="AD574" s="16" t="str">
        <f aca="false">IF(OR(AC574="",P574=""),"",P574/AC574-1)</f>
        <v/>
      </c>
      <c r="AE574" s="19" t="str">
        <f aca="false">IF(AND(M574=0,OR(Z574="✅ ЗАШЛО",Z574="❌ НЕ ЗАШЛО"),L574&lt;&gt;""),(L574-IF(Z574="✅ ЗАШЛО",1,0))^2,"")</f>
        <v/>
      </c>
      <c r="AF574" s="15"/>
      <c r="AG574" s="15"/>
      <c r="AH574" s="13"/>
      <c r="AI574" s="13"/>
      <c r="AJ574" s="13"/>
      <c r="AK574" s="20" t="str">
        <f aca="false">IF(AH574="","",IF(ABS(AH574+AI574+AJ574-1)&lt;0.000001,"OK","ОШИБКА"))</f>
        <v/>
      </c>
      <c r="AL574" s="13"/>
      <c r="AM574" s="12"/>
      <c r="AN574" s="12"/>
      <c r="AO574" s="12"/>
      <c r="AP574" s="12"/>
      <c r="AQ574" s="18" t="str">
        <f aca="false">IF(A574="","",N(AQ573)+N(AA574))</f>
        <v/>
      </c>
      <c r="AR574" s="18" t="str">
        <f aca="false">IF(AQ574="","",MAX(0,MAX($AQ$8:AQ574))-AQ574)</f>
        <v/>
      </c>
    </row>
    <row r="575" customFormat="false" ht="15" hidden="false" customHeight="fals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3"/>
      <c r="M575" s="13"/>
      <c r="N575" s="13"/>
      <c r="O575" s="14" t="str">
        <f aca="false">IF(OR(L575="",L575=0),"",(1-M575)/L575)</f>
        <v/>
      </c>
      <c r="P575" s="15"/>
      <c r="Q575" s="12"/>
      <c r="R575" s="12"/>
      <c r="S575" s="13"/>
      <c r="T575" s="16" t="str">
        <f aca="false">IF(OR(S575="",L575=""),"",L575/(1-M575)-S575)</f>
        <v/>
      </c>
      <c r="U575" s="16" t="str">
        <f aca="false">IF(OR(L575="",P575=""),"",L575*(P575-1)-N575)</f>
        <v/>
      </c>
      <c r="V575" s="13"/>
      <c r="W575" s="17"/>
      <c r="X575" s="12"/>
      <c r="Y575" s="12"/>
      <c r="Z575" s="12"/>
      <c r="AA575" s="18" t="str">
        <f aca="false">IF(K575&lt;&gt;"ВИРТУАЛЬНЫЙ ВЫБОР","",IF(Z575="✅ ЗАШЛО",W575*(P575-1),IF(Z575="❌ НЕ ЗАШЛО",-W575,IF(Z575="½ ЗАШЛО",W575*(P575-1)/2,IF(Z575="½ НЕ ЗАШЛО",-W575/2,IF(Z575="ВОЗВРАТ",0,""))))))</f>
        <v/>
      </c>
      <c r="AB575" s="18" t="str">
        <f aca="false">IF(AND(K575="ВИРТУАЛЬНЫЙ ВЫБОР",OR(Z575="✅ ЗАШЛО",Z575="❌ НЕ ЗАШЛО",Z575="½ ЗАШЛО",Z575="½ НЕ ЗАШЛО",Z575="ВОЗВРАТ")),W575,"")</f>
        <v/>
      </c>
      <c r="AC575" s="15"/>
      <c r="AD575" s="16" t="str">
        <f aca="false">IF(OR(AC575="",P575=""),"",P575/AC575-1)</f>
        <v/>
      </c>
      <c r="AE575" s="19" t="str">
        <f aca="false">IF(AND(M575=0,OR(Z575="✅ ЗАШЛО",Z575="❌ НЕ ЗАШЛО"),L575&lt;&gt;""),(L575-IF(Z575="✅ ЗАШЛО",1,0))^2,"")</f>
        <v/>
      </c>
      <c r="AF575" s="15"/>
      <c r="AG575" s="15"/>
      <c r="AH575" s="13"/>
      <c r="AI575" s="13"/>
      <c r="AJ575" s="13"/>
      <c r="AK575" s="20" t="str">
        <f aca="false">IF(AH575="","",IF(ABS(AH575+AI575+AJ575-1)&lt;0.000001,"OK","ОШИБКА"))</f>
        <v/>
      </c>
      <c r="AL575" s="13"/>
      <c r="AM575" s="12"/>
      <c r="AN575" s="12"/>
      <c r="AO575" s="12"/>
      <c r="AP575" s="12"/>
      <c r="AQ575" s="18" t="str">
        <f aca="false">IF(A575="","",N(AQ574)+N(AA575))</f>
        <v/>
      </c>
      <c r="AR575" s="18" t="str">
        <f aca="false">IF(AQ575="","",MAX(0,MAX($AQ$8:AQ575))-AQ575)</f>
        <v/>
      </c>
    </row>
    <row r="576" customFormat="false" ht="15" hidden="false" customHeight="fals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3"/>
      <c r="M576" s="13"/>
      <c r="N576" s="13"/>
      <c r="O576" s="14" t="str">
        <f aca="false">IF(OR(L576="",L576=0),"",(1-M576)/L576)</f>
        <v/>
      </c>
      <c r="P576" s="15"/>
      <c r="Q576" s="12"/>
      <c r="R576" s="12"/>
      <c r="S576" s="13"/>
      <c r="T576" s="16" t="str">
        <f aca="false">IF(OR(S576="",L576=""),"",L576/(1-M576)-S576)</f>
        <v/>
      </c>
      <c r="U576" s="16" t="str">
        <f aca="false">IF(OR(L576="",P576=""),"",L576*(P576-1)-N576)</f>
        <v/>
      </c>
      <c r="V576" s="13"/>
      <c r="W576" s="17"/>
      <c r="X576" s="12"/>
      <c r="Y576" s="12"/>
      <c r="Z576" s="12"/>
      <c r="AA576" s="18" t="str">
        <f aca="false">IF(K576&lt;&gt;"ВИРТУАЛЬНЫЙ ВЫБОР","",IF(Z576="✅ ЗАШЛО",W576*(P576-1),IF(Z576="❌ НЕ ЗАШЛО",-W576,IF(Z576="½ ЗАШЛО",W576*(P576-1)/2,IF(Z576="½ НЕ ЗАШЛО",-W576/2,IF(Z576="ВОЗВРАТ",0,""))))))</f>
        <v/>
      </c>
      <c r="AB576" s="18" t="str">
        <f aca="false">IF(AND(K576="ВИРТУАЛЬНЫЙ ВЫБОР",OR(Z576="✅ ЗАШЛО",Z576="❌ НЕ ЗАШЛО",Z576="½ ЗАШЛО",Z576="½ НЕ ЗАШЛО",Z576="ВОЗВРАТ")),W576,"")</f>
        <v/>
      </c>
      <c r="AC576" s="15"/>
      <c r="AD576" s="16" t="str">
        <f aca="false">IF(OR(AC576="",P576=""),"",P576/AC576-1)</f>
        <v/>
      </c>
      <c r="AE576" s="19" t="str">
        <f aca="false">IF(AND(M576=0,OR(Z576="✅ ЗАШЛО",Z576="❌ НЕ ЗАШЛО"),L576&lt;&gt;""),(L576-IF(Z576="✅ ЗАШЛО",1,0))^2,"")</f>
        <v/>
      </c>
      <c r="AF576" s="15"/>
      <c r="AG576" s="15"/>
      <c r="AH576" s="13"/>
      <c r="AI576" s="13"/>
      <c r="AJ576" s="13"/>
      <c r="AK576" s="20" t="str">
        <f aca="false">IF(AH576="","",IF(ABS(AH576+AI576+AJ576-1)&lt;0.000001,"OK","ОШИБКА"))</f>
        <v/>
      </c>
      <c r="AL576" s="13"/>
      <c r="AM576" s="12"/>
      <c r="AN576" s="12"/>
      <c r="AO576" s="12"/>
      <c r="AP576" s="12"/>
      <c r="AQ576" s="18" t="str">
        <f aca="false">IF(A576="","",N(AQ575)+N(AA576))</f>
        <v/>
      </c>
      <c r="AR576" s="18" t="str">
        <f aca="false">IF(AQ576="","",MAX(0,MAX($AQ$8:AQ576))-AQ576)</f>
        <v/>
      </c>
    </row>
    <row r="577" customFormat="false" ht="15" hidden="false" customHeight="fals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3"/>
      <c r="M577" s="13"/>
      <c r="N577" s="13"/>
      <c r="O577" s="14" t="str">
        <f aca="false">IF(OR(L577="",L577=0),"",(1-M577)/L577)</f>
        <v/>
      </c>
      <c r="P577" s="15"/>
      <c r="Q577" s="12"/>
      <c r="R577" s="12"/>
      <c r="S577" s="13"/>
      <c r="T577" s="16" t="str">
        <f aca="false">IF(OR(S577="",L577=""),"",L577/(1-M577)-S577)</f>
        <v/>
      </c>
      <c r="U577" s="16" t="str">
        <f aca="false">IF(OR(L577="",P577=""),"",L577*(P577-1)-N577)</f>
        <v/>
      </c>
      <c r="V577" s="13"/>
      <c r="W577" s="17"/>
      <c r="X577" s="12"/>
      <c r="Y577" s="12"/>
      <c r="Z577" s="12"/>
      <c r="AA577" s="18" t="str">
        <f aca="false">IF(K577&lt;&gt;"ВИРТУАЛЬНЫЙ ВЫБОР","",IF(Z577="✅ ЗАШЛО",W577*(P577-1),IF(Z577="❌ НЕ ЗАШЛО",-W577,IF(Z577="½ ЗАШЛО",W577*(P577-1)/2,IF(Z577="½ НЕ ЗАШЛО",-W577/2,IF(Z577="ВОЗВРАТ",0,""))))))</f>
        <v/>
      </c>
      <c r="AB577" s="18" t="str">
        <f aca="false">IF(AND(K577="ВИРТУАЛЬНЫЙ ВЫБОР",OR(Z577="✅ ЗАШЛО",Z577="❌ НЕ ЗАШЛО",Z577="½ ЗАШЛО",Z577="½ НЕ ЗАШЛО",Z577="ВОЗВРАТ")),W577,"")</f>
        <v/>
      </c>
      <c r="AC577" s="15"/>
      <c r="AD577" s="16" t="str">
        <f aca="false">IF(OR(AC577="",P577=""),"",P577/AC577-1)</f>
        <v/>
      </c>
      <c r="AE577" s="19" t="str">
        <f aca="false">IF(AND(M577=0,OR(Z577="✅ ЗАШЛО",Z577="❌ НЕ ЗАШЛО"),L577&lt;&gt;""),(L577-IF(Z577="✅ ЗАШЛО",1,0))^2,"")</f>
        <v/>
      </c>
      <c r="AF577" s="15"/>
      <c r="AG577" s="15"/>
      <c r="AH577" s="13"/>
      <c r="AI577" s="13"/>
      <c r="AJ577" s="13"/>
      <c r="AK577" s="20" t="str">
        <f aca="false">IF(AH577="","",IF(ABS(AH577+AI577+AJ577-1)&lt;0.000001,"OK","ОШИБКА"))</f>
        <v/>
      </c>
      <c r="AL577" s="13"/>
      <c r="AM577" s="12"/>
      <c r="AN577" s="12"/>
      <c r="AO577" s="12"/>
      <c r="AP577" s="12"/>
      <c r="AQ577" s="18" t="str">
        <f aca="false">IF(A577="","",N(AQ576)+N(AA577))</f>
        <v/>
      </c>
      <c r="AR577" s="18" t="str">
        <f aca="false">IF(AQ577="","",MAX(0,MAX($AQ$8:AQ577))-AQ577)</f>
        <v/>
      </c>
    </row>
    <row r="578" customFormat="false" ht="15" hidden="false" customHeight="fals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3"/>
      <c r="M578" s="13"/>
      <c r="N578" s="13"/>
      <c r="O578" s="14" t="str">
        <f aca="false">IF(OR(L578="",L578=0),"",(1-M578)/L578)</f>
        <v/>
      </c>
      <c r="P578" s="15"/>
      <c r="Q578" s="12"/>
      <c r="R578" s="12"/>
      <c r="S578" s="13"/>
      <c r="T578" s="16" t="str">
        <f aca="false">IF(OR(S578="",L578=""),"",L578/(1-M578)-S578)</f>
        <v/>
      </c>
      <c r="U578" s="16" t="str">
        <f aca="false">IF(OR(L578="",P578=""),"",L578*(P578-1)-N578)</f>
        <v/>
      </c>
      <c r="V578" s="13"/>
      <c r="W578" s="17"/>
      <c r="X578" s="12"/>
      <c r="Y578" s="12"/>
      <c r="Z578" s="12"/>
      <c r="AA578" s="18" t="str">
        <f aca="false">IF(K578&lt;&gt;"ВИРТУАЛЬНЫЙ ВЫБОР","",IF(Z578="✅ ЗАШЛО",W578*(P578-1),IF(Z578="❌ НЕ ЗАШЛО",-W578,IF(Z578="½ ЗАШЛО",W578*(P578-1)/2,IF(Z578="½ НЕ ЗАШЛО",-W578/2,IF(Z578="ВОЗВРАТ",0,""))))))</f>
        <v/>
      </c>
      <c r="AB578" s="18" t="str">
        <f aca="false">IF(AND(K578="ВИРТУАЛЬНЫЙ ВЫБОР",OR(Z578="✅ ЗАШЛО",Z578="❌ НЕ ЗАШЛО",Z578="½ ЗАШЛО",Z578="½ НЕ ЗАШЛО",Z578="ВОЗВРАТ")),W578,"")</f>
        <v/>
      </c>
      <c r="AC578" s="15"/>
      <c r="AD578" s="16" t="str">
        <f aca="false">IF(OR(AC578="",P578=""),"",P578/AC578-1)</f>
        <v/>
      </c>
      <c r="AE578" s="19" t="str">
        <f aca="false">IF(AND(M578=0,OR(Z578="✅ ЗАШЛО",Z578="❌ НЕ ЗАШЛО"),L578&lt;&gt;""),(L578-IF(Z578="✅ ЗАШЛО",1,0))^2,"")</f>
        <v/>
      </c>
      <c r="AF578" s="15"/>
      <c r="AG578" s="15"/>
      <c r="AH578" s="13"/>
      <c r="AI578" s="13"/>
      <c r="AJ578" s="13"/>
      <c r="AK578" s="20" t="str">
        <f aca="false">IF(AH578="","",IF(ABS(AH578+AI578+AJ578-1)&lt;0.000001,"OK","ОШИБКА"))</f>
        <v/>
      </c>
      <c r="AL578" s="13"/>
      <c r="AM578" s="12"/>
      <c r="AN578" s="12"/>
      <c r="AO578" s="12"/>
      <c r="AP578" s="12"/>
      <c r="AQ578" s="18" t="str">
        <f aca="false">IF(A578="","",N(AQ577)+N(AA578))</f>
        <v/>
      </c>
      <c r="AR578" s="18" t="str">
        <f aca="false">IF(AQ578="","",MAX(0,MAX($AQ$8:AQ578))-AQ578)</f>
        <v/>
      </c>
    </row>
    <row r="579" customFormat="false" ht="15" hidden="false" customHeight="fals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3"/>
      <c r="M579" s="13"/>
      <c r="N579" s="13"/>
      <c r="O579" s="14" t="str">
        <f aca="false">IF(OR(L579="",L579=0),"",(1-M579)/L579)</f>
        <v/>
      </c>
      <c r="P579" s="15"/>
      <c r="Q579" s="12"/>
      <c r="R579" s="12"/>
      <c r="S579" s="13"/>
      <c r="T579" s="16" t="str">
        <f aca="false">IF(OR(S579="",L579=""),"",L579/(1-M579)-S579)</f>
        <v/>
      </c>
      <c r="U579" s="16" t="str">
        <f aca="false">IF(OR(L579="",P579=""),"",L579*(P579-1)-N579)</f>
        <v/>
      </c>
      <c r="V579" s="13"/>
      <c r="W579" s="17"/>
      <c r="X579" s="12"/>
      <c r="Y579" s="12"/>
      <c r="Z579" s="12"/>
      <c r="AA579" s="18" t="str">
        <f aca="false">IF(K579&lt;&gt;"ВИРТУАЛЬНЫЙ ВЫБОР","",IF(Z579="✅ ЗАШЛО",W579*(P579-1),IF(Z579="❌ НЕ ЗАШЛО",-W579,IF(Z579="½ ЗАШЛО",W579*(P579-1)/2,IF(Z579="½ НЕ ЗАШЛО",-W579/2,IF(Z579="ВОЗВРАТ",0,""))))))</f>
        <v/>
      </c>
      <c r="AB579" s="18" t="str">
        <f aca="false">IF(AND(K579="ВИРТУАЛЬНЫЙ ВЫБОР",OR(Z579="✅ ЗАШЛО",Z579="❌ НЕ ЗАШЛО",Z579="½ ЗАШЛО",Z579="½ НЕ ЗАШЛО",Z579="ВОЗВРАТ")),W579,"")</f>
        <v/>
      </c>
      <c r="AC579" s="15"/>
      <c r="AD579" s="16" t="str">
        <f aca="false">IF(OR(AC579="",P579=""),"",P579/AC579-1)</f>
        <v/>
      </c>
      <c r="AE579" s="19" t="str">
        <f aca="false">IF(AND(M579=0,OR(Z579="✅ ЗАШЛО",Z579="❌ НЕ ЗАШЛО"),L579&lt;&gt;""),(L579-IF(Z579="✅ ЗАШЛО",1,0))^2,"")</f>
        <v/>
      </c>
      <c r="AF579" s="15"/>
      <c r="AG579" s="15"/>
      <c r="AH579" s="13"/>
      <c r="AI579" s="13"/>
      <c r="AJ579" s="13"/>
      <c r="AK579" s="20" t="str">
        <f aca="false">IF(AH579="","",IF(ABS(AH579+AI579+AJ579-1)&lt;0.000001,"OK","ОШИБКА"))</f>
        <v/>
      </c>
      <c r="AL579" s="13"/>
      <c r="AM579" s="12"/>
      <c r="AN579" s="12"/>
      <c r="AO579" s="12"/>
      <c r="AP579" s="12"/>
      <c r="AQ579" s="18" t="str">
        <f aca="false">IF(A579="","",N(AQ578)+N(AA579))</f>
        <v/>
      </c>
      <c r="AR579" s="18" t="str">
        <f aca="false">IF(AQ579="","",MAX(0,MAX($AQ$8:AQ579))-AQ579)</f>
        <v/>
      </c>
    </row>
    <row r="580" customFormat="false" ht="15" hidden="false" customHeight="fals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3"/>
      <c r="M580" s="13"/>
      <c r="N580" s="13"/>
      <c r="O580" s="14" t="str">
        <f aca="false">IF(OR(L580="",L580=0),"",(1-M580)/L580)</f>
        <v/>
      </c>
      <c r="P580" s="15"/>
      <c r="Q580" s="12"/>
      <c r="R580" s="12"/>
      <c r="S580" s="13"/>
      <c r="T580" s="16" t="str">
        <f aca="false">IF(OR(S580="",L580=""),"",L580/(1-M580)-S580)</f>
        <v/>
      </c>
      <c r="U580" s="16" t="str">
        <f aca="false">IF(OR(L580="",P580=""),"",L580*(P580-1)-N580)</f>
        <v/>
      </c>
      <c r="V580" s="13"/>
      <c r="W580" s="17"/>
      <c r="X580" s="12"/>
      <c r="Y580" s="12"/>
      <c r="Z580" s="12"/>
      <c r="AA580" s="18" t="str">
        <f aca="false">IF(K580&lt;&gt;"ВИРТУАЛЬНЫЙ ВЫБОР","",IF(Z580="✅ ЗАШЛО",W580*(P580-1),IF(Z580="❌ НЕ ЗАШЛО",-W580,IF(Z580="½ ЗАШЛО",W580*(P580-1)/2,IF(Z580="½ НЕ ЗАШЛО",-W580/2,IF(Z580="ВОЗВРАТ",0,""))))))</f>
        <v/>
      </c>
      <c r="AB580" s="18" t="str">
        <f aca="false">IF(AND(K580="ВИРТУАЛЬНЫЙ ВЫБОР",OR(Z580="✅ ЗАШЛО",Z580="❌ НЕ ЗАШЛО",Z580="½ ЗАШЛО",Z580="½ НЕ ЗАШЛО",Z580="ВОЗВРАТ")),W580,"")</f>
        <v/>
      </c>
      <c r="AC580" s="15"/>
      <c r="AD580" s="16" t="str">
        <f aca="false">IF(OR(AC580="",P580=""),"",P580/AC580-1)</f>
        <v/>
      </c>
      <c r="AE580" s="19" t="str">
        <f aca="false">IF(AND(M580=0,OR(Z580="✅ ЗАШЛО",Z580="❌ НЕ ЗАШЛО"),L580&lt;&gt;""),(L580-IF(Z580="✅ ЗАШЛО",1,0))^2,"")</f>
        <v/>
      </c>
      <c r="AF580" s="15"/>
      <c r="AG580" s="15"/>
      <c r="AH580" s="13"/>
      <c r="AI580" s="13"/>
      <c r="AJ580" s="13"/>
      <c r="AK580" s="20" t="str">
        <f aca="false">IF(AH580="","",IF(ABS(AH580+AI580+AJ580-1)&lt;0.000001,"OK","ОШИБКА"))</f>
        <v/>
      </c>
      <c r="AL580" s="13"/>
      <c r="AM580" s="12"/>
      <c r="AN580" s="12"/>
      <c r="AO580" s="12"/>
      <c r="AP580" s="12"/>
      <c r="AQ580" s="18" t="str">
        <f aca="false">IF(A580="","",N(AQ579)+N(AA580))</f>
        <v/>
      </c>
      <c r="AR580" s="18" t="str">
        <f aca="false">IF(AQ580="","",MAX(0,MAX($AQ$8:AQ580))-AQ580)</f>
        <v/>
      </c>
    </row>
    <row r="581" customFormat="false" ht="15" hidden="false" customHeight="fals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3"/>
      <c r="M581" s="13"/>
      <c r="N581" s="13"/>
      <c r="O581" s="14" t="str">
        <f aca="false">IF(OR(L581="",L581=0),"",(1-M581)/L581)</f>
        <v/>
      </c>
      <c r="P581" s="15"/>
      <c r="Q581" s="12"/>
      <c r="R581" s="12"/>
      <c r="S581" s="13"/>
      <c r="T581" s="16" t="str">
        <f aca="false">IF(OR(S581="",L581=""),"",L581/(1-M581)-S581)</f>
        <v/>
      </c>
      <c r="U581" s="16" t="str">
        <f aca="false">IF(OR(L581="",P581=""),"",L581*(P581-1)-N581)</f>
        <v/>
      </c>
      <c r="V581" s="13"/>
      <c r="W581" s="17"/>
      <c r="X581" s="12"/>
      <c r="Y581" s="12"/>
      <c r="Z581" s="12"/>
      <c r="AA581" s="18" t="str">
        <f aca="false">IF(K581&lt;&gt;"ВИРТУАЛЬНЫЙ ВЫБОР","",IF(Z581="✅ ЗАШЛО",W581*(P581-1),IF(Z581="❌ НЕ ЗАШЛО",-W581,IF(Z581="½ ЗАШЛО",W581*(P581-1)/2,IF(Z581="½ НЕ ЗАШЛО",-W581/2,IF(Z581="ВОЗВРАТ",0,""))))))</f>
        <v/>
      </c>
      <c r="AB581" s="18" t="str">
        <f aca="false">IF(AND(K581="ВИРТУАЛЬНЫЙ ВЫБОР",OR(Z581="✅ ЗАШЛО",Z581="❌ НЕ ЗАШЛО",Z581="½ ЗАШЛО",Z581="½ НЕ ЗАШЛО",Z581="ВОЗВРАТ")),W581,"")</f>
        <v/>
      </c>
      <c r="AC581" s="15"/>
      <c r="AD581" s="16" t="str">
        <f aca="false">IF(OR(AC581="",P581=""),"",P581/AC581-1)</f>
        <v/>
      </c>
      <c r="AE581" s="19" t="str">
        <f aca="false">IF(AND(M581=0,OR(Z581="✅ ЗАШЛО",Z581="❌ НЕ ЗАШЛО"),L581&lt;&gt;""),(L581-IF(Z581="✅ ЗАШЛО",1,0))^2,"")</f>
        <v/>
      </c>
      <c r="AF581" s="15"/>
      <c r="AG581" s="15"/>
      <c r="AH581" s="13"/>
      <c r="AI581" s="13"/>
      <c r="AJ581" s="13"/>
      <c r="AK581" s="20" t="str">
        <f aca="false">IF(AH581="","",IF(ABS(AH581+AI581+AJ581-1)&lt;0.000001,"OK","ОШИБКА"))</f>
        <v/>
      </c>
      <c r="AL581" s="13"/>
      <c r="AM581" s="12"/>
      <c r="AN581" s="12"/>
      <c r="AO581" s="12"/>
      <c r="AP581" s="12"/>
      <c r="AQ581" s="18" t="str">
        <f aca="false">IF(A581="","",N(AQ580)+N(AA581))</f>
        <v/>
      </c>
      <c r="AR581" s="18" t="str">
        <f aca="false">IF(AQ581="","",MAX(0,MAX($AQ$8:AQ581))-AQ581)</f>
        <v/>
      </c>
    </row>
    <row r="582" customFormat="false" ht="15" hidden="false" customHeight="fals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3"/>
      <c r="M582" s="13"/>
      <c r="N582" s="13"/>
      <c r="O582" s="14" t="str">
        <f aca="false">IF(OR(L582="",L582=0),"",(1-M582)/L582)</f>
        <v/>
      </c>
      <c r="P582" s="15"/>
      <c r="Q582" s="12"/>
      <c r="R582" s="12"/>
      <c r="S582" s="13"/>
      <c r="T582" s="16" t="str">
        <f aca="false">IF(OR(S582="",L582=""),"",L582/(1-M582)-S582)</f>
        <v/>
      </c>
      <c r="U582" s="16" t="str">
        <f aca="false">IF(OR(L582="",P582=""),"",L582*(P582-1)-N582)</f>
        <v/>
      </c>
      <c r="V582" s="13"/>
      <c r="W582" s="17"/>
      <c r="X582" s="12"/>
      <c r="Y582" s="12"/>
      <c r="Z582" s="12"/>
      <c r="AA582" s="18" t="str">
        <f aca="false">IF(K582&lt;&gt;"ВИРТУАЛЬНЫЙ ВЫБОР","",IF(Z582="✅ ЗАШЛО",W582*(P582-1),IF(Z582="❌ НЕ ЗАШЛО",-W582,IF(Z582="½ ЗАШЛО",W582*(P582-1)/2,IF(Z582="½ НЕ ЗАШЛО",-W582/2,IF(Z582="ВОЗВРАТ",0,""))))))</f>
        <v/>
      </c>
      <c r="AB582" s="18" t="str">
        <f aca="false">IF(AND(K582="ВИРТУАЛЬНЫЙ ВЫБОР",OR(Z582="✅ ЗАШЛО",Z582="❌ НЕ ЗАШЛО",Z582="½ ЗАШЛО",Z582="½ НЕ ЗАШЛО",Z582="ВОЗВРАТ")),W582,"")</f>
        <v/>
      </c>
      <c r="AC582" s="15"/>
      <c r="AD582" s="16" t="str">
        <f aca="false">IF(OR(AC582="",P582=""),"",P582/AC582-1)</f>
        <v/>
      </c>
      <c r="AE582" s="19" t="str">
        <f aca="false">IF(AND(M582=0,OR(Z582="✅ ЗАШЛО",Z582="❌ НЕ ЗАШЛО"),L582&lt;&gt;""),(L582-IF(Z582="✅ ЗАШЛО",1,0))^2,"")</f>
        <v/>
      </c>
      <c r="AF582" s="15"/>
      <c r="AG582" s="15"/>
      <c r="AH582" s="13"/>
      <c r="AI582" s="13"/>
      <c r="AJ582" s="13"/>
      <c r="AK582" s="20" t="str">
        <f aca="false">IF(AH582="","",IF(ABS(AH582+AI582+AJ582-1)&lt;0.000001,"OK","ОШИБКА"))</f>
        <v/>
      </c>
      <c r="AL582" s="13"/>
      <c r="AM582" s="12"/>
      <c r="AN582" s="12"/>
      <c r="AO582" s="12"/>
      <c r="AP582" s="12"/>
      <c r="AQ582" s="18" t="str">
        <f aca="false">IF(A582="","",N(AQ581)+N(AA582))</f>
        <v/>
      </c>
      <c r="AR582" s="18" t="str">
        <f aca="false">IF(AQ582="","",MAX(0,MAX($AQ$8:AQ582))-AQ582)</f>
        <v/>
      </c>
    </row>
    <row r="583" customFormat="false" ht="15" hidden="false" customHeight="fals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3"/>
      <c r="M583" s="13"/>
      <c r="N583" s="13"/>
      <c r="O583" s="14" t="str">
        <f aca="false">IF(OR(L583="",L583=0),"",(1-M583)/L583)</f>
        <v/>
      </c>
      <c r="P583" s="15"/>
      <c r="Q583" s="12"/>
      <c r="R583" s="12"/>
      <c r="S583" s="13"/>
      <c r="T583" s="16" t="str">
        <f aca="false">IF(OR(S583="",L583=""),"",L583/(1-M583)-S583)</f>
        <v/>
      </c>
      <c r="U583" s="16" t="str">
        <f aca="false">IF(OR(L583="",P583=""),"",L583*(P583-1)-N583)</f>
        <v/>
      </c>
      <c r="V583" s="13"/>
      <c r="W583" s="17"/>
      <c r="X583" s="12"/>
      <c r="Y583" s="12"/>
      <c r="Z583" s="12"/>
      <c r="AA583" s="18" t="str">
        <f aca="false">IF(K583&lt;&gt;"ВИРТУАЛЬНЫЙ ВЫБОР","",IF(Z583="✅ ЗАШЛО",W583*(P583-1),IF(Z583="❌ НЕ ЗАШЛО",-W583,IF(Z583="½ ЗАШЛО",W583*(P583-1)/2,IF(Z583="½ НЕ ЗАШЛО",-W583/2,IF(Z583="ВОЗВРАТ",0,""))))))</f>
        <v/>
      </c>
      <c r="AB583" s="18" t="str">
        <f aca="false">IF(AND(K583="ВИРТУАЛЬНЫЙ ВЫБОР",OR(Z583="✅ ЗАШЛО",Z583="❌ НЕ ЗАШЛО",Z583="½ ЗАШЛО",Z583="½ НЕ ЗАШЛО",Z583="ВОЗВРАТ")),W583,"")</f>
        <v/>
      </c>
      <c r="AC583" s="15"/>
      <c r="AD583" s="16" t="str">
        <f aca="false">IF(OR(AC583="",P583=""),"",P583/AC583-1)</f>
        <v/>
      </c>
      <c r="AE583" s="19" t="str">
        <f aca="false">IF(AND(M583=0,OR(Z583="✅ ЗАШЛО",Z583="❌ НЕ ЗАШЛО"),L583&lt;&gt;""),(L583-IF(Z583="✅ ЗАШЛО",1,0))^2,"")</f>
        <v/>
      </c>
      <c r="AF583" s="15"/>
      <c r="AG583" s="15"/>
      <c r="AH583" s="13"/>
      <c r="AI583" s="13"/>
      <c r="AJ583" s="13"/>
      <c r="AK583" s="20" t="str">
        <f aca="false">IF(AH583="","",IF(ABS(AH583+AI583+AJ583-1)&lt;0.000001,"OK","ОШИБКА"))</f>
        <v/>
      </c>
      <c r="AL583" s="13"/>
      <c r="AM583" s="12"/>
      <c r="AN583" s="12"/>
      <c r="AO583" s="12"/>
      <c r="AP583" s="12"/>
      <c r="AQ583" s="18" t="str">
        <f aca="false">IF(A583="","",N(AQ582)+N(AA583))</f>
        <v/>
      </c>
      <c r="AR583" s="18" t="str">
        <f aca="false">IF(AQ583="","",MAX(0,MAX($AQ$8:AQ583))-AQ583)</f>
        <v/>
      </c>
    </row>
    <row r="584" customFormat="false" ht="15" hidden="false" customHeight="fals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3"/>
      <c r="M584" s="13"/>
      <c r="N584" s="13"/>
      <c r="O584" s="14" t="str">
        <f aca="false">IF(OR(L584="",L584=0),"",(1-M584)/L584)</f>
        <v/>
      </c>
      <c r="P584" s="15"/>
      <c r="Q584" s="12"/>
      <c r="R584" s="12"/>
      <c r="S584" s="13"/>
      <c r="T584" s="16" t="str">
        <f aca="false">IF(OR(S584="",L584=""),"",L584/(1-M584)-S584)</f>
        <v/>
      </c>
      <c r="U584" s="16" t="str">
        <f aca="false">IF(OR(L584="",P584=""),"",L584*(P584-1)-N584)</f>
        <v/>
      </c>
      <c r="V584" s="13"/>
      <c r="W584" s="17"/>
      <c r="X584" s="12"/>
      <c r="Y584" s="12"/>
      <c r="Z584" s="12"/>
      <c r="AA584" s="18" t="str">
        <f aca="false">IF(K584&lt;&gt;"ВИРТУАЛЬНЫЙ ВЫБОР","",IF(Z584="✅ ЗАШЛО",W584*(P584-1),IF(Z584="❌ НЕ ЗАШЛО",-W584,IF(Z584="½ ЗАШЛО",W584*(P584-1)/2,IF(Z584="½ НЕ ЗАШЛО",-W584/2,IF(Z584="ВОЗВРАТ",0,""))))))</f>
        <v/>
      </c>
      <c r="AB584" s="18" t="str">
        <f aca="false">IF(AND(K584="ВИРТУАЛЬНЫЙ ВЫБОР",OR(Z584="✅ ЗАШЛО",Z584="❌ НЕ ЗАШЛО",Z584="½ ЗАШЛО",Z584="½ НЕ ЗАШЛО",Z584="ВОЗВРАТ")),W584,"")</f>
        <v/>
      </c>
      <c r="AC584" s="15"/>
      <c r="AD584" s="16" t="str">
        <f aca="false">IF(OR(AC584="",P584=""),"",P584/AC584-1)</f>
        <v/>
      </c>
      <c r="AE584" s="19" t="str">
        <f aca="false">IF(AND(M584=0,OR(Z584="✅ ЗАШЛО",Z584="❌ НЕ ЗАШЛО"),L584&lt;&gt;""),(L584-IF(Z584="✅ ЗАШЛО",1,0))^2,"")</f>
        <v/>
      </c>
      <c r="AF584" s="15"/>
      <c r="AG584" s="15"/>
      <c r="AH584" s="13"/>
      <c r="AI584" s="13"/>
      <c r="AJ584" s="13"/>
      <c r="AK584" s="20" t="str">
        <f aca="false">IF(AH584="","",IF(ABS(AH584+AI584+AJ584-1)&lt;0.000001,"OK","ОШИБКА"))</f>
        <v/>
      </c>
      <c r="AL584" s="13"/>
      <c r="AM584" s="12"/>
      <c r="AN584" s="12"/>
      <c r="AO584" s="12"/>
      <c r="AP584" s="12"/>
      <c r="AQ584" s="18" t="str">
        <f aca="false">IF(A584="","",N(AQ583)+N(AA584))</f>
        <v/>
      </c>
      <c r="AR584" s="18" t="str">
        <f aca="false">IF(AQ584="","",MAX(0,MAX($AQ$8:AQ584))-AQ584)</f>
        <v/>
      </c>
    </row>
    <row r="585" customFormat="false" ht="15" hidden="false" customHeight="fals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3"/>
      <c r="M585" s="13"/>
      <c r="N585" s="13"/>
      <c r="O585" s="14" t="str">
        <f aca="false">IF(OR(L585="",L585=0),"",(1-M585)/L585)</f>
        <v/>
      </c>
      <c r="P585" s="15"/>
      <c r="Q585" s="12"/>
      <c r="R585" s="12"/>
      <c r="S585" s="13"/>
      <c r="T585" s="16" t="str">
        <f aca="false">IF(OR(S585="",L585=""),"",L585/(1-M585)-S585)</f>
        <v/>
      </c>
      <c r="U585" s="16" t="str">
        <f aca="false">IF(OR(L585="",P585=""),"",L585*(P585-1)-N585)</f>
        <v/>
      </c>
      <c r="V585" s="13"/>
      <c r="W585" s="17"/>
      <c r="X585" s="12"/>
      <c r="Y585" s="12"/>
      <c r="Z585" s="12"/>
      <c r="AA585" s="18" t="str">
        <f aca="false">IF(K585&lt;&gt;"ВИРТУАЛЬНЫЙ ВЫБОР","",IF(Z585="✅ ЗАШЛО",W585*(P585-1),IF(Z585="❌ НЕ ЗАШЛО",-W585,IF(Z585="½ ЗАШЛО",W585*(P585-1)/2,IF(Z585="½ НЕ ЗАШЛО",-W585/2,IF(Z585="ВОЗВРАТ",0,""))))))</f>
        <v/>
      </c>
      <c r="AB585" s="18" t="str">
        <f aca="false">IF(AND(K585="ВИРТУАЛЬНЫЙ ВЫБОР",OR(Z585="✅ ЗАШЛО",Z585="❌ НЕ ЗАШЛО",Z585="½ ЗАШЛО",Z585="½ НЕ ЗАШЛО",Z585="ВОЗВРАТ")),W585,"")</f>
        <v/>
      </c>
      <c r="AC585" s="15"/>
      <c r="AD585" s="16" t="str">
        <f aca="false">IF(OR(AC585="",P585=""),"",P585/AC585-1)</f>
        <v/>
      </c>
      <c r="AE585" s="19" t="str">
        <f aca="false">IF(AND(M585=0,OR(Z585="✅ ЗАШЛО",Z585="❌ НЕ ЗАШЛО"),L585&lt;&gt;""),(L585-IF(Z585="✅ ЗАШЛО",1,0))^2,"")</f>
        <v/>
      </c>
      <c r="AF585" s="15"/>
      <c r="AG585" s="15"/>
      <c r="AH585" s="13"/>
      <c r="AI585" s="13"/>
      <c r="AJ585" s="13"/>
      <c r="AK585" s="20" t="str">
        <f aca="false">IF(AH585="","",IF(ABS(AH585+AI585+AJ585-1)&lt;0.000001,"OK","ОШИБКА"))</f>
        <v/>
      </c>
      <c r="AL585" s="13"/>
      <c r="AM585" s="12"/>
      <c r="AN585" s="12"/>
      <c r="AO585" s="12"/>
      <c r="AP585" s="12"/>
      <c r="AQ585" s="18" t="str">
        <f aca="false">IF(A585="","",N(AQ584)+N(AA585))</f>
        <v/>
      </c>
      <c r="AR585" s="18" t="str">
        <f aca="false">IF(AQ585="","",MAX(0,MAX($AQ$8:AQ585))-AQ585)</f>
        <v/>
      </c>
    </row>
    <row r="586" customFormat="false" ht="15" hidden="false" customHeight="fals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3"/>
      <c r="M586" s="13"/>
      <c r="N586" s="13"/>
      <c r="O586" s="14" t="str">
        <f aca="false">IF(OR(L586="",L586=0),"",(1-M586)/L586)</f>
        <v/>
      </c>
      <c r="P586" s="15"/>
      <c r="Q586" s="12"/>
      <c r="R586" s="12"/>
      <c r="S586" s="13"/>
      <c r="T586" s="16" t="str">
        <f aca="false">IF(OR(S586="",L586=""),"",L586/(1-M586)-S586)</f>
        <v/>
      </c>
      <c r="U586" s="16" t="str">
        <f aca="false">IF(OR(L586="",P586=""),"",L586*(P586-1)-N586)</f>
        <v/>
      </c>
      <c r="V586" s="13"/>
      <c r="W586" s="17"/>
      <c r="X586" s="12"/>
      <c r="Y586" s="12"/>
      <c r="Z586" s="12"/>
      <c r="AA586" s="18" t="str">
        <f aca="false">IF(K586&lt;&gt;"ВИРТУАЛЬНЫЙ ВЫБОР","",IF(Z586="✅ ЗАШЛО",W586*(P586-1),IF(Z586="❌ НЕ ЗАШЛО",-W586,IF(Z586="½ ЗАШЛО",W586*(P586-1)/2,IF(Z586="½ НЕ ЗАШЛО",-W586/2,IF(Z586="ВОЗВРАТ",0,""))))))</f>
        <v/>
      </c>
      <c r="AB586" s="18" t="str">
        <f aca="false">IF(AND(K586="ВИРТУАЛЬНЫЙ ВЫБОР",OR(Z586="✅ ЗАШЛО",Z586="❌ НЕ ЗАШЛО",Z586="½ ЗАШЛО",Z586="½ НЕ ЗАШЛО",Z586="ВОЗВРАТ")),W586,"")</f>
        <v/>
      </c>
      <c r="AC586" s="15"/>
      <c r="AD586" s="16" t="str">
        <f aca="false">IF(OR(AC586="",P586=""),"",P586/AC586-1)</f>
        <v/>
      </c>
      <c r="AE586" s="19" t="str">
        <f aca="false">IF(AND(M586=0,OR(Z586="✅ ЗАШЛО",Z586="❌ НЕ ЗАШЛО"),L586&lt;&gt;""),(L586-IF(Z586="✅ ЗАШЛО",1,0))^2,"")</f>
        <v/>
      </c>
      <c r="AF586" s="15"/>
      <c r="AG586" s="15"/>
      <c r="AH586" s="13"/>
      <c r="AI586" s="13"/>
      <c r="AJ586" s="13"/>
      <c r="AK586" s="20" t="str">
        <f aca="false">IF(AH586="","",IF(ABS(AH586+AI586+AJ586-1)&lt;0.000001,"OK","ОШИБКА"))</f>
        <v/>
      </c>
      <c r="AL586" s="13"/>
      <c r="AM586" s="12"/>
      <c r="AN586" s="12"/>
      <c r="AO586" s="12"/>
      <c r="AP586" s="12"/>
      <c r="AQ586" s="18" t="str">
        <f aca="false">IF(A586="","",N(AQ585)+N(AA586))</f>
        <v/>
      </c>
      <c r="AR586" s="18" t="str">
        <f aca="false">IF(AQ586="","",MAX(0,MAX($AQ$8:AQ586))-AQ586)</f>
        <v/>
      </c>
    </row>
    <row r="587" customFormat="false" ht="15" hidden="false" customHeight="fals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3"/>
      <c r="M587" s="13"/>
      <c r="N587" s="13"/>
      <c r="O587" s="14" t="str">
        <f aca="false">IF(OR(L587="",L587=0),"",(1-M587)/L587)</f>
        <v/>
      </c>
      <c r="P587" s="15"/>
      <c r="Q587" s="12"/>
      <c r="R587" s="12"/>
      <c r="S587" s="13"/>
      <c r="T587" s="16" t="str">
        <f aca="false">IF(OR(S587="",L587=""),"",L587/(1-M587)-S587)</f>
        <v/>
      </c>
      <c r="U587" s="16" t="str">
        <f aca="false">IF(OR(L587="",P587=""),"",L587*(P587-1)-N587)</f>
        <v/>
      </c>
      <c r="V587" s="13"/>
      <c r="W587" s="17"/>
      <c r="X587" s="12"/>
      <c r="Y587" s="12"/>
      <c r="Z587" s="12"/>
      <c r="AA587" s="18" t="str">
        <f aca="false">IF(K587&lt;&gt;"ВИРТУАЛЬНЫЙ ВЫБОР","",IF(Z587="✅ ЗАШЛО",W587*(P587-1),IF(Z587="❌ НЕ ЗАШЛО",-W587,IF(Z587="½ ЗАШЛО",W587*(P587-1)/2,IF(Z587="½ НЕ ЗАШЛО",-W587/2,IF(Z587="ВОЗВРАТ",0,""))))))</f>
        <v/>
      </c>
      <c r="AB587" s="18" t="str">
        <f aca="false">IF(AND(K587="ВИРТУАЛЬНЫЙ ВЫБОР",OR(Z587="✅ ЗАШЛО",Z587="❌ НЕ ЗАШЛО",Z587="½ ЗАШЛО",Z587="½ НЕ ЗАШЛО",Z587="ВОЗВРАТ")),W587,"")</f>
        <v/>
      </c>
      <c r="AC587" s="15"/>
      <c r="AD587" s="16" t="str">
        <f aca="false">IF(OR(AC587="",P587=""),"",P587/AC587-1)</f>
        <v/>
      </c>
      <c r="AE587" s="19" t="str">
        <f aca="false">IF(AND(M587=0,OR(Z587="✅ ЗАШЛО",Z587="❌ НЕ ЗАШЛО"),L587&lt;&gt;""),(L587-IF(Z587="✅ ЗАШЛО",1,0))^2,"")</f>
        <v/>
      </c>
      <c r="AF587" s="15"/>
      <c r="AG587" s="15"/>
      <c r="AH587" s="13"/>
      <c r="AI587" s="13"/>
      <c r="AJ587" s="13"/>
      <c r="AK587" s="20" t="str">
        <f aca="false">IF(AH587="","",IF(ABS(AH587+AI587+AJ587-1)&lt;0.000001,"OK","ОШИБКА"))</f>
        <v/>
      </c>
      <c r="AL587" s="13"/>
      <c r="AM587" s="12"/>
      <c r="AN587" s="12"/>
      <c r="AO587" s="12"/>
      <c r="AP587" s="12"/>
      <c r="AQ587" s="18" t="str">
        <f aca="false">IF(A587="","",N(AQ586)+N(AA587))</f>
        <v/>
      </c>
      <c r="AR587" s="18" t="str">
        <f aca="false">IF(AQ587="","",MAX(0,MAX($AQ$8:AQ587))-AQ587)</f>
        <v/>
      </c>
    </row>
    <row r="588" customFormat="false" ht="15" hidden="false" customHeight="fals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3"/>
      <c r="M588" s="13"/>
      <c r="N588" s="13"/>
      <c r="O588" s="14" t="str">
        <f aca="false">IF(OR(L588="",L588=0),"",(1-M588)/L588)</f>
        <v/>
      </c>
      <c r="P588" s="15"/>
      <c r="Q588" s="12"/>
      <c r="R588" s="12"/>
      <c r="S588" s="13"/>
      <c r="T588" s="16" t="str">
        <f aca="false">IF(OR(S588="",L588=""),"",L588/(1-M588)-S588)</f>
        <v/>
      </c>
      <c r="U588" s="16" t="str">
        <f aca="false">IF(OR(L588="",P588=""),"",L588*(P588-1)-N588)</f>
        <v/>
      </c>
      <c r="V588" s="13"/>
      <c r="W588" s="17"/>
      <c r="X588" s="12"/>
      <c r="Y588" s="12"/>
      <c r="Z588" s="12"/>
      <c r="AA588" s="18" t="str">
        <f aca="false">IF(K588&lt;&gt;"ВИРТУАЛЬНЫЙ ВЫБОР","",IF(Z588="✅ ЗАШЛО",W588*(P588-1),IF(Z588="❌ НЕ ЗАШЛО",-W588,IF(Z588="½ ЗАШЛО",W588*(P588-1)/2,IF(Z588="½ НЕ ЗАШЛО",-W588/2,IF(Z588="ВОЗВРАТ",0,""))))))</f>
        <v/>
      </c>
      <c r="AB588" s="18" t="str">
        <f aca="false">IF(AND(K588="ВИРТУАЛЬНЫЙ ВЫБОР",OR(Z588="✅ ЗАШЛО",Z588="❌ НЕ ЗАШЛО",Z588="½ ЗАШЛО",Z588="½ НЕ ЗАШЛО",Z588="ВОЗВРАТ")),W588,"")</f>
        <v/>
      </c>
      <c r="AC588" s="15"/>
      <c r="AD588" s="16" t="str">
        <f aca="false">IF(OR(AC588="",P588=""),"",P588/AC588-1)</f>
        <v/>
      </c>
      <c r="AE588" s="19" t="str">
        <f aca="false">IF(AND(M588=0,OR(Z588="✅ ЗАШЛО",Z588="❌ НЕ ЗАШЛО"),L588&lt;&gt;""),(L588-IF(Z588="✅ ЗАШЛО",1,0))^2,"")</f>
        <v/>
      </c>
      <c r="AF588" s="15"/>
      <c r="AG588" s="15"/>
      <c r="AH588" s="13"/>
      <c r="AI588" s="13"/>
      <c r="AJ588" s="13"/>
      <c r="AK588" s="20" t="str">
        <f aca="false">IF(AH588="","",IF(ABS(AH588+AI588+AJ588-1)&lt;0.000001,"OK","ОШИБКА"))</f>
        <v/>
      </c>
      <c r="AL588" s="13"/>
      <c r="AM588" s="12"/>
      <c r="AN588" s="12"/>
      <c r="AO588" s="12"/>
      <c r="AP588" s="12"/>
      <c r="AQ588" s="18" t="str">
        <f aca="false">IF(A588="","",N(AQ587)+N(AA588))</f>
        <v/>
      </c>
      <c r="AR588" s="18" t="str">
        <f aca="false">IF(AQ588="","",MAX(0,MAX($AQ$8:AQ588))-AQ588)</f>
        <v/>
      </c>
    </row>
    <row r="589" customFormat="false" ht="15" hidden="false" customHeight="fals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3"/>
      <c r="M589" s="13"/>
      <c r="N589" s="13"/>
      <c r="O589" s="14" t="str">
        <f aca="false">IF(OR(L589="",L589=0),"",(1-M589)/L589)</f>
        <v/>
      </c>
      <c r="P589" s="15"/>
      <c r="Q589" s="12"/>
      <c r="R589" s="12"/>
      <c r="S589" s="13"/>
      <c r="T589" s="16" t="str">
        <f aca="false">IF(OR(S589="",L589=""),"",L589/(1-M589)-S589)</f>
        <v/>
      </c>
      <c r="U589" s="16" t="str">
        <f aca="false">IF(OR(L589="",P589=""),"",L589*(P589-1)-N589)</f>
        <v/>
      </c>
      <c r="V589" s="13"/>
      <c r="W589" s="17"/>
      <c r="X589" s="12"/>
      <c r="Y589" s="12"/>
      <c r="Z589" s="12"/>
      <c r="AA589" s="18" t="str">
        <f aca="false">IF(K589&lt;&gt;"ВИРТУАЛЬНЫЙ ВЫБОР","",IF(Z589="✅ ЗАШЛО",W589*(P589-1),IF(Z589="❌ НЕ ЗАШЛО",-W589,IF(Z589="½ ЗАШЛО",W589*(P589-1)/2,IF(Z589="½ НЕ ЗАШЛО",-W589/2,IF(Z589="ВОЗВРАТ",0,""))))))</f>
        <v/>
      </c>
      <c r="AB589" s="18" t="str">
        <f aca="false">IF(AND(K589="ВИРТУАЛЬНЫЙ ВЫБОР",OR(Z589="✅ ЗАШЛО",Z589="❌ НЕ ЗАШЛО",Z589="½ ЗАШЛО",Z589="½ НЕ ЗАШЛО",Z589="ВОЗВРАТ")),W589,"")</f>
        <v/>
      </c>
      <c r="AC589" s="15"/>
      <c r="AD589" s="16" t="str">
        <f aca="false">IF(OR(AC589="",P589=""),"",P589/AC589-1)</f>
        <v/>
      </c>
      <c r="AE589" s="19" t="str">
        <f aca="false">IF(AND(M589=0,OR(Z589="✅ ЗАШЛО",Z589="❌ НЕ ЗАШЛО"),L589&lt;&gt;""),(L589-IF(Z589="✅ ЗАШЛО",1,0))^2,"")</f>
        <v/>
      </c>
      <c r="AF589" s="15"/>
      <c r="AG589" s="15"/>
      <c r="AH589" s="13"/>
      <c r="AI589" s="13"/>
      <c r="AJ589" s="13"/>
      <c r="AK589" s="20" t="str">
        <f aca="false">IF(AH589="","",IF(ABS(AH589+AI589+AJ589-1)&lt;0.000001,"OK","ОШИБКА"))</f>
        <v/>
      </c>
      <c r="AL589" s="13"/>
      <c r="AM589" s="12"/>
      <c r="AN589" s="12"/>
      <c r="AO589" s="12"/>
      <c r="AP589" s="12"/>
      <c r="AQ589" s="18" t="str">
        <f aca="false">IF(A589="","",N(AQ588)+N(AA589))</f>
        <v/>
      </c>
      <c r="AR589" s="18" t="str">
        <f aca="false">IF(AQ589="","",MAX(0,MAX($AQ$8:AQ589))-AQ589)</f>
        <v/>
      </c>
    </row>
    <row r="590" customFormat="false" ht="15" hidden="false" customHeight="fals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3"/>
      <c r="M590" s="13"/>
      <c r="N590" s="13"/>
      <c r="O590" s="14" t="str">
        <f aca="false">IF(OR(L590="",L590=0),"",(1-M590)/L590)</f>
        <v/>
      </c>
      <c r="P590" s="15"/>
      <c r="Q590" s="12"/>
      <c r="R590" s="12"/>
      <c r="S590" s="13"/>
      <c r="T590" s="16" t="str">
        <f aca="false">IF(OR(S590="",L590=""),"",L590/(1-M590)-S590)</f>
        <v/>
      </c>
      <c r="U590" s="16" t="str">
        <f aca="false">IF(OR(L590="",P590=""),"",L590*(P590-1)-N590)</f>
        <v/>
      </c>
      <c r="V590" s="13"/>
      <c r="W590" s="17"/>
      <c r="X590" s="12"/>
      <c r="Y590" s="12"/>
      <c r="Z590" s="12"/>
      <c r="AA590" s="18" t="str">
        <f aca="false">IF(K590&lt;&gt;"ВИРТУАЛЬНЫЙ ВЫБОР","",IF(Z590="✅ ЗАШЛО",W590*(P590-1),IF(Z590="❌ НЕ ЗАШЛО",-W590,IF(Z590="½ ЗАШЛО",W590*(P590-1)/2,IF(Z590="½ НЕ ЗАШЛО",-W590/2,IF(Z590="ВОЗВРАТ",0,""))))))</f>
        <v/>
      </c>
      <c r="AB590" s="18" t="str">
        <f aca="false">IF(AND(K590="ВИРТУАЛЬНЫЙ ВЫБОР",OR(Z590="✅ ЗАШЛО",Z590="❌ НЕ ЗАШЛО",Z590="½ ЗАШЛО",Z590="½ НЕ ЗАШЛО",Z590="ВОЗВРАТ")),W590,"")</f>
        <v/>
      </c>
      <c r="AC590" s="15"/>
      <c r="AD590" s="16" t="str">
        <f aca="false">IF(OR(AC590="",P590=""),"",P590/AC590-1)</f>
        <v/>
      </c>
      <c r="AE590" s="19" t="str">
        <f aca="false">IF(AND(M590=0,OR(Z590="✅ ЗАШЛО",Z590="❌ НЕ ЗАШЛО"),L590&lt;&gt;""),(L590-IF(Z590="✅ ЗАШЛО",1,0))^2,"")</f>
        <v/>
      </c>
      <c r="AF590" s="15"/>
      <c r="AG590" s="15"/>
      <c r="AH590" s="13"/>
      <c r="AI590" s="13"/>
      <c r="AJ590" s="13"/>
      <c r="AK590" s="20" t="str">
        <f aca="false">IF(AH590="","",IF(ABS(AH590+AI590+AJ590-1)&lt;0.000001,"OK","ОШИБКА"))</f>
        <v/>
      </c>
      <c r="AL590" s="13"/>
      <c r="AM590" s="12"/>
      <c r="AN590" s="12"/>
      <c r="AO590" s="12"/>
      <c r="AP590" s="12"/>
      <c r="AQ590" s="18" t="str">
        <f aca="false">IF(A590="","",N(AQ589)+N(AA590))</f>
        <v/>
      </c>
      <c r="AR590" s="18" t="str">
        <f aca="false">IF(AQ590="","",MAX(0,MAX($AQ$8:AQ590))-AQ590)</f>
        <v/>
      </c>
    </row>
    <row r="591" customFormat="false" ht="15" hidden="false" customHeight="fals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3"/>
      <c r="M591" s="13"/>
      <c r="N591" s="13"/>
      <c r="O591" s="14" t="str">
        <f aca="false">IF(OR(L591="",L591=0),"",(1-M591)/L591)</f>
        <v/>
      </c>
      <c r="P591" s="15"/>
      <c r="Q591" s="12"/>
      <c r="R591" s="12"/>
      <c r="S591" s="13"/>
      <c r="T591" s="16" t="str">
        <f aca="false">IF(OR(S591="",L591=""),"",L591/(1-M591)-S591)</f>
        <v/>
      </c>
      <c r="U591" s="16" t="str">
        <f aca="false">IF(OR(L591="",P591=""),"",L591*(P591-1)-N591)</f>
        <v/>
      </c>
      <c r="V591" s="13"/>
      <c r="W591" s="17"/>
      <c r="X591" s="12"/>
      <c r="Y591" s="12"/>
      <c r="Z591" s="12"/>
      <c r="AA591" s="18" t="str">
        <f aca="false">IF(K591&lt;&gt;"ВИРТУАЛЬНЫЙ ВЫБОР","",IF(Z591="✅ ЗАШЛО",W591*(P591-1),IF(Z591="❌ НЕ ЗАШЛО",-W591,IF(Z591="½ ЗАШЛО",W591*(P591-1)/2,IF(Z591="½ НЕ ЗАШЛО",-W591/2,IF(Z591="ВОЗВРАТ",0,""))))))</f>
        <v/>
      </c>
      <c r="AB591" s="18" t="str">
        <f aca="false">IF(AND(K591="ВИРТУАЛЬНЫЙ ВЫБОР",OR(Z591="✅ ЗАШЛО",Z591="❌ НЕ ЗАШЛО",Z591="½ ЗАШЛО",Z591="½ НЕ ЗАШЛО",Z591="ВОЗВРАТ")),W591,"")</f>
        <v/>
      </c>
      <c r="AC591" s="15"/>
      <c r="AD591" s="16" t="str">
        <f aca="false">IF(OR(AC591="",P591=""),"",P591/AC591-1)</f>
        <v/>
      </c>
      <c r="AE591" s="19" t="str">
        <f aca="false">IF(AND(M591=0,OR(Z591="✅ ЗАШЛО",Z591="❌ НЕ ЗАШЛО"),L591&lt;&gt;""),(L591-IF(Z591="✅ ЗАШЛО",1,0))^2,"")</f>
        <v/>
      </c>
      <c r="AF591" s="15"/>
      <c r="AG591" s="15"/>
      <c r="AH591" s="13"/>
      <c r="AI591" s="13"/>
      <c r="AJ591" s="13"/>
      <c r="AK591" s="20" t="str">
        <f aca="false">IF(AH591="","",IF(ABS(AH591+AI591+AJ591-1)&lt;0.000001,"OK","ОШИБКА"))</f>
        <v/>
      </c>
      <c r="AL591" s="13"/>
      <c r="AM591" s="12"/>
      <c r="AN591" s="12"/>
      <c r="AO591" s="12"/>
      <c r="AP591" s="12"/>
      <c r="AQ591" s="18" t="str">
        <f aca="false">IF(A591="","",N(AQ590)+N(AA591))</f>
        <v/>
      </c>
      <c r="AR591" s="18" t="str">
        <f aca="false">IF(AQ591="","",MAX(0,MAX($AQ$8:AQ591))-AQ591)</f>
        <v/>
      </c>
    </row>
    <row r="592" customFormat="false" ht="15" hidden="false" customHeight="fals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3"/>
      <c r="M592" s="13"/>
      <c r="N592" s="13"/>
      <c r="O592" s="14" t="str">
        <f aca="false">IF(OR(L592="",L592=0),"",(1-M592)/L592)</f>
        <v/>
      </c>
      <c r="P592" s="15"/>
      <c r="Q592" s="12"/>
      <c r="R592" s="12"/>
      <c r="S592" s="13"/>
      <c r="T592" s="16" t="str">
        <f aca="false">IF(OR(S592="",L592=""),"",L592/(1-M592)-S592)</f>
        <v/>
      </c>
      <c r="U592" s="16" t="str">
        <f aca="false">IF(OR(L592="",P592=""),"",L592*(P592-1)-N592)</f>
        <v/>
      </c>
      <c r="V592" s="13"/>
      <c r="W592" s="17"/>
      <c r="X592" s="12"/>
      <c r="Y592" s="12"/>
      <c r="Z592" s="12"/>
      <c r="AA592" s="18" t="str">
        <f aca="false">IF(K592&lt;&gt;"ВИРТУАЛЬНЫЙ ВЫБОР","",IF(Z592="✅ ЗАШЛО",W592*(P592-1),IF(Z592="❌ НЕ ЗАШЛО",-W592,IF(Z592="½ ЗАШЛО",W592*(P592-1)/2,IF(Z592="½ НЕ ЗАШЛО",-W592/2,IF(Z592="ВОЗВРАТ",0,""))))))</f>
        <v/>
      </c>
      <c r="AB592" s="18" t="str">
        <f aca="false">IF(AND(K592="ВИРТУАЛЬНЫЙ ВЫБОР",OR(Z592="✅ ЗАШЛО",Z592="❌ НЕ ЗАШЛО",Z592="½ ЗАШЛО",Z592="½ НЕ ЗАШЛО",Z592="ВОЗВРАТ")),W592,"")</f>
        <v/>
      </c>
      <c r="AC592" s="15"/>
      <c r="AD592" s="16" t="str">
        <f aca="false">IF(OR(AC592="",P592=""),"",P592/AC592-1)</f>
        <v/>
      </c>
      <c r="AE592" s="19" t="str">
        <f aca="false">IF(AND(M592=0,OR(Z592="✅ ЗАШЛО",Z592="❌ НЕ ЗАШЛО"),L592&lt;&gt;""),(L592-IF(Z592="✅ ЗАШЛО",1,0))^2,"")</f>
        <v/>
      </c>
      <c r="AF592" s="15"/>
      <c r="AG592" s="15"/>
      <c r="AH592" s="13"/>
      <c r="AI592" s="13"/>
      <c r="AJ592" s="13"/>
      <c r="AK592" s="20" t="str">
        <f aca="false">IF(AH592="","",IF(ABS(AH592+AI592+AJ592-1)&lt;0.000001,"OK","ОШИБКА"))</f>
        <v/>
      </c>
      <c r="AL592" s="13"/>
      <c r="AM592" s="12"/>
      <c r="AN592" s="12"/>
      <c r="AO592" s="12"/>
      <c r="AP592" s="12"/>
      <c r="AQ592" s="18" t="str">
        <f aca="false">IF(A592="","",N(AQ591)+N(AA592))</f>
        <v/>
      </c>
      <c r="AR592" s="18" t="str">
        <f aca="false">IF(AQ592="","",MAX(0,MAX($AQ$8:AQ592))-AQ592)</f>
        <v/>
      </c>
    </row>
    <row r="593" customFormat="false" ht="15" hidden="false" customHeight="fals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3"/>
      <c r="M593" s="13"/>
      <c r="N593" s="13"/>
      <c r="O593" s="14" t="str">
        <f aca="false">IF(OR(L593="",L593=0),"",(1-M593)/L593)</f>
        <v/>
      </c>
      <c r="P593" s="15"/>
      <c r="Q593" s="12"/>
      <c r="R593" s="12"/>
      <c r="S593" s="13"/>
      <c r="T593" s="16" t="str">
        <f aca="false">IF(OR(S593="",L593=""),"",L593/(1-M593)-S593)</f>
        <v/>
      </c>
      <c r="U593" s="16" t="str">
        <f aca="false">IF(OR(L593="",P593=""),"",L593*(P593-1)-N593)</f>
        <v/>
      </c>
      <c r="V593" s="13"/>
      <c r="W593" s="17"/>
      <c r="X593" s="12"/>
      <c r="Y593" s="12"/>
      <c r="Z593" s="12"/>
      <c r="AA593" s="18" t="str">
        <f aca="false">IF(K593&lt;&gt;"ВИРТУАЛЬНЫЙ ВЫБОР","",IF(Z593="✅ ЗАШЛО",W593*(P593-1),IF(Z593="❌ НЕ ЗАШЛО",-W593,IF(Z593="½ ЗАШЛО",W593*(P593-1)/2,IF(Z593="½ НЕ ЗАШЛО",-W593/2,IF(Z593="ВОЗВРАТ",0,""))))))</f>
        <v/>
      </c>
      <c r="AB593" s="18" t="str">
        <f aca="false">IF(AND(K593="ВИРТУАЛЬНЫЙ ВЫБОР",OR(Z593="✅ ЗАШЛО",Z593="❌ НЕ ЗАШЛО",Z593="½ ЗАШЛО",Z593="½ НЕ ЗАШЛО",Z593="ВОЗВРАТ")),W593,"")</f>
        <v/>
      </c>
      <c r="AC593" s="15"/>
      <c r="AD593" s="16" t="str">
        <f aca="false">IF(OR(AC593="",P593=""),"",P593/AC593-1)</f>
        <v/>
      </c>
      <c r="AE593" s="19" t="str">
        <f aca="false">IF(AND(M593=0,OR(Z593="✅ ЗАШЛО",Z593="❌ НЕ ЗАШЛО"),L593&lt;&gt;""),(L593-IF(Z593="✅ ЗАШЛО",1,0))^2,"")</f>
        <v/>
      </c>
      <c r="AF593" s="15"/>
      <c r="AG593" s="15"/>
      <c r="AH593" s="13"/>
      <c r="AI593" s="13"/>
      <c r="AJ593" s="13"/>
      <c r="AK593" s="20" t="str">
        <f aca="false">IF(AH593="","",IF(ABS(AH593+AI593+AJ593-1)&lt;0.000001,"OK","ОШИБКА"))</f>
        <v/>
      </c>
      <c r="AL593" s="13"/>
      <c r="AM593" s="12"/>
      <c r="AN593" s="12"/>
      <c r="AO593" s="12"/>
      <c r="AP593" s="12"/>
      <c r="AQ593" s="18" t="str">
        <f aca="false">IF(A593="","",N(AQ592)+N(AA593))</f>
        <v/>
      </c>
      <c r="AR593" s="18" t="str">
        <f aca="false">IF(AQ593="","",MAX(0,MAX($AQ$8:AQ593))-AQ593)</f>
        <v/>
      </c>
    </row>
    <row r="594" customFormat="false" ht="15" hidden="false" customHeight="fals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3"/>
      <c r="M594" s="13"/>
      <c r="N594" s="13"/>
      <c r="O594" s="14" t="str">
        <f aca="false">IF(OR(L594="",L594=0),"",(1-M594)/L594)</f>
        <v/>
      </c>
      <c r="P594" s="15"/>
      <c r="Q594" s="12"/>
      <c r="R594" s="12"/>
      <c r="S594" s="13"/>
      <c r="T594" s="16" t="str">
        <f aca="false">IF(OR(S594="",L594=""),"",L594/(1-M594)-S594)</f>
        <v/>
      </c>
      <c r="U594" s="16" t="str">
        <f aca="false">IF(OR(L594="",P594=""),"",L594*(P594-1)-N594)</f>
        <v/>
      </c>
      <c r="V594" s="13"/>
      <c r="W594" s="17"/>
      <c r="X594" s="12"/>
      <c r="Y594" s="12"/>
      <c r="Z594" s="12"/>
      <c r="AA594" s="18" t="str">
        <f aca="false">IF(K594&lt;&gt;"ВИРТУАЛЬНЫЙ ВЫБОР","",IF(Z594="✅ ЗАШЛО",W594*(P594-1),IF(Z594="❌ НЕ ЗАШЛО",-W594,IF(Z594="½ ЗАШЛО",W594*(P594-1)/2,IF(Z594="½ НЕ ЗАШЛО",-W594/2,IF(Z594="ВОЗВРАТ",0,""))))))</f>
        <v/>
      </c>
      <c r="AB594" s="18" t="str">
        <f aca="false">IF(AND(K594="ВИРТУАЛЬНЫЙ ВЫБОР",OR(Z594="✅ ЗАШЛО",Z594="❌ НЕ ЗАШЛО",Z594="½ ЗАШЛО",Z594="½ НЕ ЗАШЛО",Z594="ВОЗВРАТ")),W594,"")</f>
        <v/>
      </c>
      <c r="AC594" s="15"/>
      <c r="AD594" s="16" t="str">
        <f aca="false">IF(OR(AC594="",P594=""),"",P594/AC594-1)</f>
        <v/>
      </c>
      <c r="AE594" s="19" t="str">
        <f aca="false">IF(AND(M594=0,OR(Z594="✅ ЗАШЛО",Z594="❌ НЕ ЗАШЛО"),L594&lt;&gt;""),(L594-IF(Z594="✅ ЗАШЛО",1,0))^2,"")</f>
        <v/>
      </c>
      <c r="AF594" s="15"/>
      <c r="AG594" s="15"/>
      <c r="AH594" s="13"/>
      <c r="AI594" s="13"/>
      <c r="AJ594" s="13"/>
      <c r="AK594" s="20" t="str">
        <f aca="false">IF(AH594="","",IF(ABS(AH594+AI594+AJ594-1)&lt;0.000001,"OK","ОШИБКА"))</f>
        <v/>
      </c>
      <c r="AL594" s="13"/>
      <c r="AM594" s="12"/>
      <c r="AN594" s="12"/>
      <c r="AO594" s="12"/>
      <c r="AP594" s="12"/>
      <c r="AQ594" s="18" t="str">
        <f aca="false">IF(A594="","",N(AQ593)+N(AA594))</f>
        <v/>
      </c>
      <c r="AR594" s="18" t="str">
        <f aca="false">IF(AQ594="","",MAX(0,MAX($AQ$8:AQ594))-AQ594)</f>
        <v/>
      </c>
    </row>
    <row r="595" customFormat="false" ht="15" hidden="false" customHeight="fals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3"/>
      <c r="M595" s="13"/>
      <c r="N595" s="13"/>
      <c r="O595" s="14" t="str">
        <f aca="false">IF(OR(L595="",L595=0),"",(1-M595)/L595)</f>
        <v/>
      </c>
      <c r="P595" s="15"/>
      <c r="Q595" s="12"/>
      <c r="R595" s="12"/>
      <c r="S595" s="13"/>
      <c r="T595" s="16" t="str">
        <f aca="false">IF(OR(S595="",L595=""),"",L595/(1-M595)-S595)</f>
        <v/>
      </c>
      <c r="U595" s="16" t="str">
        <f aca="false">IF(OR(L595="",P595=""),"",L595*(P595-1)-N595)</f>
        <v/>
      </c>
      <c r="V595" s="13"/>
      <c r="W595" s="17"/>
      <c r="X595" s="12"/>
      <c r="Y595" s="12"/>
      <c r="Z595" s="12"/>
      <c r="AA595" s="18" t="str">
        <f aca="false">IF(K595&lt;&gt;"ВИРТУАЛЬНЫЙ ВЫБОР","",IF(Z595="✅ ЗАШЛО",W595*(P595-1),IF(Z595="❌ НЕ ЗАШЛО",-W595,IF(Z595="½ ЗАШЛО",W595*(P595-1)/2,IF(Z595="½ НЕ ЗАШЛО",-W595/2,IF(Z595="ВОЗВРАТ",0,""))))))</f>
        <v/>
      </c>
      <c r="AB595" s="18" t="str">
        <f aca="false">IF(AND(K595="ВИРТУАЛЬНЫЙ ВЫБОР",OR(Z595="✅ ЗАШЛО",Z595="❌ НЕ ЗАШЛО",Z595="½ ЗАШЛО",Z595="½ НЕ ЗАШЛО",Z595="ВОЗВРАТ")),W595,"")</f>
        <v/>
      </c>
      <c r="AC595" s="15"/>
      <c r="AD595" s="16" t="str">
        <f aca="false">IF(OR(AC595="",P595=""),"",P595/AC595-1)</f>
        <v/>
      </c>
      <c r="AE595" s="19" t="str">
        <f aca="false">IF(AND(M595=0,OR(Z595="✅ ЗАШЛО",Z595="❌ НЕ ЗАШЛО"),L595&lt;&gt;""),(L595-IF(Z595="✅ ЗАШЛО",1,0))^2,"")</f>
        <v/>
      </c>
      <c r="AF595" s="15"/>
      <c r="AG595" s="15"/>
      <c r="AH595" s="13"/>
      <c r="AI595" s="13"/>
      <c r="AJ595" s="13"/>
      <c r="AK595" s="20" t="str">
        <f aca="false">IF(AH595="","",IF(ABS(AH595+AI595+AJ595-1)&lt;0.000001,"OK","ОШИБКА"))</f>
        <v/>
      </c>
      <c r="AL595" s="13"/>
      <c r="AM595" s="12"/>
      <c r="AN595" s="12"/>
      <c r="AO595" s="12"/>
      <c r="AP595" s="12"/>
      <c r="AQ595" s="18" t="str">
        <f aca="false">IF(A595="","",N(AQ594)+N(AA595))</f>
        <v/>
      </c>
      <c r="AR595" s="18" t="str">
        <f aca="false">IF(AQ595="","",MAX(0,MAX($AQ$8:AQ595))-AQ595)</f>
        <v/>
      </c>
    </row>
    <row r="596" customFormat="false" ht="15" hidden="false" customHeight="fals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3"/>
      <c r="M596" s="13"/>
      <c r="N596" s="13"/>
      <c r="O596" s="14" t="str">
        <f aca="false">IF(OR(L596="",L596=0),"",(1-M596)/L596)</f>
        <v/>
      </c>
      <c r="P596" s="15"/>
      <c r="Q596" s="12"/>
      <c r="R596" s="12"/>
      <c r="S596" s="13"/>
      <c r="T596" s="16" t="str">
        <f aca="false">IF(OR(S596="",L596=""),"",L596/(1-M596)-S596)</f>
        <v/>
      </c>
      <c r="U596" s="16" t="str">
        <f aca="false">IF(OR(L596="",P596=""),"",L596*(P596-1)-N596)</f>
        <v/>
      </c>
      <c r="V596" s="13"/>
      <c r="W596" s="17"/>
      <c r="X596" s="12"/>
      <c r="Y596" s="12"/>
      <c r="Z596" s="12"/>
      <c r="AA596" s="18" t="str">
        <f aca="false">IF(K596&lt;&gt;"ВИРТУАЛЬНЫЙ ВЫБОР","",IF(Z596="✅ ЗАШЛО",W596*(P596-1),IF(Z596="❌ НЕ ЗАШЛО",-W596,IF(Z596="½ ЗАШЛО",W596*(P596-1)/2,IF(Z596="½ НЕ ЗАШЛО",-W596/2,IF(Z596="ВОЗВРАТ",0,""))))))</f>
        <v/>
      </c>
      <c r="AB596" s="18" t="str">
        <f aca="false">IF(AND(K596="ВИРТУАЛЬНЫЙ ВЫБОР",OR(Z596="✅ ЗАШЛО",Z596="❌ НЕ ЗАШЛО",Z596="½ ЗАШЛО",Z596="½ НЕ ЗАШЛО",Z596="ВОЗВРАТ")),W596,"")</f>
        <v/>
      </c>
      <c r="AC596" s="15"/>
      <c r="AD596" s="16" t="str">
        <f aca="false">IF(OR(AC596="",P596=""),"",P596/AC596-1)</f>
        <v/>
      </c>
      <c r="AE596" s="19" t="str">
        <f aca="false">IF(AND(M596=0,OR(Z596="✅ ЗАШЛО",Z596="❌ НЕ ЗАШЛО"),L596&lt;&gt;""),(L596-IF(Z596="✅ ЗАШЛО",1,0))^2,"")</f>
        <v/>
      </c>
      <c r="AF596" s="15"/>
      <c r="AG596" s="15"/>
      <c r="AH596" s="13"/>
      <c r="AI596" s="13"/>
      <c r="AJ596" s="13"/>
      <c r="AK596" s="20" t="str">
        <f aca="false">IF(AH596="","",IF(ABS(AH596+AI596+AJ596-1)&lt;0.000001,"OK","ОШИБКА"))</f>
        <v/>
      </c>
      <c r="AL596" s="13"/>
      <c r="AM596" s="12"/>
      <c r="AN596" s="12"/>
      <c r="AO596" s="12"/>
      <c r="AP596" s="12"/>
      <c r="AQ596" s="18" t="str">
        <f aca="false">IF(A596="","",N(AQ595)+N(AA596))</f>
        <v/>
      </c>
      <c r="AR596" s="18" t="str">
        <f aca="false">IF(AQ596="","",MAX(0,MAX($AQ$8:AQ596))-AQ596)</f>
        <v/>
      </c>
    </row>
    <row r="597" customFormat="false" ht="15" hidden="false" customHeight="fals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3"/>
      <c r="M597" s="13"/>
      <c r="N597" s="13"/>
      <c r="O597" s="14" t="str">
        <f aca="false">IF(OR(L597="",L597=0),"",(1-M597)/L597)</f>
        <v/>
      </c>
      <c r="P597" s="15"/>
      <c r="Q597" s="12"/>
      <c r="R597" s="12"/>
      <c r="S597" s="13"/>
      <c r="T597" s="16" t="str">
        <f aca="false">IF(OR(S597="",L597=""),"",L597/(1-M597)-S597)</f>
        <v/>
      </c>
      <c r="U597" s="16" t="str">
        <f aca="false">IF(OR(L597="",P597=""),"",L597*(P597-1)-N597)</f>
        <v/>
      </c>
      <c r="V597" s="13"/>
      <c r="W597" s="17"/>
      <c r="X597" s="12"/>
      <c r="Y597" s="12"/>
      <c r="Z597" s="12"/>
      <c r="AA597" s="18" t="str">
        <f aca="false">IF(K597&lt;&gt;"ВИРТУАЛЬНЫЙ ВЫБОР","",IF(Z597="✅ ЗАШЛО",W597*(P597-1),IF(Z597="❌ НЕ ЗАШЛО",-W597,IF(Z597="½ ЗАШЛО",W597*(P597-1)/2,IF(Z597="½ НЕ ЗАШЛО",-W597/2,IF(Z597="ВОЗВРАТ",0,""))))))</f>
        <v/>
      </c>
      <c r="AB597" s="18" t="str">
        <f aca="false">IF(AND(K597="ВИРТУАЛЬНЫЙ ВЫБОР",OR(Z597="✅ ЗАШЛО",Z597="❌ НЕ ЗАШЛО",Z597="½ ЗАШЛО",Z597="½ НЕ ЗАШЛО",Z597="ВОЗВРАТ")),W597,"")</f>
        <v/>
      </c>
      <c r="AC597" s="15"/>
      <c r="AD597" s="16" t="str">
        <f aca="false">IF(OR(AC597="",P597=""),"",P597/AC597-1)</f>
        <v/>
      </c>
      <c r="AE597" s="19" t="str">
        <f aca="false">IF(AND(M597=0,OR(Z597="✅ ЗАШЛО",Z597="❌ НЕ ЗАШЛО"),L597&lt;&gt;""),(L597-IF(Z597="✅ ЗАШЛО",1,0))^2,"")</f>
        <v/>
      </c>
      <c r="AF597" s="15"/>
      <c r="AG597" s="15"/>
      <c r="AH597" s="13"/>
      <c r="AI597" s="13"/>
      <c r="AJ597" s="13"/>
      <c r="AK597" s="20" t="str">
        <f aca="false">IF(AH597="","",IF(ABS(AH597+AI597+AJ597-1)&lt;0.000001,"OK","ОШИБКА"))</f>
        <v/>
      </c>
      <c r="AL597" s="13"/>
      <c r="AM597" s="12"/>
      <c r="AN597" s="12"/>
      <c r="AO597" s="12"/>
      <c r="AP597" s="12"/>
      <c r="AQ597" s="18" t="str">
        <f aca="false">IF(A597="","",N(AQ596)+N(AA597))</f>
        <v/>
      </c>
      <c r="AR597" s="18" t="str">
        <f aca="false">IF(AQ597="","",MAX(0,MAX($AQ$8:AQ597))-AQ597)</f>
        <v/>
      </c>
    </row>
    <row r="598" customFormat="false" ht="15" hidden="false" customHeight="fals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3"/>
      <c r="M598" s="13"/>
      <c r="N598" s="13"/>
      <c r="O598" s="14" t="str">
        <f aca="false">IF(OR(L598="",L598=0),"",(1-M598)/L598)</f>
        <v/>
      </c>
      <c r="P598" s="15"/>
      <c r="Q598" s="12"/>
      <c r="R598" s="12"/>
      <c r="S598" s="13"/>
      <c r="T598" s="16" t="str">
        <f aca="false">IF(OR(S598="",L598=""),"",L598/(1-M598)-S598)</f>
        <v/>
      </c>
      <c r="U598" s="16" t="str">
        <f aca="false">IF(OR(L598="",P598=""),"",L598*(P598-1)-N598)</f>
        <v/>
      </c>
      <c r="V598" s="13"/>
      <c r="W598" s="17"/>
      <c r="X598" s="12"/>
      <c r="Y598" s="12"/>
      <c r="Z598" s="12"/>
      <c r="AA598" s="18" t="str">
        <f aca="false">IF(K598&lt;&gt;"ВИРТУАЛЬНЫЙ ВЫБОР","",IF(Z598="✅ ЗАШЛО",W598*(P598-1),IF(Z598="❌ НЕ ЗАШЛО",-W598,IF(Z598="½ ЗАШЛО",W598*(P598-1)/2,IF(Z598="½ НЕ ЗАШЛО",-W598/2,IF(Z598="ВОЗВРАТ",0,""))))))</f>
        <v/>
      </c>
      <c r="AB598" s="18" t="str">
        <f aca="false">IF(AND(K598="ВИРТУАЛЬНЫЙ ВЫБОР",OR(Z598="✅ ЗАШЛО",Z598="❌ НЕ ЗАШЛО",Z598="½ ЗАШЛО",Z598="½ НЕ ЗАШЛО",Z598="ВОЗВРАТ")),W598,"")</f>
        <v/>
      </c>
      <c r="AC598" s="15"/>
      <c r="AD598" s="16" t="str">
        <f aca="false">IF(OR(AC598="",P598=""),"",P598/AC598-1)</f>
        <v/>
      </c>
      <c r="AE598" s="19" t="str">
        <f aca="false">IF(AND(M598=0,OR(Z598="✅ ЗАШЛО",Z598="❌ НЕ ЗАШЛО"),L598&lt;&gt;""),(L598-IF(Z598="✅ ЗАШЛО",1,0))^2,"")</f>
        <v/>
      </c>
      <c r="AF598" s="15"/>
      <c r="AG598" s="15"/>
      <c r="AH598" s="13"/>
      <c r="AI598" s="13"/>
      <c r="AJ598" s="13"/>
      <c r="AK598" s="20" t="str">
        <f aca="false">IF(AH598="","",IF(ABS(AH598+AI598+AJ598-1)&lt;0.000001,"OK","ОШИБКА"))</f>
        <v/>
      </c>
      <c r="AL598" s="13"/>
      <c r="AM598" s="12"/>
      <c r="AN598" s="12"/>
      <c r="AO598" s="12"/>
      <c r="AP598" s="12"/>
      <c r="AQ598" s="18" t="str">
        <f aca="false">IF(A598="","",N(AQ597)+N(AA598))</f>
        <v/>
      </c>
      <c r="AR598" s="18" t="str">
        <f aca="false">IF(AQ598="","",MAX(0,MAX($AQ$8:AQ598))-AQ598)</f>
        <v/>
      </c>
    </row>
    <row r="599" customFormat="false" ht="15" hidden="false" customHeight="fals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3"/>
      <c r="M599" s="13"/>
      <c r="N599" s="13"/>
      <c r="O599" s="14" t="str">
        <f aca="false">IF(OR(L599="",L599=0),"",(1-M599)/L599)</f>
        <v/>
      </c>
      <c r="P599" s="15"/>
      <c r="Q599" s="12"/>
      <c r="R599" s="12"/>
      <c r="S599" s="13"/>
      <c r="T599" s="16" t="str">
        <f aca="false">IF(OR(S599="",L599=""),"",L599/(1-M599)-S599)</f>
        <v/>
      </c>
      <c r="U599" s="16" t="str">
        <f aca="false">IF(OR(L599="",P599=""),"",L599*(P599-1)-N599)</f>
        <v/>
      </c>
      <c r="V599" s="13"/>
      <c r="W599" s="17"/>
      <c r="X599" s="12"/>
      <c r="Y599" s="12"/>
      <c r="Z599" s="12"/>
      <c r="AA599" s="18" t="str">
        <f aca="false">IF(K599&lt;&gt;"ВИРТУАЛЬНЫЙ ВЫБОР","",IF(Z599="✅ ЗАШЛО",W599*(P599-1),IF(Z599="❌ НЕ ЗАШЛО",-W599,IF(Z599="½ ЗАШЛО",W599*(P599-1)/2,IF(Z599="½ НЕ ЗАШЛО",-W599/2,IF(Z599="ВОЗВРАТ",0,""))))))</f>
        <v/>
      </c>
      <c r="AB599" s="18" t="str">
        <f aca="false">IF(AND(K599="ВИРТУАЛЬНЫЙ ВЫБОР",OR(Z599="✅ ЗАШЛО",Z599="❌ НЕ ЗАШЛО",Z599="½ ЗАШЛО",Z599="½ НЕ ЗАШЛО",Z599="ВОЗВРАТ")),W599,"")</f>
        <v/>
      </c>
      <c r="AC599" s="15"/>
      <c r="AD599" s="16" t="str">
        <f aca="false">IF(OR(AC599="",P599=""),"",P599/AC599-1)</f>
        <v/>
      </c>
      <c r="AE599" s="19" t="str">
        <f aca="false">IF(AND(M599=0,OR(Z599="✅ ЗАШЛО",Z599="❌ НЕ ЗАШЛО"),L599&lt;&gt;""),(L599-IF(Z599="✅ ЗАШЛО",1,0))^2,"")</f>
        <v/>
      </c>
      <c r="AF599" s="15"/>
      <c r="AG599" s="15"/>
      <c r="AH599" s="13"/>
      <c r="AI599" s="13"/>
      <c r="AJ599" s="13"/>
      <c r="AK599" s="20" t="str">
        <f aca="false">IF(AH599="","",IF(ABS(AH599+AI599+AJ599-1)&lt;0.000001,"OK","ОШИБКА"))</f>
        <v/>
      </c>
      <c r="AL599" s="13"/>
      <c r="AM599" s="12"/>
      <c r="AN599" s="12"/>
      <c r="AO599" s="12"/>
      <c r="AP599" s="12"/>
      <c r="AQ599" s="18" t="str">
        <f aca="false">IF(A599="","",N(AQ598)+N(AA599))</f>
        <v/>
      </c>
      <c r="AR599" s="18" t="str">
        <f aca="false">IF(AQ599="","",MAX(0,MAX($AQ$8:AQ599))-AQ599)</f>
        <v/>
      </c>
    </row>
    <row r="600" customFormat="false" ht="15" hidden="false" customHeight="fals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3"/>
      <c r="M600" s="13"/>
      <c r="N600" s="13"/>
      <c r="O600" s="14" t="str">
        <f aca="false">IF(OR(L600="",L600=0),"",(1-M600)/L600)</f>
        <v/>
      </c>
      <c r="P600" s="15"/>
      <c r="Q600" s="12"/>
      <c r="R600" s="12"/>
      <c r="S600" s="13"/>
      <c r="T600" s="16" t="str">
        <f aca="false">IF(OR(S600="",L600=""),"",L600/(1-M600)-S600)</f>
        <v/>
      </c>
      <c r="U600" s="16" t="str">
        <f aca="false">IF(OR(L600="",P600=""),"",L600*(P600-1)-N600)</f>
        <v/>
      </c>
      <c r="V600" s="13"/>
      <c r="W600" s="17"/>
      <c r="X600" s="12"/>
      <c r="Y600" s="12"/>
      <c r="Z600" s="12"/>
      <c r="AA600" s="18" t="str">
        <f aca="false">IF(K600&lt;&gt;"ВИРТУАЛЬНЫЙ ВЫБОР","",IF(Z600="✅ ЗАШЛО",W600*(P600-1),IF(Z600="❌ НЕ ЗАШЛО",-W600,IF(Z600="½ ЗАШЛО",W600*(P600-1)/2,IF(Z600="½ НЕ ЗАШЛО",-W600/2,IF(Z600="ВОЗВРАТ",0,""))))))</f>
        <v/>
      </c>
      <c r="AB600" s="18" t="str">
        <f aca="false">IF(AND(K600="ВИРТУАЛЬНЫЙ ВЫБОР",OR(Z600="✅ ЗАШЛО",Z600="❌ НЕ ЗАШЛО",Z600="½ ЗАШЛО",Z600="½ НЕ ЗАШЛО",Z600="ВОЗВРАТ")),W600,"")</f>
        <v/>
      </c>
      <c r="AC600" s="15"/>
      <c r="AD600" s="16" t="str">
        <f aca="false">IF(OR(AC600="",P600=""),"",P600/AC600-1)</f>
        <v/>
      </c>
      <c r="AE600" s="19" t="str">
        <f aca="false">IF(AND(M600=0,OR(Z600="✅ ЗАШЛО",Z600="❌ НЕ ЗАШЛО"),L600&lt;&gt;""),(L600-IF(Z600="✅ ЗАШЛО",1,0))^2,"")</f>
        <v/>
      </c>
      <c r="AF600" s="15"/>
      <c r="AG600" s="15"/>
      <c r="AH600" s="13"/>
      <c r="AI600" s="13"/>
      <c r="AJ600" s="13"/>
      <c r="AK600" s="20" t="str">
        <f aca="false">IF(AH600="","",IF(ABS(AH600+AI600+AJ600-1)&lt;0.000001,"OK","ОШИБКА"))</f>
        <v/>
      </c>
      <c r="AL600" s="13"/>
      <c r="AM600" s="12"/>
      <c r="AN600" s="12"/>
      <c r="AO600" s="12"/>
      <c r="AP600" s="12"/>
      <c r="AQ600" s="18" t="str">
        <f aca="false">IF(A600="","",N(AQ599)+N(AA600))</f>
        <v/>
      </c>
      <c r="AR600" s="18" t="str">
        <f aca="false">IF(AQ600="","",MAX(0,MAX($AQ$8:AQ600))-AQ600)</f>
        <v/>
      </c>
    </row>
    <row r="601" customFormat="false" ht="15" hidden="false" customHeight="fals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3"/>
      <c r="M601" s="13"/>
      <c r="N601" s="13"/>
      <c r="O601" s="14" t="str">
        <f aca="false">IF(OR(L601="",L601=0),"",(1-M601)/L601)</f>
        <v/>
      </c>
      <c r="P601" s="15"/>
      <c r="Q601" s="12"/>
      <c r="R601" s="12"/>
      <c r="S601" s="13"/>
      <c r="T601" s="16" t="str">
        <f aca="false">IF(OR(S601="",L601=""),"",L601/(1-M601)-S601)</f>
        <v/>
      </c>
      <c r="U601" s="16" t="str">
        <f aca="false">IF(OR(L601="",P601=""),"",L601*(P601-1)-N601)</f>
        <v/>
      </c>
      <c r="V601" s="13"/>
      <c r="W601" s="17"/>
      <c r="X601" s="12"/>
      <c r="Y601" s="12"/>
      <c r="Z601" s="12"/>
      <c r="AA601" s="18" t="str">
        <f aca="false">IF(K601&lt;&gt;"ВИРТУАЛЬНЫЙ ВЫБОР","",IF(Z601="✅ ЗАШЛО",W601*(P601-1),IF(Z601="❌ НЕ ЗАШЛО",-W601,IF(Z601="½ ЗАШЛО",W601*(P601-1)/2,IF(Z601="½ НЕ ЗАШЛО",-W601/2,IF(Z601="ВОЗВРАТ",0,""))))))</f>
        <v/>
      </c>
      <c r="AB601" s="18" t="str">
        <f aca="false">IF(AND(K601="ВИРТУАЛЬНЫЙ ВЫБОР",OR(Z601="✅ ЗАШЛО",Z601="❌ НЕ ЗАШЛО",Z601="½ ЗАШЛО",Z601="½ НЕ ЗАШЛО",Z601="ВОЗВРАТ")),W601,"")</f>
        <v/>
      </c>
      <c r="AC601" s="15"/>
      <c r="AD601" s="16" t="str">
        <f aca="false">IF(OR(AC601="",P601=""),"",P601/AC601-1)</f>
        <v/>
      </c>
      <c r="AE601" s="19" t="str">
        <f aca="false">IF(AND(M601=0,OR(Z601="✅ ЗАШЛО",Z601="❌ НЕ ЗАШЛО"),L601&lt;&gt;""),(L601-IF(Z601="✅ ЗАШЛО",1,0))^2,"")</f>
        <v/>
      </c>
      <c r="AF601" s="15"/>
      <c r="AG601" s="15"/>
      <c r="AH601" s="13"/>
      <c r="AI601" s="13"/>
      <c r="AJ601" s="13"/>
      <c r="AK601" s="20" t="str">
        <f aca="false">IF(AH601="","",IF(ABS(AH601+AI601+AJ601-1)&lt;0.000001,"OK","ОШИБКА"))</f>
        <v/>
      </c>
      <c r="AL601" s="13"/>
      <c r="AM601" s="12"/>
      <c r="AN601" s="12"/>
      <c r="AO601" s="12"/>
      <c r="AP601" s="12"/>
      <c r="AQ601" s="18" t="str">
        <f aca="false">IF(A601="","",N(AQ600)+N(AA601))</f>
        <v/>
      </c>
      <c r="AR601" s="18" t="str">
        <f aca="false">IF(AQ601="","",MAX(0,MAX($AQ$8:AQ601))-AQ601)</f>
        <v/>
      </c>
    </row>
    <row r="602" customFormat="false" ht="15" hidden="false" customHeight="fals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3"/>
      <c r="M602" s="13"/>
      <c r="N602" s="13"/>
      <c r="O602" s="14" t="str">
        <f aca="false">IF(OR(L602="",L602=0),"",(1-M602)/L602)</f>
        <v/>
      </c>
      <c r="P602" s="15"/>
      <c r="Q602" s="12"/>
      <c r="R602" s="12"/>
      <c r="S602" s="13"/>
      <c r="T602" s="16" t="str">
        <f aca="false">IF(OR(S602="",L602=""),"",L602/(1-M602)-S602)</f>
        <v/>
      </c>
      <c r="U602" s="16" t="str">
        <f aca="false">IF(OR(L602="",P602=""),"",L602*(P602-1)-N602)</f>
        <v/>
      </c>
      <c r="V602" s="13"/>
      <c r="W602" s="17"/>
      <c r="X602" s="12"/>
      <c r="Y602" s="12"/>
      <c r="Z602" s="12"/>
      <c r="AA602" s="18" t="str">
        <f aca="false">IF(K602&lt;&gt;"ВИРТУАЛЬНЫЙ ВЫБОР","",IF(Z602="✅ ЗАШЛО",W602*(P602-1),IF(Z602="❌ НЕ ЗАШЛО",-W602,IF(Z602="½ ЗАШЛО",W602*(P602-1)/2,IF(Z602="½ НЕ ЗАШЛО",-W602/2,IF(Z602="ВОЗВРАТ",0,""))))))</f>
        <v/>
      </c>
      <c r="AB602" s="18" t="str">
        <f aca="false">IF(AND(K602="ВИРТУАЛЬНЫЙ ВЫБОР",OR(Z602="✅ ЗАШЛО",Z602="❌ НЕ ЗАШЛО",Z602="½ ЗАШЛО",Z602="½ НЕ ЗАШЛО",Z602="ВОЗВРАТ")),W602,"")</f>
        <v/>
      </c>
      <c r="AC602" s="15"/>
      <c r="AD602" s="16" t="str">
        <f aca="false">IF(OR(AC602="",P602=""),"",P602/AC602-1)</f>
        <v/>
      </c>
      <c r="AE602" s="19" t="str">
        <f aca="false">IF(AND(M602=0,OR(Z602="✅ ЗАШЛО",Z602="❌ НЕ ЗАШЛО"),L602&lt;&gt;""),(L602-IF(Z602="✅ ЗАШЛО",1,0))^2,"")</f>
        <v/>
      </c>
      <c r="AF602" s="15"/>
      <c r="AG602" s="15"/>
      <c r="AH602" s="13"/>
      <c r="AI602" s="13"/>
      <c r="AJ602" s="13"/>
      <c r="AK602" s="20" t="str">
        <f aca="false">IF(AH602="","",IF(ABS(AH602+AI602+AJ602-1)&lt;0.000001,"OK","ОШИБКА"))</f>
        <v/>
      </c>
      <c r="AL602" s="13"/>
      <c r="AM602" s="12"/>
      <c r="AN602" s="12"/>
      <c r="AO602" s="12"/>
      <c r="AP602" s="12"/>
      <c r="AQ602" s="18" t="str">
        <f aca="false">IF(A602="","",N(AQ601)+N(AA602))</f>
        <v/>
      </c>
      <c r="AR602" s="18" t="str">
        <f aca="false">IF(AQ602="","",MAX(0,MAX($AQ$8:AQ602))-AQ602)</f>
        <v/>
      </c>
    </row>
    <row r="603" customFormat="false" ht="15" hidden="false" customHeight="fals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3"/>
      <c r="M603" s="13"/>
      <c r="N603" s="13"/>
      <c r="O603" s="14" t="str">
        <f aca="false">IF(OR(L603="",L603=0),"",(1-M603)/L603)</f>
        <v/>
      </c>
      <c r="P603" s="15"/>
      <c r="Q603" s="12"/>
      <c r="R603" s="12"/>
      <c r="S603" s="13"/>
      <c r="T603" s="16" t="str">
        <f aca="false">IF(OR(S603="",L603=""),"",L603/(1-M603)-S603)</f>
        <v/>
      </c>
      <c r="U603" s="16" t="str">
        <f aca="false">IF(OR(L603="",P603=""),"",L603*(P603-1)-N603)</f>
        <v/>
      </c>
      <c r="V603" s="13"/>
      <c r="W603" s="17"/>
      <c r="X603" s="12"/>
      <c r="Y603" s="12"/>
      <c r="Z603" s="12"/>
      <c r="AA603" s="18" t="str">
        <f aca="false">IF(K603&lt;&gt;"ВИРТУАЛЬНЫЙ ВЫБОР","",IF(Z603="✅ ЗАШЛО",W603*(P603-1),IF(Z603="❌ НЕ ЗАШЛО",-W603,IF(Z603="½ ЗАШЛО",W603*(P603-1)/2,IF(Z603="½ НЕ ЗАШЛО",-W603/2,IF(Z603="ВОЗВРАТ",0,""))))))</f>
        <v/>
      </c>
      <c r="AB603" s="18" t="str">
        <f aca="false">IF(AND(K603="ВИРТУАЛЬНЫЙ ВЫБОР",OR(Z603="✅ ЗАШЛО",Z603="❌ НЕ ЗАШЛО",Z603="½ ЗАШЛО",Z603="½ НЕ ЗАШЛО",Z603="ВОЗВРАТ")),W603,"")</f>
        <v/>
      </c>
      <c r="AC603" s="15"/>
      <c r="AD603" s="16" t="str">
        <f aca="false">IF(OR(AC603="",P603=""),"",P603/AC603-1)</f>
        <v/>
      </c>
      <c r="AE603" s="19" t="str">
        <f aca="false">IF(AND(M603=0,OR(Z603="✅ ЗАШЛО",Z603="❌ НЕ ЗАШЛО"),L603&lt;&gt;""),(L603-IF(Z603="✅ ЗАШЛО",1,0))^2,"")</f>
        <v/>
      </c>
      <c r="AF603" s="15"/>
      <c r="AG603" s="15"/>
      <c r="AH603" s="13"/>
      <c r="AI603" s="13"/>
      <c r="AJ603" s="13"/>
      <c r="AK603" s="20" t="str">
        <f aca="false">IF(AH603="","",IF(ABS(AH603+AI603+AJ603-1)&lt;0.000001,"OK","ОШИБКА"))</f>
        <v/>
      </c>
      <c r="AL603" s="13"/>
      <c r="AM603" s="12"/>
      <c r="AN603" s="12"/>
      <c r="AO603" s="12"/>
      <c r="AP603" s="12"/>
      <c r="AQ603" s="18" t="str">
        <f aca="false">IF(A603="","",N(AQ602)+N(AA603))</f>
        <v/>
      </c>
      <c r="AR603" s="18" t="str">
        <f aca="false">IF(AQ603="","",MAX(0,MAX($AQ$8:AQ603))-AQ603)</f>
        <v/>
      </c>
    </row>
    <row r="604" customFormat="false" ht="15" hidden="false" customHeight="fals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3"/>
      <c r="M604" s="13"/>
      <c r="N604" s="13"/>
      <c r="O604" s="14" t="str">
        <f aca="false">IF(OR(L604="",L604=0),"",(1-M604)/L604)</f>
        <v/>
      </c>
      <c r="P604" s="15"/>
      <c r="Q604" s="12"/>
      <c r="R604" s="12"/>
      <c r="S604" s="13"/>
      <c r="T604" s="16" t="str">
        <f aca="false">IF(OR(S604="",L604=""),"",L604/(1-M604)-S604)</f>
        <v/>
      </c>
      <c r="U604" s="16" t="str">
        <f aca="false">IF(OR(L604="",P604=""),"",L604*(P604-1)-N604)</f>
        <v/>
      </c>
      <c r="V604" s="13"/>
      <c r="W604" s="17"/>
      <c r="X604" s="12"/>
      <c r="Y604" s="12"/>
      <c r="Z604" s="12"/>
      <c r="AA604" s="18" t="str">
        <f aca="false">IF(K604&lt;&gt;"ВИРТУАЛЬНЫЙ ВЫБОР","",IF(Z604="✅ ЗАШЛО",W604*(P604-1),IF(Z604="❌ НЕ ЗАШЛО",-W604,IF(Z604="½ ЗАШЛО",W604*(P604-1)/2,IF(Z604="½ НЕ ЗАШЛО",-W604/2,IF(Z604="ВОЗВРАТ",0,""))))))</f>
        <v/>
      </c>
      <c r="AB604" s="18" t="str">
        <f aca="false">IF(AND(K604="ВИРТУАЛЬНЫЙ ВЫБОР",OR(Z604="✅ ЗАШЛО",Z604="❌ НЕ ЗАШЛО",Z604="½ ЗАШЛО",Z604="½ НЕ ЗАШЛО",Z604="ВОЗВРАТ")),W604,"")</f>
        <v/>
      </c>
      <c r="AC604" s="15"/>
      <c r="AD604" s="16" t="str">
        <f aca="false">IF(OR(AC604="",P604=""),"",P604/AC604-1)</f>
        <v/>
      </c>
      <c r="AE604" s="19" t="str">
        <f aca="false">IF(AND(M604=0,OR(Z604="✅ ЗАШЛО",Z604="❌ НЕ ЗАШЛО"),L604&lt;&gt;""),(L604-IF(Z604="✅ ЗАШЛО",1,0))^2,"")</f>
        <v/>
      </c>
      <c r="AF604" s="15"/>
      <c r="AG604" s="15"/>
      <c r="AH604" s="13"/>
      <c r="AI604" s="13"/>
      <c r="AJ604" s="13"/>
      <c r="AK604" s="20" t="str">
        <f aca="false">IF(AH604="","",IF(ABS(AH604+AI604+AJ604-1)&lt;0.000001,"OK","ОШИБКА"))</f>
        <v/>
      </c>
      <c r="AL604" s="13"/>
      <c r="AM604" s="12"/>
      <c r="AN604" s="12"/>
      <c r="AO604" s="12"/>
      <c r="AP604" s="12"/>
      <c r="AQ604" s="18" t="str">
        <f aca="false">IF(A604="","",N(AQ603)+N(AA604))</f>
        <v/>
      </c>
      <c r="AR604" s="18" t="str">
        <f aca="false">IF(AQ604="","",MAX(0,MAX($AQ$8:AQ604))-AQ604)</f>
        <v/>
      </c>
    </row>
    <row r="605" customFormat="false" ht="15" hidden="false" customHeight="fals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3"/>
      <c r="M605" s="13"/>
      <c r="N605" s="13"/>
      <c r="O605" s="14" t="str">
        <f aca="false">IF(OR(L605="",L605=0),"",(1-M605)/L605)</f>
        <v/>
      </c>
      <c r="P605" s="15"/>
      <c r="Q605" s="12"/>
      <c r="R605" s="12"/>
      <c r="S605" s="13"/>
      <c r="T605" s="16" t="str">
        <f aca="false">IF(OR(S605="",L605=""),"",L605/(1-M605)-S605)</f>
        <v/>
      </c>
      <c r="U605" s="16" t="str">
        <f aca="false">IF(OR(L605="",P605=""),"",L605*(P605-1)-N605)</f>
        <v/>
      </c>
      <c r="V605" s="13"/>
      <c r="W605" s="17"/>
      <c r="X605" s="12"/>
      <c r="Y605" s="12"/>
      <c r="Z605" s="12"/>
      <c r="AA605" s="18" t="str">
        <f aca="false">IF(K605&lt;&gt;"ВИРТУАЛЬНЫЙ ВЫБОР","",IF(Z605="✅ ЗАШЛО",W605*(P605-1),IF(Z605="❌ НЕ ЗАШЛО",-W605,IF(Z605="½ ЗАШЛО",W605*(P605-1)/2,IF(Z605="½ НЕ ЗАШЛО",-W605/2,IF(Z605="ВОЗВРАТ",0,""))))))</f>
        <v/>
      </c>
      <c r="AB605" s="18" t="str">
        <f aca="false">IF(AND(K605="ВИРТУАЛЬНЫЙ ВЫБОР",OR(Z605="✅ ЗАШЛО",Z605="❌ НЕ ЗАШЛО",Z605="½ ЗАШЛО",Z605="½ НЕ ЗАШЛО",Z605="ВОЗВРАТ")),W605,"")</f>
        <v/>
      </c>
      <c r="AC605" s="15"/>
      <c r="AD605" s="16" t="str">
        <f aca="false">IF(OR(AC605="",P605=""),"",P605/AC605-1)</f>
        <v/>
      </c>
      <c r="AE605" s="19" t="str">
        <f aca="false">IF(AND(M605=0,OR(Z605="✅ ЗАШЛО",Z605="❌ НЕ ЗАШЛО"),L605&lt;&gt;""),(L605-IF(Z605="✅ ЗАШЛО",1,0))^2,"")</f>
        <v/>
      </c>
      <c r="AF605" s="15"/>
      <c r="AG605" s="15"/>
      <c r="AH605" s="13"/>
      <c r="AI605" s="13"/>
      <c r="AJ605" s="13"/>
      <c r="AK605" s="20" t="str">
        <f aca="false">IF(AH605="","",IF(ABS(AH605+AI605+AJ605-1)&lt;0.000001,"OK","ОШИБКА"))</f>
        <v/>
      </c>
      <c r="AL605" s="13"/>
      <c r="AM605" s="12"/>
      <c r="AN605" s="12"/>
      <c r="AO605" s="12"/>
      <c r="AP605" s="12"/>
      <c r="AQ605" s="18" t="str">
        <f aca="false">IF(A605="","",N(AQ604)+N(AA605))</f>
        <v/>
      </c>
      <c r="AR605" s="18" t="str">
        <f aca="false">IF(AQ605="","",MAX(0,MAX($AQ$8:AQ605))-AQ605)</f>
        <v/>
      </c>
    </row>
    <row r="606" customFormat="false" ht="15" hidden="false" customHeight="fals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3"/>
      <c r="M606" s="13"/>
      <c r="N606" s="13"/>
      <c r="O606" s="14" t="str">
        <f aca="false">IF(OR(L606="",L606=0),"",(1-M606)/L606)</f>
        <v/>
      </c>
      <c r="P606" s="15"/>
      <c r="Q606" s="12"/>
      <c r="R606" s="12"/>
      <c r="S606" s="13"/>
      <c r="T606" s="16" t="str">
        <f aca="false">IF(OR(S606="",L606=""),"",L606/(1-M606)-S606)</f>
        <v/>
      </c>
      <c r="U606" s="16" t="str">
        <f aca="false">IF(OR(L606="",P606=""),"",L606*(P606-1)-N606)</f>
        <v/>
      </c>
      <c r="V606" s="13"/>
      <c r="W606" s="17"/>
      <c r="X606" s="12"/>
      <c r="Y606" s="12"/>
      <c r="Z606" s="12"/>
      <c r="AA606" s="18" t="str">
        <f aca="false">IF(K606&lt;&gt;"ВИРТУАЛЬНЫЙ ВЫБОР","",IF(Z606="✅ ЗАШЛО",W606*(P606-1),IF(Z606="❌ НЕ ЗАШЛО",-W606,IF(Z606="½ ЗАШЛО",W606*(P606-1)/2,IF(Z606="½ НЕ ЗАШЛО",-W606/2,IF(Z606="ВОЗВРАТ",0,""))))))</f>
        <v/>
      </c>
      <c r="AB606" s="18" t="str">
        <f aca="false">IF(AND(K606="ВИРТУАЛЬНЫЙ ВЫБОР",OR(Z606="✅ ЗАШЛО",Z606="❌ НЕ ЗАШЛО",Z606="½ ЗАШЛО",Z606="½ НЕ ЗАШЛО",Z606="ВОЗВРАТ")),W606,"")</f>
        <v/>
      </c>
      <c r="AC606" s="15"/>
      <c r="AD606" s="16" t="str">
        <f aca="false">IF(OR(AC606="",P606=""),"",P606/AC606-1)</f>
        <v/>
      </c>
      <c r="AE606" s="19" t="str">
        <f aca="false">IF(AND(M606=0,OR(Z606="✅ ЗАШЛО",Z606="❌ НЕ ЗАШЛО"),L606&lt;&gt;""),(L606-IF(Z606="✅ ЗАШЛО",1,0))^2,"")</f>
        <v/>
      </c>
      <c r="AF606" s="15"/>
      <c r="AG606" s="15"/>
      <c r="AH606" s="13"/>
      <c r="AI606" s="13"/>
      <c r="AJ606" s="13"/>
      <c r="AK606" s="20" t="str">
        <f aca="false">IF(AH606="","",IF(ABS(AH606+AI606+AJ606-1)&lt;0.000001,"OK","ОШИБКА"))</f>
        <v/>
      </c>
      <c r="AL606" s="13"/>
      <c r="AM606" s="12"/>
      <c r="AN606" s="12"/>
      <c r="AO606" s="12"/>
      <c r="AP606" s="12"/>
      <c r="AQ606" s="18" t="str">
        <f aca="false">IF(A606="","",N(AQ605)+N(AA606))</f>
        <v/>
      </c>
      <c r="AR606" s="18" t="str">
        <f aca="false">IF(AQ606="","",MAX(0,MAX($AQ$8:AQ606))-AQ606)</f>
        <v/>
      </c>
    </row>
    <row r="607" customFormat="false" ht="15" hidden="false" customHeight="fals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3"/>
      <c r="M607" s="13"/>
      <c r="N607" s="13"/>
      <c r="O607" s="14" t="str">
        <f aca="false">IF(OR(L607="",L607=0),"",(1-M607)/L607)</f>
        <v/>
      </c>
      <c r="P607" s="15"/>
      <c r="Q607" s="12"/>
      <c r="R607" s="12"/>
      <c r="S607" s="13"/>
      <c r="T607" s="16" t="str">
        <f aca="false">IF(OR(S607="",L607=""),"",L607/(1-M607)-S607)</f>
        <v/>
      </c>
      <c r="U607" s="16" t="str">
        <f aca="false">IF(OR(L607="",P607=""),"",L607*(P607-1)-N607)</f>
        <v/>
      </c>
      <c r="V607" s="13"/>
      <c r="W607" s="17"/>
      <c r="X607" s="12"/>
      <c r="Y607" s="12"/>
      <c r="Z607" s="12"/>
      <c r="AA607" s="18" t="str">
        <f aca="false">IF(K607&lt;&gt;"ВИРТУАЛЬНЫЙ ВЫБОР","",IF(Z607="✅ ЗАШЛО",W607*(P607-1),IF(Z607="❌ НЕ ЗАШЛО",-W607,IF(Z607="½ ЗАШЛО",W607*(P607-1)/2,IF(Z607="½ НЕ ЗАШЛО",-W607/2,IF(Z607="ВОЗВРАТ",0,""))))))</f>
        <v/>
      </c>
      <c r="AB607" s="18" t="str">
        <f aca="false">IF(AND(K607="ВИРТУАЛЬНЫЙ ВЫБОР",OR(Z607="✅ ЗАШЛО",Z607="❌ НЕ ЗАШЛО",Z607="½ ЗАШЛО",Z607="½ НЕ ЗАШЛО",Z607="ВОЗВРАТ")),W607,"")</f>
        <v/>
      </c>
      <c r="AC607" s="15"/>
      <c r="AD607" s="16" t="str">
        <f aca="false">IF(OR(AC607="",P607=""),"",P607/AC607-1)</f>
        <v/>
      </c>
      <c r="AE607" s="19" t="str">
        <f aca="false">IF(AND(M607=0,OR(Z607="✅ ЗАШЛО",Z607="❌ НЕ ЗАШЛО"),L607&lt;&gt;""),(L607-IF(Z607="✅ ЗАШЛО",1,0))^2,"")</f>
        <v/>
      </c>
      <c r="AF607" s="15"/>
      <c r="AG607" s="15"/>
      <c r="AH607" s="13"/>
      <c r="AI607" s="13"/>
      <c r="AJ607" s="13"/>
      <c r="AK607" s="20" t="str">
        <f aca="false">IF(AH607="","",IF(ABS(AH607+AI607+AJ607-1)&lt;0.000001,"OK","ОШИБКА"))</f>
        <v/>
      </c>
      <c r="AL607" s="13"/>
      <c r="AM607" s="12"/>
      <c r="AN607" s="12"/>
      <c r="AO607" s="12"/>
      <c r="AP607" s="12"/>
      <c r="AQ607" s="18" t="str">
        <f aca="false">IF(A607="","",N(AQ606)+N(AA607))</f>
        <v/>
      </c>
      <c r="AR607" s="18" t="str">
        <f aca="false">IF(AQ607="","",MAX(0,MAX($AQ$8:AQ607))-AQ607)</f>
        <v/>
      </c>
    </row>
    <row r="608" customFormat="false" ht="15" hidden="false" customHeight="fals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3"/>
      <c r="M608" s="13"/>
      <c r="N608" s="13"/>
      <c r="O608" s="14" t="str">
        <f aca="false">IF(OR(L608="",L608=0),"",(1-M608)/L608)</f>
        <v/>
      </c>
      <c r="P608" s="15"/>
      <c r="Q608" s="12"/>
      <c r="R608" s="12"/>
      <c r="S608" s="13"/>
      <c r="T608" s="16" t="str">
        <f aca="false">IF(OR(S608="",L608=""),"",L608/(1-M608)-S608)</f>
        <v/>
      </c>
      <c r="U608" s="16" t="str">
        <f aca="false">IF(OR(L608="",P608=""),"",L608*(P608-1)-N608)</f>
        <v/>
      </c>
      <c r="V608" s="13"/>
      <c r="W608" s="17"/>
      <c r="X608" s="12"/>
      <c r="Y608" s="12"/>
      <c r="Z608" s="12"/>
      <c r="AA608" s="18" t="str">
        <f aca="false">IF(K608&lt;&gt;"ВИРТУАЛЬНЫЙ ВЫБОР","",IF(Z608="✅ ЗАШЛО",W608*(P608-1),IF(Z608="❌ НЕ ЗАШЛО",-W608,IF(Z608="½ ЗАШЛО",W608*(P608-1)/2,IF(Z608="½ НЕ ЗАШЛО",-W608/2,IF(Z608="ВОЗВРАТ",0,""))))))</f>
        <v/>
      </c>
      <c r="AB608" s="18" t="str">
        <f aca="false">IF(AND(K608="ВИРТУАЛЬНЫЙ ВЫБОР",OR(Z608="✅ ЗАШЛО",Z608="❌ НЕ ЗАШЛО",Z608="½ ЗАШЛО",Z608="½ НЕ ЗАШЛО",Z608="ВОЗВРАТ")),W608,"")</f>
        <v/>
      </c>
      <c r="AC608" s="15"/>
      <c r="AD608" s="16" t="str">
        <f aca="false">IF(OR(AC608="",P608=""),"",P608/AC608-1)</f>
        <v/>
      </c>
      <c r="AE608" s="19" t="str">
        <f aca="false">IF(AND(M608=0,OR(Z608="✅ ЗАШЛО",Z608="❌ НЕ ЗАШЛО"),L608&lt;&gt;""),(L608-IF(Z608="✅ ЗАШЛО",1,0))^2,"")</f>
        <v/>
      </c>
      <c r="AF608" s="15"/>
      <c r="AG608" s="15"/>
      <c r="AH608" s="13"/>
      <c r="AI608" s="13"/>
      <c r="AJ608" s="13"/>
      <c r="AK608" s="20" t="str">
        <f aca="false">IF(AH608="","",IF(ABS(AH608+AI608+AJ608-1)&lt;0.000001,"OK","ОШИБКА"))</f>
        <v/>
      </c>
      <c r="AL608" s="13"/>
      <c r="AM608" s="12"/>
      <c r="AN608" s="12"/>
      <c r="AO608" s="12"/>
      <c r="AP608" s="12"/>
      <c r="AQ608" s="18" t="str">
        <f aca="false">IF(A608="","",N(AQ607)+N(AA608))</f>
        <v/>
      </c>
      <c r="AR608" s="18" t="str">
        <f aca="false">IF(AQ608="","",MAX(0,MAX($AQ$8:AQ608))-AQ608)</f>
        <v/>
      </c>
    </row>
    <row r="609" customFormat="false" ht="15" hidden="false" customHeight="fals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3"/>
      <c r="M609" s="13"/>
      <c r="N609" s="13"/>
      <c r="O609" s="14" t="str">
        <f aca="false">IF(OR(L609="",L609=0),"",(1-M609)/L609)</f>
        <v/>
      </c>
      <c r="P609" s="15"/>
      <c r="Q609" s="12"/>
      <c r="R609" s="12"/>
      <c r="S609" s="13"/>
      <c r="T609" s="16" t="str">
        <f aca="false">IF(OR(S609="",L609=""),"",L609/(1-M609)-S609)</f>
        <v/>
      </c>
      <c r="U609" s="16" t="str">
        <f aca="false">IF(OR(L609="",P609=""),"",L609*(P609-1)-N609)</f>
        <v/>
      </c>
      <c r="V609" s="13"/>
      <c r="W609" s="17"/>
      <c r="X609" s="12"/>
      <c r="Y609" s="12"/>
      <c r="Z609" s="12"/>
      <c r="AA609" s="18" t="str">
        <f aca="false">IF(K609&lt;&gt;"ВИРТУАЛЬНЫЙ ВЫБОР","",IF(Z609="✅ ЗАШЛО",W609*(P609-1),IF(Z609="❌ НЕ ЗАШЛО",-W609,IF(Z609="½ ЗАШЛО",W609*(P609-1)/2,IF(Z609="½ НЕ ЗАШЛО",-W609/2,IF(Z609="ВОЗВРАТ",0,""))))))</f>
        <v/>
      </c>
      <c r="AB609" s="18" t="str">
        <f aca="false">IF(AND(K609="ВИРТУАЛЬНЫЙ ВЫБОР",OR(Z609="✅ ЗАШЛО",Z609="❌ НЕ ЗАШЛО",Z609="½ ЗАШЛО",Z609="½ НЕ ЗАШЛО",Z609="ВОЗВРАТ")),W609,"")</f>
        <v/>
      </c>
      <c r="AC609" s="15"/>
      <c r="AD609" s="16" t="str">
        <f aca="false">IF(OR(AC609="",P609=""),"",P609/AC609-1)</f>
        <v/>
      </c>
      <c r="AE609" s="19" t="str">
        <f aca="false">IF(AND(M609=0,OR(Z609="✅ ЗАШЛО",Z609="❌ НЕ ЗАШЛО"),L609&lt;&gt;""),(L609-IF(Z609="✅ ЗАШЛО",1,0))^2,"")</f>
        <v/>
      </c>
      <c r="AF609" s="15"/>
      <c r="AG609" s="15"/>
      <c r="AH609" s="13"/>
      <c r="AI609" s="13"/>
      <c r="AJ609" s="13"/>
      <c r="AK609" s="20" t="str">
        <f aca="false">IF(AH609="","",IF(ABS(AH609+AI609+AJ609-1)&lt;0.000001,"OK","ОШИБКА"))</f>
        <v/>
      </c>
      <c r="AL609" s="13"/>
      <c r="AM609" s="12"/>
      <c r="AN609" s="12"/>
      <c r="AO609" s="12"/>
      <c r="AP609" s="12"/>
      <c r="AQ609" s="18" t="str">
        <f aca="false">IF(A609="","",N(AQ608)+N(AA609))</f>
        <v/>
      </c>
      <c r="AR609" s="18" t="str">
        <f aca="false">IF(AQ609="","",MAX(0,MAX($AQ$8:AQ609))-AQ609)</f>
        <v/>
      </c>
    </row>
    <row r="610" customFormat="false" ht="15" hidden="false" customHeight="fals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3"/>
      <c r="M610" s="13"/>
      <c r="N610" s="13"/>
      <c r="O610" s="14" t="str">
        <f aca="false">IF(OR(L610="",L610=0),"",(1-M610)/L610)</f>
        <v/>
      </c>
      <c r="P610" s="15"/>
      <c r="Q610" s="12"/>
      <c r="R610" s="12"/>
      <c r="S610" s="13"/>
      <c r="T610" s="16" t="str">
        <f aca="false">IF(OR(S610="",L610=""),"",L610/(1-M610)-S610)</f>
        <v/>
      </c>
      <c r="U610" s="16" t="str">
        <f aca="false">IF(OR(L610="",P610=""),"",L610*(P610-1)-N610)</f>
        <v/>
      </c>
      <c r="V610" s="13"/>
      <c r="W610" s="17"/>
      <c r="X610" s="12"/>
      <c r="Y610" s="12"/>
      <c r="Z610" s="12"/>
      <c r="AA610" s="18" t="str">
        <f aca="false">IF(K610&lt;&gt;"ВИРТУАЛЬНЫЙ ВЫБОР","",IF(Z610="✅ ЗАШЛО",W610*(P610-1),IF(Z610="❌ НЕ ЗАШЛО",-W610,IF(Z610="½ ЗАШЛО",W610*(P610-1)/2,IF(Z610="½ НЕ ЗАШЛО",-W610/2,IF(Z610="ВОЗВРАТ",0,""))))))</f>
        <v/>
      </c>
      <c r="AB610" s="18" t="str">
        <f aca="false">IF(AND(K610="ВИРТУАЛЬНЫЙ ВЫБОР",OR(Z610="✅ ЗАШЛО",Z610="❌ НЕ ЗАШЛО",Z610="½ ЗАШЛО",Z610="½ НЕ ЗАШЛО",Z610="ВОЗВРАТ")),W610,"")</f>
        <v/>
      </c>
      <c r="AC610" s="15"/>
      <c r="AD610" s="16" t="str">
        <f aca="false">IF(OR(AC610="",P610=""),"",P610/AC610-1)</f>
        <v/>
      </c>
      <c r="AE610" s="19" t="str">
        <f aca="false">IF(AND(M610=0,OR(Z610="✅ ЗАШЛО",Z610="❌ НЕ ЗАШЛО"),L610&lt;&gt;""),(L610-IF(Z610="✅ ЗАШЛО",1,0))^2,"")</f>
        <v/>
      </c>
      <c r="AF610" s="15"/>
      <c r="AG610" s="15"/>
      <c r="AH610" s="13"/>
      <c r="AI610" s="13"/>
      <c r="AJ610" s="13"/>
      <c r="AK610" s="20" t="str">
        <f aca="false">IF(AH610="","",IF(ABS(AH610+AI610+AJ610-1)&lt;0.000001,"OK","ОШИБКА"))</f>
        <v/>
      </c>
      <c r="AL610" s="13"/>
      <c r="AM610" s="12"/>
      <c r="AN610" s="12"/>
      <c r="AO610" s="12"/>
      <c r="AP610" s="12"/>
      <c r="AQ610" s="18" t="str">
        <f aca="false">IF(A610="","",N(AQ609)+N(AA610))</f>
        <v/>
      </c>
      <c r="AR610" s="18" t="str">
        <f aca="false">IF(AQ610="","",MAX(0,MAX($AQ$8:AQ610))-AQ610)</f>
        <v/>
      </c>
    </row>
    <row r="611" customFormat="false" ht="15" hidden="false" customHeight="fals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3"/>
      <c r="M611" s="13"/>
      <c r="N611" s="13"/>
      <c r="O611" s="14" t="str">
        <f aca="false">IF(OR(L611="",L611=0),"",(1-M611)/L611)</f>
        <v/>
      </c>
      <c r="P611" s="15"/>
      <c r="Q611" s="12"/>
      <c r="R611" s="12"/>
      <c r="S611" s="13"/>
      <c r="T611" s="16" t="str">
        <f aca="false">IF(OR(S611="",L611=""),"",L611/(1-M611)-S611)</f>
        <v/>
      </c>
      <c r="U611" s="16" t="str">
        <f aca="false">IF(OR(L611="",P611=""),"",L611*(P611-1)-N611)</f>
        <v/>
      </c>
      <c r="V611" s="13"/>
      <c r="W611" s="17"/>
      <c r="X611" s="12"/>
      <c r="Y611" s="12"/>
      <c r="Z611" s="12"/>
      <c r="AA611" s="18" t="str">
        <f aca="false">IF(K611&lt;&gt;"ВИРТУАЛЬНЫЙ ВЫБОР","",IF(Z611="✅ ЗАШЛО",W611*(P611-1),IF(Z611="❌ НЕ ЗАШЛО",-W611,IF(Z611="½ ЗАШЛО",W611*(P611-1)/2,IF(Z611="½ НЕ ЗАШЛО",-W611/2,IF(Z611="ВОЗВРАТ",0,""))))))</f>
        <v/>
      </c>
      <c r="AB611" s="18" t="str">
        <f aca="false">IF(AND(K611="ВИРТУАЛЬНЫЙ ВЫБОР",OR(Z611="✅ ЗАШЛО",Z611="❌ НЕ ЗАШЛО",Z611="½ ЗАШЛО",Z611="½ НЕ ЗАШЛО",Z611="ВОЗВРАТ")),W611,"")</f>
        <v/>
      </c>
      <c r="AC611" s="15"/>
      <c r="AD611" s="16" t="str">
        <f aca="false">IF(OR(AC611="",P611=""),"",P611/AC611-1)</f>
        <v/>
      </c>
      <c r="AE611" s="19" t="str">
        <f aca="false">IF(AND(M611=0,OR(Z611="✅ ЗАШЛО",Z611="❌ НЕ ЗАШЛО"),L611&lt;&gt;""),(L611-IF(Z611="✅ ЗАШЛО",1,0))^2,"")</f>
        <v/>
      </c>
      <c r="AF611" s="15"/>
      <c r="AG611" s="15"/>
      <c r="AH611" s="13"/>
      <c r="AI611" s="13"/>
      <c r="AJ611" s="13"/>
      <c r="AK611" s="20" t="str">
        <f aca="false">IF(AH611="","",IF(ABS(AH611+AI611+AJ611-1)&lt;0.000001,"OK","ОШИБКА"))</f>
        <v/>
      </c>
      <c r="AL611" s="13"/>
      <c r="AM611" s="12"/>
      <c r="AN611" s="12"/>
      <c r="AO611" s="12"/>
      <c r="AP611" s="12"/>
      <c r="AQ611" s="18" t="str">
        <f aca="false">IF(A611="","",N(AQ610)+N(AA611))</f>
        <v/>
      </c>
      <c r="AR611" s="18" t="str">
        <f aca="false">IF(AQ611="","",MAX(0,MAX($AQ$8:AQ611))-AQ611)</f>
        <v/>
      </c>
    </row>
    <row r="612" customFormat="false" ht="15" hidden="false" customHeight="fals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3"/>
      <c r="M612" s="13"/>
      <c r="N612" s="13"/>
      <c r="O612" s="14" t="str">
        <f aca="false">IF(OR(L612="",L612=0),"",(1-M612)/L612)</f>
        <v/>
      </c>
      <c r="P612" s="15"/>
      <c r="Q612" s="12"/>
      <c r="R612" s="12"/>
      <c r="S612" s="13"/>
      <c r="T612" s="16" t="str">
        <f aca="false">IF(OR(S612="",L612=""),"",L612/(1-M612)-S612)</f>
        <v/>
      </c>
      <c r="U612" s="16" t="str">
        <f aca="false">IF(OR(L612="",P612=""),"",L612*(P612-1)-N612)</f>
        <v/>
      </c>
      <c r="V612" s="13"/>
      <c r="W612" s="17"/>
      <c r="X612" s="12"/>
      <c r="Y612" s="12"/>
      <c r="Z612" s="12"/>
      <c r="AA612" s="18" t="str">
        <f aca="false">IF(K612&lt;&gt;"ВИРТУАЛЬНЫЙ ВЫБОР","",IF(Z612="✅ ЗАШЛО",W612*(P612-1),IF(Z612="❌ НЕ ЗАШЛО",-W612,IF(Z612="½ ЗАШЛО",W612*(P612-1)/2,IF(Z612="½ НЕ ЗАШЛО",-W612/2,IF(Z612="ВОЗВРАТ",0,""))))))</f>
        <v/>
      </c>
      <c r="AB612" s="18" t="str">
        <f aca="false">IF(AND(K612="ВИРТУАЛЬНЫЙ ВЫБОР",OR(Z612="✅ ЗАШЛО",Z612="❌ НЕ ЗАШЛО",Z612="½ ЗАШЛО",Z612="½ НЕ ЗАШЛО",Z612="ВОЗВРАТ")),W612,"")</f>
        <v/>
      </c>
      <c r="AC612" s="15"/>
      <c r="AD612" s="16" t="str">
        <f aca="false">IF(OR(AC612="",P612=""),"",P612/AC612-1)</f>
        <v/>
      </c>
      <c r="AE612" s="19" t="str">
        <f aca="false">IF(AND(M612=0,OR(Z612="✅ ЗАШЛО",Z612="❌ НЕ ЗАШЛО"),L612&lt;&gt;""),(L612-IF(Z612="✅ ЗАШЛО",1,0))^2,"")</f>
        <v/>
      </c>
      <c r="AF612" s="15"/>
      <c r="AG612" s="15"/>
      <c r="AH612" s="13"/>
      <c r="AI612" s="13"/>
      <c r="AJ612" s="13"/>
      <c r="AK612" s="20" t="str">
        <f aca="false">IF(AH612="","",IF(ABS(AH612+AI612+AJ612-1)&lt;0.000001,"OK","ОШИБКА"))</f>
        <v/>
      </c>
      <c r="AL612" s="13"/>
      <c r="AM612" s="12"/>
      <c r="AN612" s="12"/>
      <c r="AO612" s="12"/>
      <c r="AP612" s="12"/>
      <c r="AQ612" s="18" t="str">
        <f aca="false">IF(A612="","",N(AQ611)+N(AA612))</f>
        <v/>
      </c>
      <c r="AR612" s="18" t="str">
        <f aca="false">IF(AQ612="","",MAX(0,MAX($AQ$8:AQ612))-AQ612)</f>
        <v/>
      </c>
    </row>
    <row r="613" customFormat="false" ht="15" hidden="false" customHeight="fals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3"/>
      <c r="M613" s="13"/>
      <c r="N613" s="13"/>
      <c r="O613" s="14" t="str">
        <f aca="false">IF(OR(L613="",L613=0),"",(1-M613)/L613)</f>
        <v/>
      </c>
      <c r="P613" s="15"/>
      <c r="Q613" s="12"/>
      <c r="R613" s="12"/>
      <c r="S613" s="13"/>
      <c r="T613" s="16" t="str">
        <f aca="false">IF(OR(S613="",L613=""),"",L613/(1-M613)-S613)</f>
        <v/>
      </c>
      <c r="U613" s="16" t="str">
        <f aca="false">IF(OR(L613="",P613=""),"",L613*(P613-1)-N613)</f>
        <v/>
      </c>
      <c r="V613" s="13"/>
      <c r="W613" s="17"/>
      <c r="X613" s="12"/>
      <c r="Y613" s="12"/>
      <c r="Z613" s="12"/>
      <c r="AA613" s="18" t="str">
        <f aca="false">IF(K613&lt;&gt;"ВИРТУАЛЬНЫЙ ВЫБОР","",IF(Z613="✅ ЗАШЛО",W613*(P613-1),IF(Z613="❌ НЕ ЗАШЛО",-W613,IF(Z613="½ ЗАШЛО",W613*(P613-1)/2,IF(Z613="½ НЕ ЗАШЛО",-W613/2,IF(Z613="ВОЗВРАТ",0,""))))))</f>
        <v/>
      </c>
      <c r="AB613" s="18" t="str">
        <f aca="false">IF(AND(K613="ВИРТУАЛЬНЫЙ ВЫБОР",OR(Z613="✅ ЗАШЛО",Z613="❌ НЕ ЗАШЛО",Z613="½ ЗАШЛО",Z613="½ НЕ ЗАШЛО",Z613="ВОЗВРАТ")),W613,"")</f>
        <v/>
      </c>
      <c r="AC613" s="15"/>
      <c r="AD613" s="16" t="str">
        <f aca="false">IF(OR(AC613="",P613=""),"",P613/AC613-1)</f>
        <v/>
      </c>
      <c r="AE613" s="19" t="str">
        <f aca="false">IF(AND(M613=0,OR(Z613="✅ ЗАШЛО",Z613="❌ НЕ ЗАШЛО"),L613&lt;&gt;""),(L613-IF(Z613="✅ ЗАШЛО",1,0))^2,"")</f>
        <v/>
      </c>
      <c r="AF613" s="15"/>
      <c r="AG613" s="15"/>
      <c r="AH613" s="13"/>
      <c r="AI613" s="13"/>
      <c r="AJ613" s="13"/>
      <c r="AK613" s="20" t="str">
        <f aca="false">IF(AH613="","",IF(ABS(AH613+AI613+AJ613-1)&lt;0.000001,"OK","ОШИБКА"))</f>
        <v/>
      </c>
      <c r="AL613" s="13"/>
      <c r="AM613" s="12"/>
      <c r="AN613" s="12"/>
      <c r="AO613" s="12"/>
      <c r="AP613" s="12"/>
      <c r="AQ613" s="18" t="str">
        <f aca="false">IF(A613="","",N(AQ612)+N(AA613))</f>
        <v/>
      </c>
      <c r="AR613" s="18" t="str">
        <f aca="false">IF(AQ613="","",MAX(0,MAX($AQ$8:AQ613))-AQ613)</f>
        <v/>
      </c>
    </row>
    <row r="614" customFormat="false" ht="15" hidden="false" customHeight="fals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3"/>
      <c r="M614" s="13"/>
      <c r="N614" s="13"/>
      <c r="O614" s="14" t="str">
        <f aca="false">IF(OR(L614="",L614=0),"",(1-M614)/L614)</f>
        <v/>
      </c>
      <c r="P614" s="15"/>
      <c r="Q614" s="12"/>
      <c r="R614" s="12"/>
      <c r="S614" s="13"/>
      <c r="T614" s="16" t="str">
        <f aca="false">IF(OR(S614="",L614=""),"",L614/(1-M614)-S614)</f>
        <v/>
      </c>
      <c r="U614" s="16" t="str">
        <f aca="false">IF(OR(L614="",P614=""),"",L614*(P614-1)-N614)</f>
        <v/>
      </c>
      <c r="V614" s="13"/>
      <c r="W614" s="17"/>
      <c r="X614" s="12"/>
      <c r="Y614" s="12"/>
      <c r="Z614" s="12"/>
      <c r="AA614" s="18" t="str">
        <f aca="false">IF(K614&lt;&gt;"ВИРТУАЛЬНЫЙ ВЫБОР","",IF(Z614="✅ ЗАШЛО",W614*(P614-1),IF(Z614="❌ НЕ ЗАШЛО",-W614,IF(Z614="½ ЗАШЛО",W614*(P614-1)/2,IF(Z614="½ НЕ ЗАШЛО",-W614/2,IF(Z614="ВОЗВРАТ",0,""))))))</f>
        <v/>
      </c>
      <c r="AB614" s="18" t="str">
        <f aca="false">IF(AND(K614="ВИРТУАЛЬНЫЙ ВЫБОР",OR(Z614="✅ ЗАШЛО",Z614="❌ НЕ ЗАШЛО",Z614="½ ЗАШЛО",Z614="½ НЕ ЗАШЛО",Z614="ВОЗВРАТ")),W614,"")</f>
        <v/>
      </c>
      <c r="AC614" s="15"/>
      <c r="AD614" s="16" t="str">
        <f aca="false">IF(OR(AC614="",P614=""),"",P614/AC614-1)</f>
        <v/>
      </c>
      <c r="AE614" s="19" t="str">
        <f aca="false">IF(AND(M614=0,OR(Z614="✅ ЗАШЛО",Z614="❌ НЕ ЗАШЛО"),L614&lt;&gt;""),(L614-IF(Z614="✅ ЗАШЛО",1,0))^2,"")</f>
        <v/>
      </c>
      <c r="AF614" s="15"/>
      <c r="AG614" s="15"/>
      <c r="AH614" s="13"/>
      <c r="AI614" s="13"/>
      <c r="AJ614" s="13"/>
      <c r="AK614" s="20" t="str">
        <f aca="false">IF(AH614="","",IF(ABS(AH614+AI614+AJ614-1)&lt;0.000001,"OK","ОШИБКА"))</f>
        <v/>
      </c>
      <c r="AL614" s="13"/>
      <c r="AM614" s="12"/>
      <c r="AN614" s="12"/>
      <c r="AO614" s="12"/>
      <c r="AP614" s="12"/>
      <c r="AQ614" s="18" t="str">
        <f aca="false">IF(A614="","",N(AQ613)+N(AA614))</f>
        <v/>
      </c>
      <c r="AR614" s="18" t="str">
        <f aca="false">IF(AQ614="","",MAX(0,MAX($AQ$8:AQ614))-AQ614)</f>
        <v/>
      </c>
    </row>
    <row r="615" customFormat="false" ht="15" hidden="false" customHeight="fals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3"/>
      <c r="M615" s="13"/>
      <c r="N615" s="13"/>
      <c r="O615" s="14" t="str">
        <f aca="false">IF(OR(L615="",L615=0),"",(1-M615)/L615)</f>
        <v/>
      </c>
      <c r="P615" s="15"/>
      <c r="Q615" s="12"/>
      <c r="R615" s="12"/>
      <c r="S615" s="13"/>
      <c r="T615" s="16" t="str">
        <f aca="false">IF(OR(S615="",L615=""),"",L615/(1-M615)-S615)</f>
        <v/>
      </c>
      <c r="U615" s="16" t="str">
        <f aca="false">IF(OR(L615="",P615=""),"",L615*(P615-1)-N615)</f>
        <v/>
      </c>
      <c r="V615" s="13"/>
      <c r="W615" s="17"/>
      <c r="X615" s="12"/>
      <c r="Y615" s="12"/>
      <c r="Z615" s="12"/>
      <c r="AA615" s="18" t="str">
        <f aca="false">IF(K615&lt;&gt;"ВИРТУАЛЬНЫЙ ВЫБОР","",IF(Z615="✅ ЗАШЛО",W615*(P615-1),IF(Z615="❌ НЕ ЗАШЛО",-W615,IF(Z615="½ ЗАШЛО",W615*(P615-1)/2,IF(Z615="½ НЕ ЗАШЛО",-W615/2,IF(Z615="ВОЗВРАТ",0,""))))))</f>
        <v/>
      </c>
      <c r="AB615" s="18" t="str">
        <f aca="false">IF(AND(K615="ВИРТУАЛЬНЫЙ ВЫБОР",OR(Z615="✅ ЗАШЛО",Z615="❌ НЕ ЗАШЛО",Z615="½ ЗАШЛО",Z615="½ НЕ ЗАШЛО",Z615="ВОЗВРАТ")),W615,"")</f>
        <v/>
      </c>
      <c r="AC615" s="15"/>
      <c r="AD615" s="16" t="str">
        <f aca="false">IF(OR(AC615="",P615=""),"",P615/AC615-1)</f>
        <v/>
      </c>
      <c r="AE615" s="19" t="str">
        <f aca="false">IF(AND(M615=0,OR(Z615="✅ ЗАШЛО",Z615="❌ НЕ ЗАШЛО"),L615&lt;&gt;""),(L615-IF(Z615="✅ ЗАШЛО",1,0))^2,"")</f>
        <v/>
      </c>
      <c r="AF615" s="15"/>
      <c r="AG615" s="15"/>
      <c r="AH615" s="13"/>
      <c r="AI615" s="13"/>
      <c r="AJ615" s="13"/>
      <c r="AK615" s="20" t="str">
        <f aca="false">IF(AH615="","",IF(ABS(AH615+AI615+AJ615-1)&lt;0.000001,"OK","ОШИБКА"))</f>
        <v/>
      </c>
      <c r="AL615" s="13"/>
      <c r="AM615" s="12"/>
      <c r="AN615" s="12"/>
      <c r="AO615" s="12"/>
      <c r="AP615" s="12"/>
      <c r="AQ615" s="18" t="str">
        <f aca="false">IF(A615="","",N(AQ614)+N(AA615))</f>
        <v/>
      </c>
      <c r="AR615" s="18" t="str">
        <f aca="false">IF(AQ615="","",MAX(0,MAX($AQ$8:AQ615))-AQ615)</f>
        <v/>
      </c>
    </row>
    <row r="616" customFormat="false" ht="15" hidden="false" customHeight="fals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3"/>
      <c r="M616" s="13"/>
      <c r="N616" s="13"/>
      <c r="O616" s="14" t="str">
        <f aca="false">IF(OR(L616="",L616=0),"",(1-M616)/L616)</f>
        <v/>
      </c>
      <c r="P616" s="15"/>
      <c r="Q616" s="12"/>
      <c r="R616" s="12"/>
      <c r="S616" s="13"/>
      <c r="T616" s="16" t="str">
        <f aca="false">IF(OR(S616="",L616=""),"",L616/(1-M616)-S616)</f>
        <v/>
      </c>
      <c r="U616" s="16" t="str">
        <f aca="false">IF(OR(L616="",P616=""),"",L616*(P616-1)-N616)</f>
        <v/>
      </c>
      <c r="V616" s="13"/>
      <c r="W616" s="17"/>
      <c r="X616" s="12"/>
      <c r="Y616" s="12"/>
      <c r="Z616" s="12"/>
      <c r="AA616" s="18" t="str">
        <f aca="false">IF(K616&lt;&gt;"ВИРТУАЛЬНЫЙ ВЫБОР","",IF(Z616="✅ ЗАШЛО",W616*(P616-1),IF(Z616="❌ НЕ ЗАШЛО",-W616,IF(Z616="½ ЗАШЛО",W616*(P616-1)/2,IF(Z616="½ НЕ ЗАШЛО",-W616/2,IF(Z616="ВОЗВРАТ",0,""))))))</f>
        <v/>
      </c>
      <c r="AB616" s="18" t="str">
        <f aca="false">IF(AND(K616="ВИРТУАЛЬНЫЙ ВЫБОР",OR(Z616="✅ ЗАШЛО",Z616="❌ НЕ ЗАШЛО",Z616="½ ЗАШЛО",Z616="½ НЕ ЗАШЛО",Z616="ВОЗВРАТ")),W616,"")</f>
        <v/>
      </c>
      <c r="AC616" s="15"/>
      <c r="AD616" s="16" t="str">
        <f aca="false">IF(OR(AC616="",P616=""),"",P616/AC616-1)</f>
        <v/>
      </c>
      <c r="AE616" s="19" t="str">
        <f aca="false">IF(AND(M616=0,OR(Z616="✅ ЗАШЛО",Z616="❌ НЕ ЗАШЛО"),L616&lt;&gt;""),(L616-IF(Z616="✅ ЗАШЛО",1,0))^2,"")</f>
        <v/>
      </c>
      <c r="AF616" s="15"/>
      <c r="AG616" s="15"/>
      <c r="AH616" s="13"/>
      <c r="AI616" s="13"/>
      <c r="AJ616" s="13"/>
      <c r="AK616" s="20" t="str">
        <f aca="false">IF(AH616="","",IF(ABS(AH616+AI616+AJ616-1)&lt;0.000001,"OK","ОШИБКА"))</f>
        <v/>
      </c>
      <c r="AL616" s="13"/>
      <c r="AM616" s="12"/>
      <c r="AN616" s="12"/>
      <c r="AO616" s="12"/>
      <c r="AP616" s="12"/>
      <c r="AQ616" s="18" t="str">
        <f aca="false">IF(A616="","",N(AQ615)+N(AA616))</f>
        <v/>
      </c>
      <c r="AR616" s="18" t="str">
        <f aca="false">IF(AQ616="","",MAX(0,MAX($AQ$8:AQ616))-AQ616)</f>
        <v/>
      </c>
    </row>
    <row r="617" customFormat="false" ht="15" hidden="false" customHeight="fals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3"/>
      <c r="M617" s="13"/>
      <c r="N617" s="13"/>
      <c r="O617" s="14" t="str">
        <f aca="false">IF(OR(L617="",L617=0),"",(1-M617)/L617)</f>
        <v/>
      </c>
      <c r="P617" s="15"/>
      <c r="Q617" s="12"/>
      <c r="R617" s="12"/>
      <c r="S617" s="13"/>
      <c r="T617" s="16" t="str">
        <f aca="false">IF(OR(S617="",L617=""),"",L617/(1-M617)-S617)</f>
        <v/>
      </c>
      <c r="U617" s="16" t="str">
        <f aca="false">IF(OR(L617="",P617=""),"",L617*(P617-1)-N617)</f>
        <v/>
      </c>
      <c r="V617" s="13"/>
      <c r="W617" s="17"/>
      <c r="X617" s="12"/>
      <c r="Y617" s="12"/>
      <c r="Z617" s="12"/>
      <c r="AA617" s="18" t="str">
        <f aca="false">IF(K617&lt;&gt;"ВИРТУАЛЬНЫЙ ВЫБОР","",IF(Z617="✅ ЗАШЛО",W617*(P617-1),IF(Z617="❌ НЕ ЗАШЛО",-W617,IF(Z617="½ ЗАШЛО",W617*(P617-1)/2,IF(Z617="½ НЕ ЗАШЛО",-W617/2,IF(Z617="ВОЗВРАТ",0,""))))))</f>
        <v/>
      </c>
      <c r="AB617" s="18" t="str">
        <f aca="false">IF(AND(K617="ВИРТУАЛЬНЫЙ ВЫБОР",OR(Z617="✅ ЗАШЛО",Z617="❌ НЕ ЗАШЛО",Z617="½ ЗАШЛО",Z617="½ НЕ ЗАШЛО",Z617="ВОЗВРАТ")),W617,"")</f>
        <v/>
      </c>
      <c r="AC617" s="15"/>
      <c r="AD617" s="16" t="str">
        <f aca="false">IF(OR(AC617="",P617=""),"",P617/AC617-1)</f>
        <v/>
      </c>
      <c r="AE617" s="19" t="str">
        <f aca="false">IF(AND(M617=0,OR(Z617="✅ ЗАШЛО",Z617="❌ НЕ ЗАШЛО"),L617&lt;&gt;""),(L617-IF(Z617="✅ ЗАШЛО",1,0))^2,"")</f>
        <v/>
      </c>
      <c r="AF617" s="15"/>
      <c r="AG617" s="15"/>
      <c r="AH617" s="13"/>
      <c r="AI617" s="13"/>
      <c r="AJ617" s="13"/>
      <c r="AK617" s="20" t="str">
        <f aca="false">IF(AH617="","",IF(ABS(AH617+AI617+AJ617-1)&lt;0.000001,"OK","ОШИБКА"))</f>
        <v/>
      </c>
      <c r="AL617" s="13"/>
      <c r="AM617" s="12"/>
      <c r="AN617" s="12"/>
      <c r="AO617" s="12"/>
      <c r="AP617" s="12"/>
      <c r="AQ617" s="18" t="str">
        <f aca="false">IF(A617="","",N(AQ616)+N(AA617))</f>
        <v/>
      </c>
      <c r="AR617" s="18" t="str">
        <f aca="false">IF(AQ617="","",MAX(0,MAX($AQ$8:AQ617))-AQ617)</f>
        <v/>
      </c>
    </row>
    <row r="618" customFormat="false" ht="15" hidden="false" customHeight="fals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3"/>
      <c r="M618" s="13"/>
      <c r="N618" s="13"/>
      <c r="O618" s="14" t="str">
        <f aca="false">IF(OR(L618="",L618=0),"",(1-M618)/L618)</f>
        <v/>
      </c>
      <c r="P618" s="15"/>
      <c r="Q618" s="12"/>
      <c r="R618" s="12"/>
      <c r="S618" s="13"/>
      <c r="T618" s="16" t="str">
        <f aca="false">IF(OR(S618="",L618=""),"",L618/(1-M618)-S618)</f>
        <v/>
      </c>
      <c r="U618" s="16" t="str">
        <f aca="false">IF(OR(L618="",P618=""),"",L618*(P618-1)-N618)</f>
        <v/>
      </c>
      <c r="V618" s="13"/>
      <c r="W618" s="17"/>
      <c r="X618" s="12"/>
      <c r="Y618" s="12"/>
      <c r="Z618" s="12"/>
      <c r="AA618" s="18" t="str">
        <f aca="false">IF(K618&lt;&gt;"ВИРТУАЛЬНЫЙ ВЫБОР","",IF(Z618="✅ ЗАШЛО",W618*(P618-1),IF(Z618="❌ НЕ ЗАШЛО",-W618,IF(Z618="½ ЗАШЛО",W618*(P618-1)/2,IF(Z618="½ НЕ ЗАШЛО",-W618/2,IF(Z618="ВОЗВРАТ",0,""))))))</f>
        <v/>
      </c>
      <c r="AB618" s="18" t="str">
        <f aca="false">IF(AND(K618="ВИРТУАЛЬНЫЙ ВЫБОР",OR(Z618="✅ ЗАШЛО",Z618="❌ НЕ ЗАШЛО",Z618="½ ЗАШЛО",Z618="½ НЕ ЗАШЛО",Z618="ВОЗВРАТ")),W618,"")</f>
        <v/>
      </c>
      <c r="AC618" s="15"/>
      <c r="AD618" s="16" t="str">
        <f aca="false">IF(OR(AC618="",P618=""),"",P618/AC618-1)</f>
        <v/>
      </c>
      <c r="AE618" s="19" t="str">
        <f aca="false">IF(AND(M618=0,OR(Z618="✅ ЗАШЛО",Z618="❌ НЕ ЗАШЛО"),L618&lt;&gt;""),(L618-IF(Z618="✅ ЗАШЛО",1,0))^2,"")</f>
        <v/>
      </c>
      <c r="AF618" s="15"/>
      <c r="AG618" s="15"/>
      <c r="AH618" s="13"/>
      <c r="AI618" s="13"/>
      <c r="AJ618" s="13"/>
      <c r="AK618" s="20" t="str">
        <f aca="false">IF(AH618="","",IF(ABS(AH618+AI618+AJ618-1)&lt;0.000001,"OK","ОШИБКА"))</f>
        <v/>
      </c>
      <c r="AL618" s="13"/>
      <c r="AM618" s="12"/>
      <c r="AN618" s="12"/>
      <c r="AO618" s="12"/>
      <c r="AP618" s="12"/>
      <c r="AQ618" s="18" t="str">
        <f aca="false">IF(A618="","",N(AQ617)+N(AA618))</f>
        <v/>
      </c>
      <c r="AR618" s="18" t="str">
        <f aca="false">IF(AQ618="","",MAX(0,MAX($AQ$8:AQ618))-AQ618)</f>
        <v/>
      </c>
    </row>
    <row r="619" customFormat="false" ht="15" hidden="false" customHeight="fals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3"/>
      <c r="M619" s="13"/>
      <c r="N619" s="13"/>
      <c r="O619" s="14" t="str">
        <f aca="false">IF(OR(L619="",L619=0),"",(1-M619)/L619)</f>
        <v/>
      </c>
      <c r="P619" s="15"/>
      <c r="Q619" s="12"/>
      <c r="R619" s="12"/>
      <c r="S619" s="13"/>
      <c r="T619" s="16" t="str">
        <f aca="false">IF(OR(S619="",L619=""),"",L619/(1-M619)-S619)</f>
        <v/>
      </c>
      <c r="U619" s="16" t="str">
        <f aca="false">IF(OR(L619="",P619=""),"",L619*(P619-1)-N619)</f>
        <v/>
      </c>
      <c r="V619" s="13"/>
      <c r="W619" s="17"/>
      <c r="X619" s="12"/>
      <c r="Y619" s="12"/>
      <c r="Z619" s="12"/>
      <c r="AA619" s="18" t="str">
        <f aca="false">IF(K619&lt;&gt;"ВИРТУАЛЬНЫЙ ВЫБОР","",IF(Z619="✅ ЗАШЛО",W619*(P619-1),IF(Z619="❌ НЕ ЗАШЛО",-W619,IF(Z619="½ ЗАШЛО",W619*(P619-1)/2,IF(Z619="½ НЕ ЗАШЛО",-W619/2,IF(Z619="ВОЗВРАТ",0,""))))))</f>
        <v/>
      </c>
      <c r="AB619" s="18" t="str">
        <f aca="false">IF(AND(K619="ВИРТУАЛЬНЫЙ ВЫБОР",OR(Z619="✅ ЗАШЛО",Z619="❌ НЕ ЗАШЛО",Z619="½ ЗАШЛО",Z619="½ НЕ ЗАШЛО",Z619="ВОЗВРАТ")),W619,"")</f>
        <v/>
      </c>
      <c r="AC619" s="15"/>
      <c r="AD619" s="16" t="str">
        <f aca="false">IF(OR(AC619="",P619=""),"",P619/AC619-1)</f>
        <v/>
      </c>
      <c r="AE619" s="19" t="str">
        <f aca="false">IF(AND(M619=0,OR(Z619="✅ ЗАШЛО",Z619="❌ НЕ ЗАШЛО"),L619&lt;&gt;""),(L619-IF(Z619="✅ ЗАШЛО",1,0))^2,"")</f>
        <v/>
      </c>
      <c r="AF619" s="15"/>
      <c r="AG619" s="15"/>
      <c r="AH619" s="13"/>
      <c r="AI619" s="13"/>
      <c r="AJ619" s="13"/>
      <c r="AK619" s="20" t="str">
        <f aca="false">IF(AH619="","",IF(ABS(AH619+AI619+AJ619-1)&lt;0.000001,"OK","ОШИБКА"))</f>
        <v/>
      </c>
      <c r="AL619" s="13"/>
      <c r="AM619" s="12"/>
      <c r="AN619" s="12"/>
      <c r="AO619" s="12"/>
      <c r="AP619" s="12"/>
      <c r="AQ619" s="18" t="str">
        <f aca="false">IF(A619="","",N(AQ618)+N(AA619))</f>
        <v/>
      </c>
      <c r="AR619" s="18" t="str">
        <f aca="false">IF(AQ619="","",MAX(0,MAX($AQ$8:AQ619))-AQ619)</f>
        <v/>
      </c>
    </row>
    <row r="620" customFormat="false" ht="15" hidden="false" customHeight="fals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3"/>
      <c r="M620" s="13"/>
      <c r="N620" s="13"/>
      <c r="O620" s="14" t="str">
        <f aca="false">IF(OR(L620="",L620=0),"",(1-M620)/L620)</f>
        <v/>
      </c>
      <c r="P620" s="15"/>
      <c r="Q620" s="12"/>
      <c r="R620" s="12"/>
      <c r="S620" s="13"/>
      <c r="T620" s="16" t="str">
        <f aca="false">IF(OR(S620="",L620=""),"",L620/(1-M620)-S620)</f>
        <v/>
      </c>
      <c r="U620" s="16" t="str">
        <f aca="false">IF(OR(L620="",P620=""),"",L620*(P620-1)-N620)</f>
        <v/>
      </c>
      <c r="V620" s="13"/>
      <c r="W620" s="17"/>
      <c r="X620" s="12"/>
      <c r="Y620" s="12"/>
      <c r="Z620" s="12"/>
      <c r="AA620" s="18" t="str">
        <f aca="false">IF(K620&lt;&gt;"ВИРТУАЛЬНЫЙ ВЫБОР","",IF(Z620="✅ ЗАШЛО",W620*(P620-1),IF(Z620="❌ НЕ ЗАШЛО",-W620,IF(Z620="½ ЗАШЛО",W620*(P620-1)/2,IF(Z620="½ НЕ ЗАШЛО",-W620/2,IF(Z620="ВОЗВРАТ",0,""))))))</f>
        <v/>
      </c>
      <c r="AB620" s="18" t="str">
        <f aca="false">IF(AND(K620="ВИРТУАЛЬНЫЙ ВЫБОР",OR(Z620="✅ ЗАШЛО",Z620="❌ НЕ ЗАШЛО",Z620="½ ЗАШЛО",Z620="½ НЕ ЗАШЛО",Z620="ВОЗВРАТ")),W620,"")</f>
        <v/>
      </c>
      <c r="AC620" s="15"/>
      <c r="AD620" s="16" t="str">
        <f aca="false">IF(OR(AC620="",P620=""),"",P620/AC620-1)</f>
        <v/>
      </c>
      <c r="AE620" s="19" t="str">
        <f aca="false">IF(AND(M620=0,OR(Z620="✅ ЗАШЛО",Z620="❌ НЕ ЗАШЛО"),L620&lt;&gt;""),(L620-IF(Z620="✅ ЗАШЛО",1,0))^2,"")</f>
        <v/>
      </c>
      <c r="AF620" s="15"/>
      <c r="AG620" s="15"/>
      <c r="AH620" s="13"/>
      <c r="AI620" s="13"/>
      <c r="AJ620" s="13"/>
      <c r="AK620" s="20" t="str">
        <f aca="false">IF(AH620="","",IF(ABS(AH620+AI620+AJ620-1)&lt;0.000001,"OK","ОШИБКА"))</f>
        <v/>
      </c>
      <c r="AL620" s="13"/>
      <c r="AM620" s="12"/>
      <c r="AN620" s="12"/>
      <c r="AO620" s="12"/>
      <c r="AP620" s="12"/>
      <c r="AQ620" s="18" t="str">
        <f aca="false">IF(A620="","",N(AQ619)+N(AA620))</f>
        <v/>
      </c>
      <c r="AR620" s="18" t="str">
        <f aca="false">IF(AQ620="","",MAX(0,MAX($AQ$8:AQ620))-AQ620)</f>
        <v/>
      </c>
    </row>
    <row r="621" customFormat="false" ht="15" hidden="false" customHeight="fals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3"/>
      <c r="M621" s="13"/>
      <c r="N621" s="13"/>
      <c r="O621" s="14" t="str">
        <f aca="false">IF(OR(L621="",L621=0),"",(1-M621)/L621)</f>
        <v/>
      </c>
      <c r="P621" s="15"/>
      <c r="Q621" s="12"/>
      <c r="R621" s="12"/>
      <c r="S621" s="13"/>
      <c r="T621" s="16" t="str">
        <f aca="false">IF(OR(S621="",L621=""),"",L621/(1-M621)-S621)</f>
        <v/>
      </c>
      <c r="U621" s="16" t="str">
        <f aca="false">IF(OR(L621="",P621=""),"",L621*(P621-1)-N621)</f>
        <v/>
      </c>
      <c r="V621" s="13"/>
      <c r="W621" s="17"/>
      <c r="X621" s="12"/>
      <c r="Y621" s="12"/>
      <c r="Z621" s="12"/>
      <c r="AA621" s="18" t="str">
        <f aca="false">IF(K621&lt;&gt;"ВИРТУАЛЬНЫЙ ВЫБОР","",IF(Z621="✅ ЗАШЛО",W621*(P621-1),IF(Z621="❌ НЕ ЗАШЛО",-W621,IF(Z621="½ ЗАШЛО",W621*(P621-1)/2,IF(Z621="½ НЕ ЗАШЛО",-W621/2,IF(Z621="ВОЗВРАТ",0,""))))))</f>
        <v/>
      </c>
      <c r="AB621" s="18" t="str">
        <f aca="false">IF(AND(K621="ВИРТУАЛЬНЫЙ ВЫБОР",OR(Z621="✅ ЗАШЛО",Z621="❌ НЕ ЗАШЛО",Z621="½ ЗАШЛО",Z621="½ НЕ ЗАШЛО",Z621="ВОЗВРАТ")),W621,"")</f>
        <v/>
      </c>
      <c r="AC621" s="15"/>
      <c r="AD621" s="16" t="str">
        <f aca="false">IF(OR(AC621="",P621=""),"",P621/AC621-1)</f>
        <v/>
      </c>
      <c r="AE621" s="19" t="str">
        <f aca="false">IF(AND(M621=0,OR(Z621="✅ ЗАШЛО",Z621="❌ НЕ ЗАШЛО"),L621&lt;&gt;""),(L621-IF(Z621="✅ ЗАШЛО",1,0))^2,"")</f>
        <v/>
      </c>
      <c r="AF621" s="15"/>
      <c r="AG621" s="15"/>
      <c r="AH621" s="13"/>
      <c r="AI621" s="13"/>
      <c r="AJ621" s="13"/>
      <c r="AK621" s="20" t="str">
        <f aca="false">IF(AH621="","",IF(ABS(AH621+AI621+AJ621-1)&lt;0.000001,"OK","ОШИБКА"))</f>
        <v/>
      </c>
      <c r="AL621" s="13"/>
      <c r="AM621" s="12"/>
      <c r="AN621" s="12"/>
      <c r="AO621" s="12"/>
      <c r="AP621" s="12"/>
      <c r="AQ621" s="18" t="str">
        <f aca="false">IF(A621="","",N(AQ620)+N(AA621))</f>
        <v/>
      </c>
      <c r="AR621" s="18" t="str">
        <f aca="false">IF(AQ621="","",MAX(0,MAX($AQ$8:AQ621))-AQ621)</f>
        <v/>
      </c>
    </row>
    <row r="622" customFormat="false" ht="15" hidden="false" customHeight="fals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3"/>
      <c r="M622" s="13"/>
      <c r="N622" s="13"/>
      <c r="O622" s="14" t="str">
        <f aca="false">IF(OR(L622="",L622=0),"",(1-M622)/L622)</f>
        <v/>
      </c>
      <c r="P622" s="15"/>
      <c r="Q622" s="12"/>
      <c r="R622" s="12"/>
      <c r="S622" s="13"/>
      <c r="T622" s="16" t="str">
        <f aca="false">IF(OR(S622="",L622=""),"",L622/(1-M622)-S622)</f>
        <v/>
      </c>
      <c r="U622" s="16" t="str">
        <f aca="false">IF(OR(L622="",P622=""),"",L622*(P622-1)-N622)</f>
        <v/>
      </c>
      <c r="V622" s="13"/>
      <c r="W622" s="17"/>
      <c r="X622" s="12"/>
      <c r="Y622" s="12"/>
      <c r="Z622" s="12"/>
      <c r="AA622" s="18" t="str">
        <f aca="false">IF(K622&lt;&gt;"ВИРТУАЛЬНЫЙ ВЫБОР","",IF(Z622="✅ ЗАШЛО",W622*(P622-1),IF(Z622="❌ НЕ ЗАШЛО",-W622,IF(Z622="½ ЗАШЛО",W622*(P622-1)/2,IF(Z622="½ НЕ ЗАШЛО",-W622/2,IF(Z622="ВОЗВРАТ",0,""))))))</f>
        <v/>
      </c>
      <c r="AB622" s="18" t="str">
        <f aca="false">IF(AND(K622="ВИРТУАЛЬНЫЙ ВЫБОР",OR(Z622="✅ ЗАШЛО",Z622="❌ НЕ ЗАШЛО",Z622="½ ЗАШЛО",Z622="½ НЕ ЗАШЛО",Z622="ВОЗВРАТ")),W622,"")</f>
        <v/>
      </c>
      <c r="AC622" s="15"/>
      <c r="AD622" s="16" t="str">
        <f aca="false">IF(OR(AC622="",P622=""),"",P622/AC622-1)</f>
        <v/>
      </c>
      <c r="AE622" s="19" t="str">
        <f aca="false">IF(AND(M622=0,OR(Z622="✅ ЗАШЛО",Z622="❌ НЕ ЗАШЛО"),L622&lt;&gt;""),(L622-IF(Z622="✅ ЗАШЛО",1,0))^2,"")</f>
        <v/>
      </c>
      <c r="AF622" s="15"/>
      <c r="AG622" s="15"/>
      <c r="AH622" s="13"/>
      <c r="AI622" s="13"/>
      <c r="AJ622" s="13"/>
      <c r="AK622" s="20" t="str">
        <f aca="false">IF(AH622="","",IF(ABS(AH622+AI622+AJ622-1)&lt;0.000001,"OK","ОШИБКА"))</f>
        <v/>
      </c>
      <c r="AL622" s="13"/>
      <c r="AM622" s="12"/>
      <c r="AN622" s="12"/>
      <c r="AO622" s="12"/>
      <c r="AP622" s="12"/>
      <c r="AQ622" s="18" t="str">
        <f aca="false">IF(A622="","",N(AQ621)+N(AA622))</f>
        <v/>
      </c>
      <c r="AR622" s="18" t="str">
        <f aca="false">IF(AQ622="","",MAX(0,MAX($AQ$8:AQ622))-AQ622)</f>
        <v/>
      </c>
    </row>
    <row r="623" customFormat="false" ht="15" hidden="false" customHeight="fals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3"/>
      <c r="M623" s="13"/>
      <c r="N623" s="13"/>
      <c r="O623" s="14" t="str">
        <f aca="false">IF(OR(L623="",L623=0),"",(1-M623)/L623)</f>
        <v/>
      </c>
      <c r="P623" s="15"/>
      <c r="Q623" s="12"/>
      <c r="R623" s="12"/>
      <c r="S623" s="13"/>
      <c r="T623" s="16" t="str">
        <f aca="false">IF(OR(S623="",L623=""),"",L623/(1-M623)-S623)</f>
        <v/>
      </c>
      <c r="U623" s="16" t="str">
        <f aca="false">IF(OR(L623="",P623=""),"",L623*(P623-1)-N623)</f>
        <v/>
      </c>
      <c r="V623" s="13"/>
      <c r="W623" s="17"/>
      <c r="X623" s="12"/>
      <c r="Y623" s="12"/>
      <c r="Z623" s="12"/>
      <c r="AA623" s="18" t="str">
        <f aca="false">IF(K623&lt;&gt;"ВИРТУАЛЬНЫЙ ВЫБОР","",IF(Z623="✅ ЗАШЛО",W623*(P623-1),IF(Z623="❌ НЕ ЗАШЛО",-W623,IF(Z623="½ ЗАШЛО",W623*(P623-1)/2,IF(Z623="½ НЕ ЗАШЛО",-W623/2,IF(Z623="ВОЗВРАТ",0,""))))))</f>
        <v/>
      </c>
      <c r="AB623" s="18" t="str">
        <f aca="false">IF(AND(K623="ВИРТУАЛЬНЫЙ ВЫБОР",OR(Z623="✅ ЗАШЛО",Z623="❌ НЕ ЗАШЛО",Z623="½ ЗАШЛО",Z623="½ НЕ ЗАШЛО",Z623="ВОЗВРАТ")),W623,"")</f>
        <v/>
      </c>
      <c r="AC623" s="15"/>
      <c r="AD623" s="16" t="str">
        <f aca="false">IF(OR(AC623="",P623=""),"",P623/AC623-1)</f>
        <v/>
      </c>
      <c r="AE623" s="19" t="str">
        <f aca="false">IF(AND(M623=0,OR(Z623="✅ ЗАШЛО",Z623="❌ НЕ ЗАШЛО"),L623&lt;&gt;""),(L623-IF(Z623="✅ ЗАШЛО",1,0))^2,"")</f>
        <v/>
      </c>
      <c r="AF623" s="15"/>
      <c r="AG623" s="15"/>
      <c r="AH623" s="13"/>
      <c r="AI623" s="13"/>
      <c r="AJ623" s="13"/>
      <c r="AK623" s="20" t="str">
        <f aca="false">IF(AH623="","",IF(ABS(AH623+AI623+AJ623-1)&lt;0.000001,"OK","ОШИБКА"))</f>
        <v/>
      </c>
      <c r="AL623" s="13"/>
      <c r="AM623" s="12"/>
      <c r="AN623" s="12"/>
      <c r="AO623" s="12"/>
      <c r="AP623" s="12"/>
      <c r="AQ623" s="18" t="str">
        <f aca="false">IF(A623="","",N(AQ622)+N(AA623))</f>
        <v/>
      </c>
      <c r="AR623" s="18" t="str">
        <f aca="false">IF(AQ623="","",MAX(0,MAX($AQ$8:AQ623))-AQ623)</f>
        <v/>
      </c>
    </row>
    <row r="624" customFormat="false" ht="15" hidden="false" customHeight="fals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3"/>
      <c r="M624" s="13"/>
      <c r="N624" s="13"/>
      <c r="O624" s="14" t="str">
        <f aca="false">IF(OR(L624="",L624=0),"",(1-M624)/L624)</f>
        <v/>
      </c>
      <c r="P624" s="15"/>
      <c r="Q624" s="12"/>
      <c r="R624" s="12"/>
      <c r="S624" s="13"/>
      <c r="T624" s="16" t="str">
        <f aca="false">IF(OR(S624="",L624=""),"",L624/(1-M624)-S624)</f>
        <v/>
      </c>
      <c r="U624" s="16" t="str">
        <f aca="false">IF(OR(L624="",P624=""),"",L624*(P624-1)-N624)</f>
        <v/>
      </c>
      <c r="V624" s="13"/>
      <c r="W624" s="17"/>
      <c r="X624" s="12"/>
      <c r="Y624" s="12"/>
      <c r="Z624" s="12"/>
      <c r="AA624" s="18" t="str">
        <f aca="false">IF(K624&lt;&gt;"ВИРТУАЛЬНЫЙ ВЫБОР","",IF(Z624="✅ ЗАШЛО",W624*(P624-1),IF(Z624="❌ НЕ ЗАШЛО",-W624,IF(Z624="½ ЗАШЛО",W624*(P624-1)/2,IF(Z624="½ НЕ ЗАШЛО",-W624/2,IF(Z624="ВОЗВРАТ",0,""))))))</f>
        <v/>
      </c>
      <c r="AB624" s="18" t="str">
        <f aca="false">IF(AND(K624="ВИРТУАЛЬНЫЙ ВЫБОР",OR(Z624="✅ ЗАШЛО",Z624="❌ НЕ ЗАШЛО",Z624="½ ЗАШЛО",Z624="½ НЕ ЗАШЛО",Z624="ВОЗВРАТ")),W624,"")</f>
        <v/>
      </c>
      <c r="AC624" s="15"/>
      <c r="AD624" s="16" t="str">
        <f aca="false">IF(OR(AC624="",P624=""),"",P624/AC624-1)</f>
        <v/>
      </c>
      <c r="AE624" s="19" t="str">
        <f aca="false">IF(AND(M624=0,OR(Z624="✅ ЗАШЛО",Z624="❌ НЕ ЗАШЛО"),L624&lt;&gt;""),(L624-IF(Z624="✅ ЗАШЛО",1,0))^2,"")</f>
        <v/>
      </c>
      <c r="AF624" s="15"/>
      <c r="AG624" s="15"/>
      <c r="AH624" s="13"/>
      <c r="AI624" s="13"/>
      <c r="AJ624" s="13"/>
      <c r="AK624" s="20" t="str">
        <f aca="false">IF(AH624="","",IF(ABS(AH624+AI624+AJ624-1)&lt;0.000001,"OK","ОШИБКА"))</f>
        <v/>
      </c>
      <c r="AL624" s="13"/>
      <c r="AM624" s="12"/>
      <c r="AN624" s="12"/>
      <c r="AO624" s="12"/>
      <c r="AP624" s="12"/>
      <c r="AQ624" s="18" t="str">
        <f aca="false">IF(A624="","",N(AQ623)+N(AA624))</f>
        <v/>
      </c>
      <c r="AR624" s="18" t="str">
        <f aca="false">IF(AQ624="","",MAX(0,MAX($AQ$8:AQ624))-AQ624)</f>
        <v/>
      </c>
    </row>
    <row r="625" customFormat="false" ht="15" hidden="false" customHeight="fals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3"/>
      <c r="M625" s="13"/>
      <c r="N625" s="13"/>
      <c r="O625" s="14" t="str">
        <f aca="false">IF(OR(L625="",L625=0),"",(1-M625)/L625)</f>
        <v/>
      </c>
      <c r="P625" s="15"/>
      <c r="Q625" s="12"/>
      <c r="R625" s="12"/>
      <c r="S625" s="13"/>
      <c r="T625" s="16" t="str">
        <f aca="false">IF(OR(S625="",L625=""),"",L625/(1-M625)-S625)</f>
        <v/>
      </c>
      <c r="U625" s="16" t="str">
        <f aca="false">IF(OR(L625="",P625=""),"",L625*(P625-1)-N625)</f>
        <v/>
      </c>
      <c r="V625" s="13"/>
      <c r="W625" s="17"/>
      <c r="X625" s="12"/>
      <c r="Y625" s="12"/>
      <c r="Z625" s="12"/>
      <c r="AA625" s="18" t="str">
        <f aca="false">IF(K625&lt;&gt;"ВИРТУАЛЬНЫЙ ВЫБОР","",IF(Z625="✅ ЗАШЛО",W625*(P625-1),IF(Z625="❌ НЕ ЗАШЛО",-W625,IF(Z625="½ ЗАШЛО",W625*(P625-1)/2,IF(Z625="½ НЕ ЗАШЛО",-W625/2,IF(Z625="ВОЗВРАТ",0,""))))))</f>
        <v/>
      </c>
      <c r="AB625" s="18" t="str">
        <f aca="false">IF(AND(K625="ВИРТУАЛЬНЫЙ ВЫБОР",OR(Z625="✅ ЗАШЛО",Z625="❌ НЕ ЗАШЛО",Z625="½ ЗАШЛО",Z625="½ НЕ ЗАШЛО",Z625="ВОЗВРАТ")),W625,"")</f>
        <v/>
      </c>
      <c r="AC625" s="15"/>
      <c r="AD625" s="16" t="str">
        <f aca="false">IF(OR(AC625="",P625=""),"",P625/AC625-1)</f>
        <v/>
      </c>
      <c r="AE625" s="19" t="str">
        <f aca="false">IF(AND(M625=0,OR(Z625="✅ ЗАШЛО",Z625="❌ НЕ ЗАШЛО"),L625&lt;&gt;""),(L625-IF(Z625="✅ ЗАШЛО",1,0))^2,"")</f>
        <v/>
      </c>
      <c r="AF625" s="15"/>
      <c r="AG625" s="15"/>
      <c r="AH625" s="13"/>
      <c r="AI625" s="13"/>
      <c r="AJ625" s="13"/>
      <c r="AK625" s="20" t="str">
        <f aca="false">IF(AH625="","",IF(ABS(AH625+AI625+AJ625-1)&lt;0.000001,"OK","ОШИБКА"))</f>
        <v/>
      </c>
      <c r="AL625" s="13"/>
      <c r="AM625" s="12"/>
      <c r="AN625" s="12"/>
      <c r="AO625" s="12"/>
      <c r="AP625" s="12"/>
      <c r="AQ625" s="18" t="str">
        <f aca="false">IF(A625="","",N(AQ624)+N(AA625))</f>
        <v/>
      </c>
      <c r="AR625" s="18" t="str">
        <f aca="false">IF(AQ625="","",MAX(0,MAX($AQ$8:AQ625))-AQ625)</f>
        <v/>
      </c>
    </row>
    <row r="626" customFormat="false" ht="15" hidden="false" customHeight="fals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3"/>
      <c r="M626" s="13"/>
      <c r="N626" s="13"/>
      <c r="O626" s="14" t="str">
        <f aca="false">IF(OR(L626="",L626=0),"",(1-M626)/L626)</f>
        <v/>
      </c>
      <c r="P626" s="15"/>
      <c r="Q626" s="12"/>
      <c r="R626" s="12"/>
      <c r="S626" s="13"/>
      <c r="T626" s="16" t="str">
        <f aca="false">IF(OR(S626="",L626=""),"",L626/(1-M626)-S626)</f>
        <v/>
      </c>
      <c r="U626" s="16" t="str">
        <f aca="false">IF(OR(L626="",P626=""),"",L626*(P626-1)-N626)</f>
        <v/>
      </c>
      <c r="V626" s="13"/>
      <c r="W626" s="17"/>
      <c r="X626" s="12"/>
      <c r="Y626" s="12"/>
      <c r="Z626" s="12"/>
      <c r="AA626" s="18" t="str">
        <f aca="false">IF(K626&lt;&gt;"ВИРТУАЛЬНЫЙ ВЫБОР","",IF(Z626="✅ ЗАШЛО",W626*(P626-1),IF(Z626="❌ НЕ ЗАШЛО",-W626,IF(Z626="½ ЗАШЛО",W626*(P626-1)/2,IF(Z626="½ НЕ ЗАШЛО",-W626/2,IF(Z626="ВОЗВРАТ",0,""))))))</f>
        <v/>
      </c>
      <c r="AB626" s="18" t="str">
        <f aca="false">IF(AND(K626="ВИРТУАЛЬНЫЙ ВЫБОР",OR(Z626="✅ ЗАШЛО",Z626="❌ НЕ ЗАШЛО",Z626="½ ЗАШЛО",Z626="½ НЕ ЗАШЛО",Z626="ВОЗВРАТ")),W626,"")</f>
        <v/>
      </c>
      <c r="AC626" s="15"/>
      <c r="AD626" s="16" t="str">
        <f aca="false">IF(OR(AC626="",P626=""),"",P626/AC626-1)</f>
        <v/>
      </c>
      <c r="AE626" s="19" t="str">
        <f aca="false">IF(AND(M626=0,OR(Z626="✅ ЗАШЛО",Z626="❌ НЕ ЗАШЛО"),L626&lt;&gt;""),(L626-IF(Z626="✅ ЗАШЛО",1,0))^2,"")</f>
        <v/>
      </c>
      <c r="AF626" s="15"/>
      <c r="AG626" s="15"/>
      <c r="AH626" s="13"/>
      <c r="AI626" s="13"/>
      <c r="AJ626" s="13"/>
      <c r="AK626" s="20" t="str">
        <f aca="false">IF(AH626="","",IF(ABS(AH626+AI626+AJ626-1)&lt;0.000001,"OK","ОШИБКА"))</f>
        <v/>
      </c>
      <c r="AL626" s="13"/>
      <c r="AM626" s="12"/>
      <c r="AN626" s="12"/>
      <c r="AO626" s="12"/>
      <c r="AP626" s="12"/>
      <c r="AQ626" s="18" t="str">
        <f aca="false">IF(A626="","",N(AQ625)+N(AA626))</f>
        <v/>
      </c>
      <c r="AR626" s="18" t="str">
        <f aca="false">IF(AQ626="","",MAX(0,MAX($AQ$8:AQ626))-AQ626)</f>
        <v/>
      </c>
    </row>
    <row r="627" customFormat="false" ht="15" hidden="false" customHeight="fals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3"/>
      <c r="M627" s="13"/>
      <c r="N627" s="13"/>
      <c r="O627" s="14" t="str">
        <f aca="false">IF(OR(L627="",L627=0),"",(1-M627)/L627)</f>
        <v/>
      </c>
      <c r="P627" s="15"/>
      <c r="Q627" s="12"/>
      <c r="R627" s="12"/>
      <c r="S627" s="13"/>
      <c r="T627" s="16" t="str">
        <f aca="false">IF(OR(S627="",L627=""),"",L627/(1-M627)-S627)</f>
        <v/>
      </c>
      <c r="U627" s="16" t="str">
        <f aca="false">IF(OR(L627="",P627=""),"",L627*(P627-1)-N627)</f>
        <v/>
      </c>
      <c r="V627" s="13"/>
      <c r="W627" s="17"/>
      <c r="X627" s="12"/>
      <c r="Y627" s="12"/>
      <c r="Z627" s="12"/>
      <c r="AA627" s="18" t="str">
        <f aca="false">IF(K627&lt;&gt;"ВИРТУАЛЬНЫЙ ВЫБОР","",IF(Z627="✅ ЗАШЛО",W627*(P627-1),IF(Z627="❌ НЕ ЗАШЛО",-W627,IF(Z627="½ ЗАШЛО",W627*(P627-1)/2,IF(Z627="½ НЕ ЗАШЛО",-W627/2,IF(Z627="ВОЗВРАТ",0,""))))))</f>
        <v/>
      </c>
      <c r="AB627" s="18" t="str">
        <f aca="false">IF(AND(K627="ВИРТУАЛЬНЫЙ ВЫБОР",OR(Z627="✅ ЗАШЛО",Z627="❌ НЕ ЗАШЛО",Z627="½ ЗАШЛО",Z627="½ НЕ ЗАШЛО",Z627="ВОЗВРАТ")),W627,"")</f>
        <v/>
      </c>
      <c r="AC627" s="15"/>
      <c r="AD627" s="16" t="str">
        <f aca="false">IF(OR(AC627="",P627=""),"",P627/AC627-1)</f>
        <v/>
      </c>
      <c r="AE627" s="19" t="str">
        <f aca="false">IF(AND(M627=0,OR(Z627="✅ ЗАШЛО",Z627="❌ НЕ ЗАШЛО"),L627&lt;&gt;""),(L627-IF(Z627="✅ ЗАШЛО",1,0))^2,"")</f>
        <v/>
      </c>
      <c r="AF627" s="15"/>
      <c r="AG627" s="15"/>
      <c r="AH627" s="13"/>
      <c r="AI627" s="13"/>
      <c r="AJ627" s="13"/>
      <c r="AK627" s="20" t="str">
        <f aca="false">IF(AH627="","",IF(ABS(AH627+AI627+AJ627-1)&lt;0.000001,"OK","ОШИБКА"))</f>
        <v/>
      </c>
      <c r="AL627" s="13"/>
      <c r="AM627" s="12"/>
      <c r="AN627" s="12"/>
      <c r="AO627" s="12"/>
      <c r="AP627" s="12"/>
      <c r="AQ627" s="18" t="str">
        <f aca="false">IF(A627="","",N(AQ626)+N(AA627))</f>
        <v/>
      </c>
      <c r="AR627" s="18" t="str">
        <f aca="false">IF(AQ627="","",MAX(0,MAX($AQ$8:AQ627))-AQ627)</f>
        <v/>
      </c>
    </row>
    <row r="628" customFormat="false" ht="15" hidden="false" customHeight="fals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3"/>
      <c r="M628" s="13"/>
      <c r="N628" s="13"/>
      <c r="O628" s="14" t="str">
        <f aca="false">IF(OR(L628="",L628=0),"",(1-M628)/L628)</f>
        <v/>
      </c>
      <c r="P628" s="15"/>
      <c r="Q628" s="12"/>
      <c r="R628" s="12"/>
      <c r="S628" s="13"/>
      <c r="T628" s="16" t="str">
        <f aca="false">IF(OR(S628="",L628=""),"",L628/(1-M628)-S628)</f>
        <v/>
      </c>
      <c r="U628" s="16" t="str">
        <f aca="false">IF(OR(L628="",P628=""),"",L628*(P628-1)-N628)</f>
        <v/>
      </c>
      <c r="V628" s="13"/>
      <c r="W628" s="17"/>
      <c r="X628" s="12"/>
      <c r="Y628" s="12"/>
      <c r="Z628" s="12"/>
      <c r="AA628" s="18" t="str">
        <f aca="false">IF(K628&lt;&gt;"ВИРТУАЛЬНЫЙ ВЫБОР","",IF(Z628="✅ ЗАШЛО",W628*(P628-1),IF(Z628="❌ НЕ ЗАШЛО",-W628,IF(Z628="½ ЗАШЛО",W628*(P628-1)/2,IF(Z628="½ НЕ ЗАШЛО",-W628/2,IF(Z628="ВОЗВРАТ",0,""))))))</f>
        <v/>
      </c>
      <c r="AB628" s="18" t="str">
        <f aca="false">IF(AND(K628="ВИРТУАЛЬНЫЙ ВЫБОР",OR(Z628="✅ ЗАШЛО",Z628="❌ НЕ ЗАШЛО",Z628="½ ЗАШЛО",Z628="½ НЕ ЗАШЛО",Z628="ВОЗВРАТ")),W628,"")</f>
        <v/>
      </c>
      <c r="AC628" s="15"/>
      <c r="AD628" s="16" t="str">
        <f aca="false">IF(OR(AC628="",P628=""),"",P628/AC628-1)</f>
        <v/>
      </c>
      <c r="AE628" s="19" t="str">
        <f aca="false">IF(AND(M628=0,OR(Z628="✅ ЗАШЛО",Z628="❌ НЕ ЗАШЛО"),L628&lt;&gt;""),(L628-IF(Z628="✅ ЗАШЛО",1,0))^2,"")</f>
        <v/>
      </c>
      <c r="AF628" s="15"/>
      <c r="AG628" s="15"/>
      <c r="AH628" s="13"/>
      <c r="AI628" s="13"/>
      <c r="AJ628" s="13"/>
      <c r="AK628" s="20" t="str">
        <f aca="false">IF(AH628="","",IF(ABS(AH628+AI628+AJ628-1)&lt;0.000001,"OK","ОШИБКА"))</f>
        <v/>
      </c>
      <c r="AL628" s="13"/>
      <c r="AM628" s="12"/>
      <c r="AN628" s="12"/>
      <c r="AO628" s="12"/>
      <c r="AP628" s="12"/>
      <c r="AQ628" s="18" t="str">
        <f aca="false">IF(A628="","",N(AQ627)+N(AA628))</f>
        <v/>
      </c>
      <c r="AR628" s="18" t="str">
        <f aca="false">IF(AQ628="","",MAX(0,MAX($AQ$8:AQ628))-AQ628)</f>
        <v/>
      </c>
    </row>
    <row r="629" customFormat="false" ht="15" hidden="false" customHeight="fals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3"/>
      <c r="M629" s="13"/>
      <c r="N629" s="13"/>
      <c r="O629" s="14" t="str">
        <f aca="false">IF(OR(L629="",L629=0),"",(1-M629)/L629)</f>
        <v/>
      </c>
      <c r="P629" s="15"/>
      <c r="Q629" s="12"/>
      <c r="R629" s="12"/>
      <c r="S629" s="13"/>
      <c r="T629" s="16" t="str">
        <f aca="false">IF(OR(S629="",L629=""),"",L629/(1-M629)-S629)</f>
        <v/>
      </c>
      <c r="U629" s="16" t="str">
        <f aca="false">IF(OR(L629="",P629=""),"",L629*(P629-1)-N629)</f>
        <v/>
      </c>
      <c r="V629" s="13"/>
      <c r="W629" s="17"/>
      <c r="X629" s="12"/>
      <c r="Y629" s="12"/>
      <c r="Z629" s="12"/>
      <c r="AA629" s="18" t="str">
        <f aca="false">IF(K629&lt;&gt;"ВИРТУАЛЬНЫЙ ВЫБОР","",IF(Z629="✅ ЗАШЛО",W629*(P629-1),IF(Z629="❌ НЕ ЗАШЛО",-W629,IF(Z629="½ ЗАШЛО",W629*(P629-1)/2,IF(Z629="½ НЕ ЗАШЛО",-W629/2,IF(Z629="ВОЗВРАТ",0,""))))))</f>
        <v/>
      </c>
      <c r="AB629" s="18" t="str">
        <f aca="false">IF(AND(K629="ВИРТУАЛЬНЫЙ ВЫБОР",OR(Z629="✅ ЗАШЛО",Z629="❌ НЕ ЗАШЛО",Z629="½ ЗАШЛО",Z629="½ НЕ ЗАШЛО",Z629="ВОЗВРАТ")),W629,"")</f>
        <v/>
      </c>
      <c r="AC629" s="15"/>
      <c r="AD629" s="16" t="str">
        <f aca="false">IF(OR(AC629="",P629=""),"",P629/AC629-1)</f>
        <v/>
      </c>
      <c r="AE629" s="19" t="str">
        <f aca="false">IF(AND(M629=0,OR(Z629="✅ ЗАШЛО",Z629="❌ НЕ ЗАШЛО"),L629&lt;&gt;""),(L629-IF(Z629="✅ ЗАШЛО",1,0))^2,"")</f>
        <v/>
      </c>
      <c r="AF629" s="15"/>
      <c r="AG629" s="15"/>
      <c r="AH629" s="13"/>
      <c r="AI629" s="13"/>
      <c r="AJ629" s="13"/>
      <c r="AK629" s="20" t="str">
        <f aca="false">IF(AH629="","",IF(ABS(AH629+AI629+AJ629-1)&lt;0.000001,"OK","ОШИБКА"))</f>
        <v/>
      </c>
      <c r="AL629" s="13"/>
      <c r="AM629" s="12"/>
      <c r="AN629" s="12"/>
      <c r="AO629" s="12"/>
      <c r="AP629" s="12"/>
      <c r="AQ629" s="18" t="str">
        <f aca="false">IF(A629="","",N(AQ628)+N(AA629))</f>
        <v/>
      </c>
      <c r="AR629" s="18" t="str">
        <f aca="false">IF(AQ629="","",MAX(0,MAX($AQ$8:AQ629))-AQ629)</f>
        <v/>
      </c>
    </row>
    <row r="630" customFormat="false" ht="15" hidden="false" customHeight="fals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3"/>
      <c r="M630" s="13"/>
      <c r="N630" s="13"/>
      <c r="O630" s="14" t="str">
        <f aca="false">IF(OR(L630="",L630=0),"",(1-M630)/L630)</f>
        <v/>
      </c>
      <c r="P630" s="15"/>
      <c r="Q630" s="12"/>
      <c r="R630" s="12"/>
      <c r="S630" s="13"/>
      <c r="T630" s="16" t="str">
        <f aca="false">IF(OR(S630="",L630=""),"",L630/(1-M630)-S630)</f>
        <v/>
      </c>
      <c r="U630" s="16" t="str">
        <f aca="false">IF(OR(L630="",P630=""),"",L630*(P630-1)-N630)</f>
        <v/>
      </c>
      <c r="V630" s="13"/>
      <c r="W630" s="17"/>
      <c r="X630" s="12"/>
      <c r="Y630" s="12"/>
      <c r="Z630" s="12"/>
      <c r="AA630" s="18" t="str">
        <f aca="false">IF(K630&lt;&gt;"ВИРТУАЛЬНЫЙ ВЫБОР","",IF(Z630="✅ ЗАШЛО",W630*(P630-1),IF(Z630="❌ НЕ ЗАШЛО",-W630,IF(Z630="½ ЗАШЛО",W630*(P630-1)/2,IF(Z630="½ НЕ ЗАШЛО",-W630/2,IF(Z630="ВОЗВРАТ",0,""))))))</f>
        <v/>
      </c>
      <c r="AB630" s="18" t="str">
        <f aca="false">IF(AND(K630="ВИРТУАЛЬНЫЙ ВЫБОР",OR(Z630="✅ ЗАШЛО",Z630="❌ НЕ ЗАШЛО",Z630="½ ЗАШЛО",Z630="½ НЕ ЗАШЛО",Z630="ВОЗВРАТ")),W630,"")</f>
        <v/>
      </c>
      <c r="AC630" s="15"/>
      <c r="AD630" s="16" t="str">
        <f aca="false">IF(OR(AC630="",P630=""),"",P630/AC630-1)</f>
        <v/>
      </c>
      <c r="AE630" s="19" t="str">
        <f aca="false">IF(AND(M630=0,OR(Z630="✅ ЗАШЛО",Z630="❌ НЕ ЗАШЛО"),L630&lt;&gt;""),(L630-IF(Z630="✅ ЗАШЛО",1,0))^2,"")</f>
        <v/>
      </c>
      <c r="AF630" s="15"/>
      <c r="AG630" s="15"/>
      <c r="AH630" s="13"/>
      <c r="AI630" s="13"/>
      <c r="AJ630" s="13"/>
      <c r="AK630" s="20" t="str">
        <f aca="false">IF(AH630="","",IF(ABS(AH630+AI630+AJ630-1)&lt;0.000001,"OK","ОШИБКА"))</f>
        <v/>
      </c>
      <c r="AL630" s="13"/>
      <c r="AM630" s="12"/>
      <c r="AN630" s="12"/>
      <c r="AO630" s="12"/>
      <c r="AP630" s="12"/>
      <c r="AQ630" s="18" t="str">
        <f aca="false">IF(A630="","",N(AQ629)+N(AA630))</f>
        <v/>
      </c>
      <c r="AR630" s="18" t="str">
        <f aca="false">IF(AQ630="","",MAX(0,MAX($AQ$8:AQ630))-AQ630)</f>
        <v/>
      </c>
    </row>
    <row r="631" customFormat="false" ht="15" hidden="false" customHeight="fals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3"/>
      <c r="M631" s="13"/>
      <c r="N631" s="13"/>
      <c r="O631" s="14" t="str">
        <f aca="false">IF(OR(L631="",L631=0),"",(1-M631)/L631)</f>
        <v/>
      </c>
      <c r="P631" s="15"/>
      <c r="Q631" s="12"/>
      <c r="R631" s="12"/>
      <c r="S631" s="13"/>
      <c r="T631" s="16" t="str">
        <f aca="false">IF(OR(S631="",L631=""),"",L631/(1-M631)-S631)</f>
        <v/>
      </c>
      <c r="U631" s="16" t="str">
        <f aca="false">IF(OR(L631="",P631=""),"",L631*(P631-1)-N631)</f>
        <v/>
      </c>
      <c r="V631" s="13"/>
      <c r="W631" s="17"/>
      <c r="X631" s="12"/>
      <c r="Y631" s="12"/>
      <c r="Z631" s="12"/>
      <c r="AA631" s="18" t="str">
        <f aca="false">IF(K631&lt;&gt;"ВИРТУАЛЬНЫЙ ВЫБОР","",IF(Z631="✅ ЗАШЛО",W631*(P631-1),IF(Z631="❌ НЕ ЗАШЛО",-W631,IF(Z631="½ ЗАШЛО",W631*(P631-1)/2,IF(Z631="½ НЕ ЗАШЛО",-W631/2,IF(Z631="ВОЗВРАТ",0,""))))))</f>
        <v/>
      </c>
      <c r="AB631" s="18" t="str">
        <f aca="false">IF(AND(K631="ВИРТУАЛЬНЫЙ ВЫБОР",OR(Z631="✅ ЗАШЛО",Z631="❌ НЕ ЗАШЛО",Z631="½ ЗАШЛО",Z631="½ НЕ ЗАШЛО",Z631="ВОЗВРАТ")),W631,"")</f>
        <v/>
      </c>
      <c r="AC631" s="15"/>
      <c r="AD631" s="16" t="str">
        <f aca="false">IF(OR(AC631="",P631=""),"",P631/AC631-1)</f>
        <v/>
      </c>
      <c r="AE631" s="19" t="str">
        <f aca="false">IF(AND(M631=0,OR(Z631="✅ ЗАШЛО",Z631="❌ НЕ ЗАШЛО"),L631&lt;&gt;""),(L631-IF(Z631="✅ ЗАШЛО",1,0))^2,"")</f>
        <v/>
      </c>
      <c r="AF631" s="15"/>
      <c r="AG631" s="15"/>
      <c r="AH631" s="13"/>
      <c r="AI631" s="13"/>
      <c r="AJ631" s="13"/>
      <c r="AK631" s="20" t="str">
        <f aca="false">IF(AH631="","",IF(ABS(AH631+AI631+AJ631-1)&lt;0.000001,"OK","ОШИБКА"))</f>
        <v/>
      </c>
      <c r="AL631" s="13"/>
      <c r="AM631" s="12"/>
      <c r="AN631" s="12"/>
      <c r="AO631" s="12"/>
      <c r="AP631" s="12"/>
      <c r="AQ631" s="18" t="str">
        <f aca="false">IF(A631="","",N(AQ630)+N(AA631))</f>
        <v/>
      </c>
      <c r="AR631" s="18" t="str">
        <f aca="false">IF(AQ631="","",MAX(0,MAX($AQ$8:AQ631))-AQ631)</f>
        <v/>
      </c>
    </row>
    <row r="632" customFormat="false" ht="15" hidden="false" customHeight="fals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3"/>
      <c r="M632" s="13"/>
      <c r="N632" s="13"/>
      <c r="O632" s="14" t="str">
        <f aca="false">IF(OR(L632="",L632=0),"",(1-M632)/L632)</f>
        <v/>
      </c>
      <c r="P632" s="15"/>
      <c r="Q632" s="12"/>
      <c r="R632" s="12"/>
      <c r="S632" s="13"/>
      <c r="T632" s="16" t="str">
        <f aca="false">IF(OR(S632="",L632=""),"",L632/(1-M632)-S632)</f>
        <v/>
      </c>
      <c r="U632" s="16" t="str">
        <f aca="false">IF(OR(L632="",P632=""),"",L632*(P632-1)-N632)</f>
        <v/>
      </c>
      <c r="V632" s="13"/>
      <c r="W632" s="17"/>
      <c r="X632" s="12"/>
      <c r="Y632" s="12"/>
      <c r="Z632" s="12"/>
      <c r="AA632" s="18" t="str">
        <f aca="false">IF(K632&lt;&gt;"ВИРТУАЛЬНЫЙ ВЫБОР","",IF(Z632="✅ ЗАШЛО",W632*(P632-1),IF(Z632="❌ НЕ ЗАШЛО",-W632,IF(Z632="½ ЗАШЛО",W632*(P632-1)/2,IF(Z632="½ НЕ ЗАШЛО",-W632/2,IF(Z632="ВОЗВРАТ",0,""))))))</f>
        <v/>
      </c>
      <c r="AB632" s="18" t="str">
        <f aca="false">IF(AND(K632="ВИРТУАЛЬНЫЙ ВЫБОР",OR(Z632="✅ ЗАШЛО",Z632="❌ НЕ ЗАШЛО",Z632="½ ЗАШЛО",Z632="½ НЕ ЗАШЛО",Z632="ВОЗВРАТ")),W632,"")</f>
        <v/>
      </c>
      <c r="AC632" s="15"/>
      <c r="AD632" s="16" t="str">
        <f aca="false">IF(OR(AC632="",P632=""),"",P632/AC632-1)</f>
        <v/>
      </c>
      <c r="AE632" s="19" t="str">
        <f aca="false">IF(AND(M632=0,OR(Z632="✅ ЗАШЛО",Z632="❌ НЕ ЗАШЛО"),L632&lt;&gt;""),(L632-IF(Z632="✅ ЗАШЛО",1,0))^2,"")</f>
        <v/>
      </c>
      <c r="AF632" s="15"/>
      <c r="AG632" s="15"/>
      <c r="AH632" s="13"/>
      <c r="AI632" s="13"/>
      <c r="AJ632" s="13"/>
      <c r="AK632" s="20" t="str">
        <f aca="false">IF(AH632="","",IF(ABS(AH632+AI632+AJ632-1)&lt;0.000001,"OK","ОШИБКА"))</f>
        <v/>
      </c>
      <c r="AL632" s="13"/>
      <c r="AM632" s="12"/>
      <c r="AN632" s="12"/>
      <c r="AO632" s="12"/>
      <c r="AP632" s="12"/>
      <c r="AQ632" s="18" t="str">
        <f aca="false">IF(A632="","",N(AQ631)+N(AA632))</f>
        <v/>
      </c>
      <c r="AR632" s="18" t="str">
        <f aca="false">IF(AQ632="","",MAX(0,MAX($AQ$8:AQ632))-AQ632)</f>
        <v/>
      </c>
    </row>
    <row r="633" customFormat="false" ht="15" hidden="false" customHeight="fals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3"/>
      <c r="M633" s="13"/>
      <c r="N633" s="13"/>
      <c r="O633" s="14" t="str">
        <f aca="false">IF(OR(L633="",L633=0),"",(1-M633)/L633)</f>
        <v/>
      </c>
      <c r="P633" s="15"/>
      <c r="Q633" s="12"/>
      <c r="R633" s="12"/>
      <c r="S633" s="13"/>
      <c r="T633" s="16" t="str">
        <f aca="false">IF(OR(S633="",L633=""),"",L633/(1-M633)-S633)</f>
        <v/>
      </c>
      <c r="U633" s="16" t="str">
        <f aca="false">IF(OR(L633="",P633=""),"",L633*(P633-1)-N633)</f>
        <v/>
      </c>
      <c r="V633" s="13"/>
      <c r="W633" s="17"/>
      <c r="X633" s="12"/>
      <c r="Y633" s="12"/>
      <c r="Z633" s="12"/>
      <c r="AA633" s="18" t="str">
        <f aca="false">IF(K633&lt;&gt;"ВИРТУАЛЬНЫЙ ВЫБОР","",IF(Z633="✅ ЗАШЛО",W633*(P633-1),IF(Z633="❌ НЕ ЗАШЛО",-W633,IF(Z633="½ ЗАШЛО",W633*(P633-1)/2,IF(Z633="½ НЕ ЗАШЛО",-W633/2,IF(Z633="ВОЗВРАТ",0,""))))))</f>
        <v/>
      </c>
      <c r="AB633" s="18" t="str">
        <f aca="false">IF(AND(K633="ВИРТУАЛЬНЫЙ ВЫБОР",OR(Z633="✅ ЗАШЛО",Z633="❌ НЕ ЗАШЛО",Z633="½ ЗАШЛО",Z633="½ НЕ ЗАШЛО",Z633="ВОЗВРАТ")),W633,"")</f>
        <v/>
      </c>
      <c r="AC633" s="15"/>
      <c r="AD633" s="16" t="str">
        <f aca="false">IF(OR(AC633="",P633=""),"",P633/AC633-1)</f>
        <v/>
      </c>
      <c r="AE633" s="19" t="str">
        <f aca="false">IF(AND(M633=0,OR(Z633="✅ ЗАШЛО",Z633="❌ НЕ ЗАШЛО"),L633&lt;&gt;""),(L633-IF(Z633="✅ ЗАШЛО",1,0))^2,"")</f>
        <v/>
      </c>
      <c r="AF633" s="15"/>
      <c r="AG633" s="15"/>
      <c r="AH633" s="13"/>
      <c r="AI633" s="13"/>
      <c r="AJ633" s="13"/>
      <c r="AK633" s="20" t="str">
        <f aca="false">IF(AH633="","",IF(ABS(AH633+AI633+AJ633-1)&lt;0.000001,"OK","ОШИБКА"))</f>
        <v/>
      </c>
      <c r="AL633" s="13"/>
      <c r="AM633" s="12"/>
      <c r="AN633" s="12"/>
      <c r="AO633" s="12"/>
      <c r="AP633" s="12"/>
      <c r="AQ633" s="18" t="str">
        <f aca="false">IF(A633="","",N(AQ632)+N(AA633))</f>
        <v/>
      </c>
      <c r="AR633" s="18" t="str">
        <f aca="false">IF(AQ633="","",MAX(0,MAX($AQ$8:AQ633))-AQ633)</f>
        <v/>
      </c>
    </row>
    <row r="634" customFormat="false" ht="15" hidden="false" customHeight="fals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3"/>
      <c r="M634" s="13"/>
      <c r="N634" s="13"/>
      <c r="O634" s="14" t="str">
        <f aca="false">IF(OR(L634="",L634=0),"",(1-M634)/L634)</f>
        <v/>
      </c>
      <c r="P634" s="15"/>
      <c r="Q634" s="12"/>
      <c r="R634" s="12"/>
      <c r="S634" s="13"/>
      <c r="T634" s="16" t="str">
        <f aca="false">IF(OR(S634="",L634=""),"",L634/(1-M634)-S634)</f>
        <v/>
      </c>
      <c r="U634" s="16" t="str">
        <f aca="false">IF(OR(L634="",P634=""),"",L634*(P634-1)-N634)</f>
        <v/>
      </c>
      <c r="V634" s="13"/>
      <c r="W634" s="17"/>
      <c r="X634" s="12"/>
      <c r="Y634" s="12"/>
      <c r="Z634" s="12"/>
      <c r="AA634" s="18" t="str">
        <f aca="false">IF(K634&lt;&gt;"ВИРТУАЛЬНЫЙ ВЫБОР","",IF(Z634="✅ ЗАШЛО",W634*(P634-1),IF(Z634="❌ НЕ ЗАШЛО",-W634,IF(Z634="½ ЗАШЛО",W634*(P634-1)/2,IF(Z634="½ НЕ ЗАШЛО",-W634/2,IF(Z634="ВОЗВРАТ",0,""))))))</f>
        <v/>
      </c>
      <c r="AB634" s="18" t="str">
        <f aca="false">IF(AND(K634="ВИРТУАЛЬНЫЙ ВЫБОР",OR(Z634="✅ ЗАШЛО",Z634="❌ НЕ ЗАШЛО",Z634="½ ЗАШЛО",Z634="½ НЕ ЗАШЛО",Z634="ВОЗВРАТ")),W634,"")</f>
        <v/>
      </c>
      <c r="AC634" s="15"/>
      <c r="AD634" s="16" t="str">
        <f aca="false">IF(OR(AC634="",P634=""),"",P634/AC634-1)</f>
        <v/>
      </c>
      <c r="AE634" s="19" t="str">
        <f aca="false">IF(AND(M634=0,OR(Z634="✅ ЗАШЛО",Z634="❌ НЕ ЗАШЛО"),L634&lt;&gt;""),(L634-IF(Z634="✅ ЗАШЛО",1,0))^2,"")</f>
        <v/>
      </c>
      <c r="AF634" s="15"/>
      <c r="AG634" s="15"/>
      <c r="AH634" s="13"/>
      <c r="AI634" s="13"/>
      <c r="AJ634" s="13"/>
      <c r="AK634" s="20" t="str">
        <f aca="false">IF(AH634="","",IF(ABS(AH634+AI634+AJ634-1)&lt;0.000001,"OK","ОШИБКА"))</f>
        <v/>
      </c>
      <c r="AL634" s="13"/>
      <c r="AM634" s="12"/>
      <c r="AN634" s="12"/>
      <c r="AO634" s="12"/>
      <c r="AP634" s="12"/>
      <c r="AQ634" s="18" t="str">
        <f aca="false">IF(A634="","",N(AQ633)+N(AA634))</f>
        <v/>
      </c>
      <c r="AR634" s="18" t="str">
        <f aca="false">IF(AQ634="","",MAX(0,MAX($AQ$8:AQ634))-AQ634)</f>
        <v/>
      </c>
    </row>
    <row r="635" customFormat="false" ht="15" hidden="false" customHeight="fals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3"/>
      <c r="M635" s="13"/>
      <c r="N635" s="13"/>
      <c r="O635" s="14" t="str">
        <f aca="false">IF(OR(L635="",L635=0),"",(1-M635)/L635)</f>
        <v/>
      </c>
      <c r="P635" s="15"/>
      <c r="Q635" s="12"/>
      <c r="R635" s="12"/>
      <c r="S635" s="13"/>
      <c r="T635" s="16" t="str">
        <f aca="false">IF(OR(S635="",L635=""),"",L635/(1-M635)-S635)</f>
        <v/>
      </c>
      <c r="U635" s="16" t="str">
        <f aca="false">IF(OR(L635="",P635=""),"",L635*(P635-1)-N635)</f>
        <v/>
      </c>
      <c r="V635" s="13"/>
      <c r="W635" s="17"/>
      <c r="X635" s="12"/>
      <c r="Y635" s="12"/>
      <c r="Z635" s="12"/>
      <c r="AA635" s="18" t="str">
        <f aca="false">IF(K635&lt;&gt;"ВИРТУАЛЬНЫЙ ВЫБОР","",IF(Z635="✅ ЗАШЛО",W635*(P635-1),IF(Z635="❌ НЕ ЗАШЛО",-W635,IF(Z635="½ ЗАШЛО",W635*(P635-1)/2,IF(Z635="½ НЕ ЗАШЛО",-W635/2,IF(Z635="ВОЗВРАТ",0,""))))))</f>
        <v/>
      </c>
      <c r="AB635" s="18" t="str">
        <f aca="false">IF(AND(K635="ВИРТУАЛЬНЫЙ ВЫБОР",OR(Z635="✅ ЗАШЛО",Z635="❌ НЕ ЗАШЛО",Z635="½ ЗАШЛО",Z635="½ НЕ ЗАШЛО",Z635="ВОЗВРАТ")),W635,"")</f>
        <v/>
      </c>
      <c r="AC635" s="15"/>
      <c r="AD635" s="16" t="str">
        <f aca="false">IF(OR(AC635="",P635=""),"",P635/AC635-1)</f>
        <v/>
      </c>
      <c r="AE635" s="19" t="str">
        <f aca="false">IF(AND(M635=0,OR(Z635="✅ ЗАШЛО",Z635="❌ НЕ ЗАШЛО"),L635&lt;&gt;""),(L635-IF(Z635="✅ ЗАШЛО",1,0))^2,"")</f>
        <v/>
      </c>
      <c r="AF635" s="15"/>
      <c r="AG635" s="15"/>
      <c r="AH635" s="13"/>
      <c r="AI635" s="13"/>
      <c r="AJ635" s="13"/>
      <c r="AK635" s="20" t="str">
        <f aca="false">IF(AH635="","",IF(ABS(AH635+AI635+AJ635-1)&lt;0.000001,"OK","ОШИБКА"))</f>
        <v/>
      </c>
      <c r="AL635" s="13"/>
      <c r="AM635" s="12"/>
      <c r="AN635" s="12"/>
      <c r="AO635" s="12"/>
      <c r="AP635" s="12"/>
      <c r="AQ635" s="18" t="str">
        <f aca="false">IF(A635="","",N(AQ634)+N(AA635))</f>
        <v/>
      </c>
      <c r="AR635" s="18" t="str">
        <f aca="false">IF(AQ635="","",MAX(0,MAX($AQ$8:AQ635))-AQ635)</f>
        <v/>
      </c>
    </row>
    <row r="636" customFormat="false" ht="15" hidden="false" customHeight="fals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3"/>
      <c r="M636" s="13"/>
      <c r="N636" s="13"/>
      <c r="O636" s="14" t="str">
        <f aca="false">IF(OR(L636="",L636=0),"",(1-M636)/L636)</f>
        <v/>
      </c>
      <c r="P636" s="15"/>
      <c r="Q636" s="12"/>
      <c r="R636" s="12"/>
      <c r="S636" s="13"/>
      <c r="T636" s="16" t="str">
        <f aca="false">IF(OR(S636="",L636=""),"",L636/(1-M636)-S636)</f>
        <v/>
      </c>
      <c r="U636" s="16" t="str">
        <f aca="false">IF(OR(L636="",P636=""),"",L636*(P636-1)-N636)</f>
        <v/>
      </c>
      <c r="V636" s="13"/>
      <c r="W636" s="17"/>
      <c r="X636" s="12"/>
      <c r="Y636" s="12"/>
      <c r="Z636" s="12"/>
      <c r="AA636" s="18" t="str">
        <f aca="false">IF(K636&lt;&gt;"ВИРТУАЛЬНЫЙ ВЫБОР","",IF(Z636="✅ ЗАШЛО",W636*(P636-1),IF(Z636="❌ НЕ ЗАШЛО",-W636,IF(Z636="½ ЗАШЛО",W636*(P636-1)/2,IF(Z636="½ НЕ ЗАШЛО",-W636/2,IF(Z636="ВОЗВРАТ",0,""))))))</f>
        <v/>
      </c>
      <c r="AB636" s="18" t="str">
        <f aca="false">IF(AND(K636="ВИРТУАЛЬНЫЙ ВЫБОР",OR(Z636="✅ ЗАШЛО",Z636="❌ НЕ ЗАШЛО",Z636="½ ЗАШЛО",Z636="½ НЕ ЗАШЛО",Z636="ВОЗВРАТ")),W636,"")</f>
        <v/>
      </c>
      <c r="AC636" s="15"/>
      <c r="AD636" s="16" t="str">
        <f aca="false">IF(OR(AC636="",P636=""),"",P636/AC636-1)</f>
        <v/>
      </c>
      <c r="AE636" s="19" t="str">
        <f aca="false">IF(AND(M636=0,OR(Z636="✅ ЗАШЛО",Z636="❌ НЕ ЗАШЛО"),L636&lt;&gt;""),(L636-IF(Z636="✅ ЗАШЛО",1,0))^2,"")</f>
        <v/>
      </c>
      <c r="AF636" s="15"/>
      <c r="AG636" s="15"/>
      <c r="AH636" s="13"/>
      <c r="AI636" s="13"/>
      <c r="AJ636" s="13"/>
      <c r="AK636" s="20" t="str">
        <f aca="false">IF(AH636="","",IF(ABS(AH636+AI636+AJ636-1)&lt;0.000001,"OK","ОШИБКА"))</f>
        <v/>
      </c>
      <c r="AL636" s="13"/>
      <c r="AM636" s="12"/>
      <c r="AN636" s="12"/>
      <c r="AO636" s="12"/>
      <c r="AP636" s="12"/>
      <c r="AQ636" s="18" t="str">
        <f aca="false">IF(A636="","",N(AQ635)+N(AA636))</f>
        <v/>
      </c>
      <c r="AR636" s="18" t="str">
        <f aca="false">IF(AQ636="","",MAX(0,MAX($AQ$8:AQ636))-AQ636)</f>
        <v/>
      </c>
    </row>
    <row r="637" customFormat="false" ht="15" hidden="false" customHeight="fals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3"/>
      <c r="M637" s="13"/>
      <c r="N637" s="13"/>
      <c r="O637" s="14" t="str">
        <f aca="false">IF(OR(L637="",L637=0),"",(1-M637)/L637)</f>
        <v/>
      </c>
      <c r="P637" s="15"/>
      <c r="Q637" s="12"/>
      <c r="R637" s="12"/>
      <c r="S637" s="13"/>
      <c r="T637" s="16" t="str">
        <f aca="false">IF(OR(S637="",L637=""),"",L637/(1-M637)-S637)</f>
        <v/>
      </c>
      <c r="U637" s="16" t="str">
        <f aca="false">IF(OR(L637="",P637=""),"",L637*(P637-1)-N637)</f>
        <v/>
      </c>
      <c r="V637" s="13"/>
      <c r="W637" s="17"/>
      <c r="X637" s="12"/>
      <c r="Y637" s="12"/>
      <c r="Z637" s="12"/>
      <c r="AA637" s="18" t="str">
        <f aca="false">IF(K637&lt;&gt;"ВИРТУАЛЬНЫЙ ВЫБОР","",IF(Z637="✅ ЗАШЛО",W637*(P637-1),IF(Z637="❌ НЕ ЗАШЛО",-W637,IF(Z637="½ ЗАШЛО",W637*(P637-1)/2,IF(Z637="½ НЕ ЗАШЛО",-W637/2,IF(Z637="ВОЗВРАТ",0,""))))))</f>
        <v/>
      </c>
      <c r="AB637" s="18" t="str">
        <f aca="false">IF(AND(K637="ВИРТУАЛЬНЫЙ ВЫБОР",OR(Z637="✅ ЗАШЛО",Z637="❌ НЕ ЗАШЛО",Z637="½ ЗАШЛО",Z637="½ НЕ ЗАШЛО",Z637="ВОЗВРАТ")),W637,"")</f>
        <v/>
      </c>
      <c r="AC637" s="15"/>
      <c r="AD637" s="16" t="str">
        <f aca="false">IF(OR(AC637="",P637=""),"",P637/AC637-1)</f>
        <v/>
      </c>
      <c r="AE637" s="19" t="str">
        <f aca="false">IF(AND(M637=0,OR(Z637="✅ ЗАШЛО",Z637="❌ НЕ ЗАШЛО"),L637&lt;&gt;""),(L637-IF(Z637="✅ ЗАШЛО",1,0))^2,"")</f>
        <v/>
      </c>
      <c r="AF637" s="15"/>
      <c r="AG637" s="15"/>
      <c r="AH637" s="13"/>
      <c r="AI637" s="13"/>
      <c r="AJ637" s="13"/>
      <c r="AK637" s="20" t="str">
        <f aca="false">IF(AH637="","",IF(ABS(AH637+AI637+AJ637-1)&lt;0.000001,"OK","ОШИБКА"))</f>
        <v/>
      </c>
      <c r="AL637" s="13"/>
      <c r="AM637" s="12"/>
      <c r="AN637" s="12"/>
      <c r="AO637" s="12"/>
      <c r="AP637" s="12"/>
      <c r="AQ637" s="18" t="str">
        <f aca="false">IF(A637="","",N(AQ636)+N(AA637))</f>
        <v/>
      </c>
      <c r="AR637" s="18" t="str">
        <f aca="false">IF(AQ637="","",MAX(0,MAX($AQ$8:AQ637))-AQ637)</f>
        <v/>
      </c>
    </row>
    <row r="638" customFormat="false" ht="15" hidden="false" customHeight="fals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3"/>
      <c r="M638" s="13"/>
      <c r="N638" s="13"/>
      <c r="O638" s="14" t="str">
        <f aca="false">IF(OR(L638="",L638=0),"",(1-M638)/L638)</f>
        <v/>
      </c>
      <c r="P638" s="15"/>
      <c r="Q638" s="12"/>
      <c r="R638" s="12"/>
      <c r="S638" s="13"/>
      <c r="T638" s="16" t="str">
        <f aca="false">IF(OR(S638="",L638=""),"",L638/(1-M638)-S638)</f>
        <v/>
      </c>
      <c r="U638" s="16" t="str">
        <f aca="false">IF(OR(L638="",P638=""),"",L638*(P638-1)-N638)</f>
        <v/>
      </c>
      <c r="V638" s="13"/>
      <c r="W638" s="17"/>
      <c r="X638" s="12"/>
      <c r="Y638" s="12"/>
      <c r="Z638" s="12"/>
      <c r="AA638" s="18" t="str">
        <f aca="false">IF(K638&lt;&gt;"ВИРТУАЛЬНЫЙ ВЫБОР","",IF(Z638="✅ ЗАШЛО",W638*(P638-1),IF(Z638="❌ НЕ ЗАШЛО",-W638,IF(Z638="½ ЗАШЛО",W638*(P638-1)/2,IF(Z638="½ НЕ ЗАШЛО",-W638/2,IF(Z638="ВОЗВРАТ",0,""))))))</f>
        <v/>
      </c>
      <c r="AB638" s="18" t="str">
        <f aca="false">IF(AND(K638="ВИРТУАЛЬНЫЙ ВЫБОР",OR(Z638="✅ ЗАШЛО",Z638="❌ НЕ ЗАШЛО",Z638="½ ЗАШЛО",Z638="½ НЕ ЗАШЛО",Z638="ВОЗВРАТ")),W638,"")</f>
        <v/>
      </c>
      <c r="AC638" s="15"/>
      <c r="AD638" s="16" t="str">
        <f aca="false">IF(OR(AC638="",P638=""),"",P638/AC638-1)</f>
        <v/>
      </c>
      <c r="AE638" s="19" t="str">
        <f aca="false">IF(AND(M638=0,OR(Z638="✅ ЗАШЛО",Z638="❌ НЕ ЗАШЛО"),L638&lt;&gt;""),(L638-IF(Z638="✅ ЗАШЛО",1,0))^2,"")</f>
        <v/>
      </c>
      <c r="AF638" s="15"/>
      <c r="AG638" s="15"/>
      <c r="AH638" s="13"/>
      <c r="AI638" s="13"/>
      <c r="AJ638" s="13"/>
      <c r="AK638" s="20" t="str">
        <f aca="false">IF(AH638="","",IF(ABS(AH638+AI638+AJ638-1)&lt;0.000001,"OK","ОШИБКА"))</f>
        <v/>
      </c>
      <c r="AL638" s="13"/>
      <c r="AM638" s="12"/>
      <c r="AN638" s="12"/>
      <c r="AO638" s="12"/>
      <c r="AP638" s="12"/>
      <c r="AQ638" s="18" t="str">
        <f aca="false">IF(A638="","",N(AQ637)+N(AA638))</f>
        <v/>
      </c>
      <c r="AR638" s="18" t="str">
        <f aca="false">IF(AQ638="","",MAX(0,MAX($AQ$8:AQ638))-AQ638)</f>
        <v/>
      </c>
    </row>
    <row r="639" customFormat="false" ht="15" hidden="false" customHeight="fals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3"/>
      <c r="M639" s="13"/>
      <c r="N639" s="13"/>
      <c r="O639" s="14" t="str">
        <f aca="false">IF(OR(L639="",L639=0),"",(1-M639)/L639)</f>
        <v/>
      </c>
      <c r="P639" s="15"/>
      <c r="Q639" s="12"/>
      <c r="R639" s="12"/>
      <c r="S639" s="13"/>
      <c r="T639" s="16" t="str">
        <f aca="false">IF(OR(S639="",L639=""),"",L639/(1-M639)-S639)</f>
        <v/>
      </c>
      <c r="U639" s="16" t="str">
        <f aca="false">IF(OR(L639="",P639=""),"",L639*(P639-1)-N639)</f>
        <v/>
      </c>
      <c r="V639" s="13"/>
      <c r="W639" s="17"/>
      <c r="X639" s="12"/>
      <c r="Y639" s="12"/>
      <c r="Z639" s="12"/>
      <c r="AA639" s="18" t="str">
        <f aca="false">IF(K639&lt;&gt;"ВИРТУАЛЬНЫЙ ВЫБОР","",IF(Z639="✅ ЗАШЛО",W639*(P639-1),IF(Z639="❌ НЕ ЗАШЛО",-W639,IF(Z639="½ ЗАШЛО",W639*(P639-1)/2,IF(Z639="½ НЕ ЗАШЛО",-W639/2,IF(Z639="ВОЗВРАТ",0,""))))))</f>
        <v/>
      </c>
      <c r="AB639" s="18" t="str">
        <f aca="false">IF(AND(K639="ВИРТУАЛЬНЫЙ ВЫБОР",OR(Z639="✅ ЗАШЛО",Z639="❌ НЕ ЗАШЛО",Z639="½ ЗАШЛО",Z639="½ НЕ ЗАШЛО",Z639="ВОЗВРАТ")),W639,"")</f>
        <v/>
      </c>
      <c r="AC639" s="15"/>
      <c r="AD639" s="16" t="str">
        <f aca="false">IF(OR(AC639="",P639=""),"",P639/AC639-1)</f>
        <v/>
      </c>
      <c r="AE639" s="19" t="str">
        <f aca="false">IF(AND(M639=0,OR(Z639="✅ ЗАШЛО",Z639="❌ НЕ ЗАШЛО"),L639&lt;&gt;""),(L639-IF(Z639="✅ ЗАШЛО",1,0))^2,"")</f>
        <v/>
      </c>
      <c r="AF639" s="15"/>
      <c r="AG639" s="15"/>
      <c r="AH639" s="13"/>
      <c r="AI639" s="13"/>
      <c r="AJ639" s="13"/>
      <c r="AK639" s="20" t="str">
        <f aca="false">IF(AH639="","",IF(ABS(AH639+AI639+AJ639-1)&lt;0.000001,"OK","ОШИБКА"))</f>
        <v/>
      </c>
      <c r="AL639" s="13"/>
      <c r="AM639" s="12"/>
      <c r="AN639" s="12"/>
      <c r="AO639" s="12"/>
      <c r="AP639" s="12"/>
      <c r="AQ639" s="18" t="str">
        <f aca="false">IF(A639="","",N(AQ638)+N(AA639))</f>
        <v/>
      </c>
      <c r="AR639" s="18" t="str">
        <f aca="false">IF(AQ639="","",MAX(0,MAX($AQ$8:AQ639))-AQ639)</f>
        <v/>
      </c>
    </row>
    <row r="640" customFormat="false" ht="15" hidden="false" customHeight="fals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3"/>
      <c r="M640" s="13"/>
      <c r="N640" s="13"/>
      <c r="O640" s="14" t="str">
        <f aca="false">IF(OR(L640="",L640=0),"",(1-M640)/L640)</f>
        <v/>
      </c>
      <c r="P640" s="15"/>
      <c r="Q640" s="12"/>
      <c r="R640" s="12"/>
      <c r="S640" s="13"/>
      <c r="T640" s="16" t="str">
        <f aca="false">IF(OR(S640="",L640=""),"",L640/(1-M640)-S640)</f>
        <v/>
      </c>
      <c r="U640" s="16" t="str">
        <f aca="false">IF(OR(L640="",P640=""),"",L640*(P640-1)-N640)</f>
        <v/>
      </c>
      <c r="V640" s="13"/>
      <c r="W640" s="17"/>
      <c r="X640" s="12"/>
      <c r="Y640" s="12"/>
      <c r="Z640" s="12"/>
      <c r="AA640" s="18" t="str">
        <f aca="false">IF(K640&lt;&gt;"ВИРТУАЛЬНЫЙ ВЫБОР","",IF(Z640="✅ ЗАШЛО",W640*(P640-1),IF(Z640="❌ НЕ ЗАШЛО",-W640,IF(Z640="½ ЗАШЛО",W640*(P640-1)/2,IF(Z640="½ НЕ ЗАШЛО",-W640/2,IF(Z640="ВОЗВРАТ",0,""))))))</f>
        <v/>
      </c>
      <c r="AB640" s="18" t="str">
        <f aca="false">IF(AND(K640="ВИРТУАЛЬНЫЙ ВЫБОР",OR(Z640="✅ ЗАШЛО",Z640="❌ НЕ ЗАШЛО",Z640="½ ЗАШЛО",Z640="½ НЕ ЗАШЛО",Z640="ВОЗВРАТ")),W640,"")</f>
        <v/>
      </c>
      <c r="AC640" s="15"/>
      <c r="AD640" s="16" t="str">
        <f aca="false">IF(OR(AC640="",P640=""),"",P640/AC640-1)</f>
        <v/>
      </c>
      <c r="AE640" s="19" t="str">
        <f aca="false">IF(AND(M640=0,OR(Z640="✅ ЗАШЛО",Z640="❌ НЕ ЗАШЛО"),L640&lt;&gt;""),(L640-IF(Z640="✅ ЗАШЛО",1,0))^2,"")</f>
        <v/>
      </c>
      <c r="AF640" s="15"/>
      <c r="AG640" s="15"/>
      <c r="AH640" s="13"/>
      <c r="AI640" s="13"/>
      <c r="AJ640" s="13"/>
      <c r="AK640" s="20" t="str">
        <f aca="false">IF(AH640="","",IF(ABS(AH640+AI640+AJ640-1)&lt;0.000001,"OK","ОШИБКА"))</f>
        <v/>
      </c>
      <c r="AL640" s="13"/>
      <c r="AM640" s="12"/>
      <c r="AN640" s="12"/>
      <c r="AO640" s="12"/>
      <c r="AP640" s="12"/>
      <c r="AQ640" s="18" t="str">
        <f aca="false">IF(A640="","",N(AQ639)+N(AA640))</f>
        <v/>
      </c>
      <c r="AR640" s="18" t="str">
        <f aca="false">IF(AQ640="","",MAX(0,MAX($AQ$8:AQ640))-AQ640)</f>
        <v/>
      </c>
    </row>
    <row r="641" customFormat="false" ht="15" hidden="false" customHeight="fals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3"/>
      <c r="M641" s="13"/>
      <c r="N641" s="13"/>
      <c r="O641" s="14" t="str">
        <f aca="false">IF(OR(L641="",L641=0),"",(1-M641)/L641)</f>
        <v/>
      </c>
      <c r="P641" s="15"/>
      <c r="Q641" s="12"/>
      <c r="R641" s="12"/>
      <c r="S641" s="13"/>
      <c r="T641" s="16" t="str">
        <f aca="false">IF(OR(S641="",L641=""),"",L641/(1-M641)-S641)</f>
        <v/>
      </c>
      <c r="U641" s="16" t="str">
        <f aca="false">IF(OR(L641="",P641=""),"",L641*(P641-1)-N641)</f>
        <v/>
      </c>
      <c r="V641" s="13"/>
      <c r="W641" s="17"/>
      <c r="X641" s="12"/>
      <c r="Y641" s="12"/>
      <c r="Z641" s="12"/>
      <c r="AA641" s="18" t="str">
        <f aca="false">IF(K641&lt;&gt;"ВИРТУАЛЬНЫЙ ВЫБОР","",IF(Z641="✅ ЗАШЛО",W641*(P641-1),IF(Z641="❌ НЕ ЗАШЛО",-W641,IF(Z641="½ ЗАШЛО",W641*(P641-1)/2,IF(Z641="½ НЕ ЗАШЛО",-W641/2,IF(Z641="ВОЗВРАТ",0,""))))))</f>
        <v/>
      </c>
      <c r="AB641" s="18" t="str">
        <f aca="false">IF(AND(K641="ВИРТУАЛЬНЫЙ ВЫБОР",OR(Z641="✅ ЗАШЛО",Z641="❌ НЕ ЗАШЛО",Z641="½ ЗАШЛО",Z641="½ НЕ ЗАШЛО",Z641="ВОЗВРАТ")),W641,"")</f>
        <v/>
      </c>
      <c r="AC641" s="15"/>
      <c r="AD641" s="16" t="str">
        <f aca="false">IF(OR(AC641="",P641=""),"",P641/AC641-1)</f>
        <v/>
      </c>
      <c r="AE641" s="19" t="str">
        <f aca="false">IF(AND(M641=0,OR(Z641="✅ ЗАШЛО",Z641="❌ НЕ ЗАШЛО"),L641&lt;&gt;""),(L641-IF(Z641="✅ ЗАШЛО",1,0))^2,"")</f>
        <v/>
      </c>
      <c r="AF641" s="15"/>
      <c r="AG641" s="15"/>
      <c r="AH641" s="13"/>
      <c r="AI641" s="13"/>
      <c r="AJ641" s="13"/>
      <c r="AK641" s="20" t="str">
        <f aca="false">IF(AH641="","",IF(ABS(AH641+AI641+AJ641-1)&lt;0.000001,"OK","ОШИБКА"))</f>
        <v/>
      </c>
      <c r="AL641" s="13"/>
      <c r="AM641" s="12"/>
      <c r="AN641" s="12"/>
      <c r="AO641" s="12"/>
      <c r="AP641" s="12"/>
      <c r="AQ641" s="18" t="str">
        <f aca="false">IF(A641="","",N(AQ640)+N(AA641))</f>
        <v/>
      </c>
      <c r="AR641" s="18" t="str">
        <f aca="false">IF(AQ641="","",MAX(0,MAX($AQ$8:AQ641))-AQ641)</f>
        <v/>
      </c>
    </row>
    <row r="642" customFormat="false" ht="15" hidden="false" customHeight="fals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3"/>
      <c r="M642" s="13"/>
      <c r="N642" s="13"/>
      <c r="O642" s="14" t="str">
        <f aca="false">IF(OR(L642="",L642=0),"",(1-M642)/L642)</f>
        <v/>
      </c>
      <c r="P642" s="15"/>
      <c r="Q642" s="12"/>
      <c r="R642" s="12"/>
      <c r="S642" s="13"/>
      <c r="T642" s="16" t="str">
        <f aca="false">IF(OR(S642="",L642=""),"",L642/(1-M642)-S642)</f>
        <v/>
      </c>
      <c r="U642" s="16" t="str">
        <f aca="false">IF(OR(L642="",P642=""),"",L642*(P642-1)-N642)</f>
        <v/>
      </c>
      <c r="V642" s="13"/>
      <c r="W642" s="17"/>
      <c r="X642" s="12"/>
      <c r="Y642" s="12"/>
      <c r="Z642" s="12"/>
      <c r="AA642" s="18" t="str">
        <f aca="false">IF(K642&lt;&gt;"ВИРТУАЛЬНЫЙ ВЫБОР","",IF(Z642="✅ ЗАШЛО",W642*(P642-1),IF(Z642="❌ НЕ ЗАШЛО",-W642,IF(Z642="½ ЗАШЛО",W642*(P642-1)/2,IF(Z642="½ НЕ ЗАШЛО",-W642/2,IF(Z642="ВОЗВРАТ",0,""))))))</f>
        <v/>
      </c>
      <c r="AB642" s="18" t="str">
        <f aca="false">IF(AND(K642="ВИРТУАЛЬНЫЙ ВЫБОР",OR(Z642="✅ ЗАШЛО",Z642="❌ НЕ ЗАШЛО",Z642="½ ЗАШЛО",Z642="½ НЕ ЗАШЛО",Z642="ВОЗВРАТ")),W642,"")</f>
        <v/>
      </c>
      <c r="AC642" s="15"/>
      <c r="AD642" s="16" t="str">
        <f aca="false">IF(OR(AC642="",P642=""),"",P642/AC642-1)</f>
        <v/>
      </c>
      <c r="AE642" s="19" t="str">
        <f aca="false">IF(AND(M642=0,OR(Z642="✅ ЗАШЛО",Z642="❌ НЕ ЗАШЛО"),L642&lt;&gt;""),(L642-IF(Z642="✅ ЗАШЛО",1,0))^2,"")</f>
        <v/>
      </c>
      <c r="AF642" s="15"/>
      <c r="AG642" s="15"/>
      <c r="AH642" s="13"/>
      <c r="AI642" s="13"/>
      <c r="AJ642" s="13"/>
      <c r="AK642" s="20" t="str">
        <f aca="false">IF(AH642="","",IF(ABS(AH642+AI642+AJ642-1)&lt;0.000001,"OK","ОШИБКА"))</f>
        <v/>
      </c>
      <c r="AL642" s="13"/>
      <c r="AM642" s="12"/>
      <c r="AN642" s="12"/>
      <c r="AO642" s="12"/>
      <c r="AP642" s="12"/>
      <c r="AQ642" s="18" t="str">
        <f aca="false">IF(A642="","",N(AQ641)+N(AA642))</f>
        <v/>
      </c>
      <c r="AR642" s="18" t="str">
        <f aca="false">IF(AQ642="","",MAX(0,MAX($AQ$8:AQ642))-AQ642)</f>
        <v/>
      </c>
    </row>
    <row r="643" customFormat="false" ht="15" hidden="false" customHeight="fals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3"/>
      <c r="M643" s="13"/>
      <c r="N643" s="13"/>
      <c r="O643" s="14" t="str">
        <f aca="false">IF(OR(L643="",L643=0),"",(1-M643)/L643)</f>
        <v/>
      </c>
      <c r="P643" s="15"/>
      <c r="Q643" s="12"/>
      <c r="R643" s="12"/>
      <c r="S643" s="13"/>
      <c r="T643" s="16" t="str">
        <f aca="false">IF(OR(S643="",L643=""),"",L643/(1-M643)-S643)</f>
        <v/>
      </c>
      <c r="U643" s="16" t="str">
        <f aca="false">IF(OR(L643="",P643=""),"",L643*(P643-1)-N643)</f>
        <v/>
      </c>
      <c r="V643" s="13"/>
      <c r="W643" s="17"/>
      <c r="X643" s="12"/>
      <c r="Y643" s="12"/>
      <c r="Z643" s="12"/>
      <c r="AA643" s="18" t="str">
        <f aca="false">IF(K643&lt;&gt;"ВИРТУАЛЬНЫЙ ВЫБОР","",IF(Z643="✅ ЗАШЛО",W643*(P643-1),IF(Z643="❌ НЕ ЗАШЛО",-W643,IF(Z643="½ ЗАШЛО",W643*(P643-1)/2,IF(Z643="½ НЕ ЗАШЛО",-W643/2,IF(Z643="ВОЗВРАТ",0,""))))))</f>
        <v/>
      </c>
      <c r="AB643" s="18" t="str">
        <f aca="false">IF(AND(K643="ВИРТУАЛЬНЫЙ ВЫБОР",OR(Z643="✅ ЗАШЛО",Z643="❌ НЕ ЗАШЛО",Z643="½ ЗАШЛО",Z643="½ НЕ ЗАШЛО",Z643="ВОЗВРАТ")),W643,"")</f>
        <v/>
      </c>
      <c r="AC643" s="15"/>
      <c r="AD643" s="16" t="str">
        <f aca="false">IF(OR(AC643="",P643=""),"",P643/AC643-1)</f>
        <v/>
      </c>
      <c r="AE643" s="19" t="str">
        <f aca="false">IF(AND(M643=0,OR(Z643="✅ ЗАШЛО",Z643="❌ НЕ ЗАШЛО"),L643&lt;&gt;""),(L643-IF(Z643="✅ ЗАШЛО",1,0))^2,"")</f>
        <v/>
      </c>
      <c r="AF643" s="15"/>
      <c r="AG643" s="15"/>
      <c r="AH643" s="13"/>
      <c r="AI643" s="13"/>
      <c r="AJ643" s="13"/>
      <c r="AK643" s="20" t="str">
        <f aca="false">IF(AH643="","",IF(ABS(AH643+AI643+AJ643-1)&lt;0.000001,"OK","ОШИБКА"))</f>
        <v/>
      </c>
      <c r="AL643" s="13"/>
      <c r="AM643" s="12"/>
      <c r="AN643" s="12"/>
      <c r="AO643" s="12"/>
      <c r="AP643" s="12"/>
      <c r="AQ643" s="18" t="str">
        <f aca="false">IF(A643="","",N(AQ642)+N(AA643))</f>
        <v/>
      </c>
      <c r="AR643" s="18" t="str">
        <f aca="false">IF(AQ643="","",MAX(0,MAX($AQ$8:AQ643))-AQ643)</f>
        <v/>
      </c>
    </row>
    <row r="644" customFormat="false" ht="15" hidden="false" customHeight="fals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3"/>
      <c r="M644" s="13"/>
      <c r="N644" s="13"/>
      <c r="O644" s="14" t="str">
        <f aca="false">IF(OR(L644="",L644=0),"",(1-M644)/L644)</f>
        <v/>
      </c>
      <c r="P644" s="15"/>
      <c r="Q644" s="12"/>
      <c r="R644" s="12"/>
      <c r="S644" s="13"/>
      <c r="T644" s="16" t="str">
        <f aca="false">IF(OR(S644="",L644=""),"",L644/(1-M644)-S644)</f>
        <v/>
      </c>
      <c r="U644" s="16" t="str">
        <f aca="false">IF(OR(L644="",P644=""),"",L644*(P644-1)-N644)</f>
        <v/>
      </c>
      <c r="V644" s="13"/>
      <c r="W644" s="17"/>
      <c r="X644" s="12"/>
      <c r="Y644" s="12"/>
      <c r="Z644" s="12"/>
      <c r="AA644" s="18" t="str">
        <f aca="false">IF(K644&lt;&gt;"ВИРТУАЛЬНЫЙ ВЫБОР","",IF(Z644="✅ ЗАШЛО",W644*(P644-1),IF(Z644="❌ НЕ ЗАШЛО",-W644,IF(Z644="½ ЗАШЛО",W644*(P644-1)/2,IF(Z644="½ НЕ ЗАШЛО",-W644/2,IF(Z644="ВОЗВРАТ",0,""))))))</f>
        <v/>
      </c>
      <c r="AB644" s="18" t="str">
        <f aca="false">IF(AND(K644="ВИРТУАЛЬНЫЙ ВЫБОР",OR(Z644="✅ ЗАШЛО",Z644="❌ НЕ ЗАШЛО",Z644="½ ЗАШЛО",Z644="½ НЕ ЗАШЛО",Z644="ВОЗВРАТ")),W644,"")</f>
        <v/>
      </c>
      <c r="AC644" s="15"/>
      <c r="AD644" s="16" t="str">
        <f aca="false">IF(OR(AC644="",P644=""),"",P644/AC644-1)</f>
        <v/>
      </c>
      <c r="AE644" s="19" t="str">
        <f aca="false">IF(AND(M644=0,OR(Z644="✅ ЗАШЛО",Z644="❌ НЕ ЗАШЛО"),L644&lt;&gt;""),(L644-IF(Z644="✅ ЗАШЛО",1,0))^2,"")</f>
        <v/>
      </c>
      <c r="AF644" s="15"/>
      <c r="AG644" s="15"/>
      <c r="AH644" s="13"/>
      <c r="AI644" s="13"/>
      <c r="AJ644" s="13"/>
      <c r="AK644" s="20" t="str">
        <f aca="false">IF(AH644="","",IF(ABS(AH644+AI644+AJ644-1)&lt;0.000001,"OK","ОШИБКА"))</f>
        <v/>
      </c>
      <c r="AL644" s="13"/>
      <c r="AM644" s="12"/>
      <c r="AN644" s="12"/>
      <c r="AO644" s="12"/>
      <c r="AP644" s="12"/>
      <c r="AQ644" s="18" t="str">
        <f aca="false">IF(A644="","",N(AQ643)+N(AA644))</f>
        <v/>
      </c>
      <c r="AR644" s="18" t="str">
        <f aca="false">IF(AQ644="","",MAX(0,MAX($AQ$8:AQ644))-AQ644)</f>
        <v/>
      </c>
    </row>
    <row r="645" customFormat="false" ht="15" hidden="false" customHeight="fals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3"/>
      <c r="M645" s="13"/>
      <c r="N645" s="13"/>
      <c r="O645" s="14" t="str">
        <f aca="false">IF(OR(L645="",L645=0),"",(1-M645)/L645)</f>
        <v/>
      </c>
      <c r="P645" s="15"/>
      <c r="Q645" s="12"/>
      <c r="R645" s="12"/>
      <c r="S645" s="13"/>
      <c r="T645" s="16" t="str">
        <f aca="false">IF(OR(S645="",L645=""),"",L645/(1-M645)-S645)</f>
        <v/>
      </c>
      <c r="U645" s="16" t="str">
        <f aca="false">IF(OR(L645="",P645=""),"",L645*(P645-1)-N645)</f>
        <v/>
      </c>
      <c r="V645" s="13"/>
      <c r="W645" s="17"/>
      <c r="X645" s="12"/>
      <c r="Y645" s="12"/>
      <c r="Z645" s="12"/>
      <c r="AA645" s="18" t="str">
        <f aca="false">IF(K645&lt;&gt;"ВИРТУАЛЬНЫЙ ВЫБОР","",IF(Z645="✅ ЗАШЛО",W645*(P645-1),IF(Z645="❌ НЕ ЗАШЛО",-W645,IF(Z645="½ ЗАШЛО",W645*(P645-1)/2,IF(Z645="½ НЕ ЗАШЛО",-W645/2,IF(Z645="ВОЗВРАТ",0,""))))))</f>
        <v/>
      </c>
      <c r="AB645" s="18" t="str">
        <f aca="false">IF(AND(K645="ВИРТУАЛЬНЫЙ ВЫБОР",OR(Z645="✅ ЗАШЛО",Z645="❌ НЕ ЗАШЛО",Z645="½ ЗАШЛО",Z645="½ НЕ ЗАШЛО",Z645="ВОЗВРАТ")),W645,"")</f>
        <v/>
      </c>
      <c r="AC645" s="15"/>
      <c r="AD645" s="16" t="str">
        <f aca="false">IF(OR(AC645="",P645=""),"",P645/AC645-1)</f>
        <v/>
      </c>
      <c r="AE645" s="19" t="str">
        <f aca="false">IF(AND(M645=0,OR(Z645="✅ ЗАШЛО",Z645="❌ НЕ ЗАШЛО"),L645&lt;&gt;""),(L645-IF(Z645="✅ ЗАШЛО",1,0))^2,"")</f>
        <v/>
      </c>
      <c r="AF645" s="15"/>
      <c r="AG645" s="15"/>
      <c r="AH645" s="13"/>
      <c r="AI645" s="13"/>
      <c r="AJ645" s="13"/>
      <c r="AK645" s="20" t="str">
        <f aca="false">IF(AH645="","",IF(ABS(AH645+AI645+AJ645-1)&lt;0.000001,"OK","ОШИБКА"))</f>
        <v/>
      </c>
      <c r="AL645" s="13"/>
      <c r="AM645" s="12"/>
      <c r="AN645" s="12"/>
      <c r="AO645" s="12"/>
      <c r="AP645" s="12"/>
      <c r="AQ645" s="18" t="str">
        <f aca="false">IF(A645="","",N(AQ644)+N(AA645))</f>
        <v/>
      </c>
      <c r="AR645" s="18" t="str">
        <f aca="false">IF(AQ645="","",MAX(0,MAX($AQ$8:AQ645))-AQ645)</f>
        <v/>
      </c>
    </row>
    <row r="646" customFormat="false" ht="15" hidden="false" customHeight="fals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3"/>
      <c r="M646" s="13"/>
      <c r="N646" s="13"/>
      <c r="O646" s="14" t="str">
        <f aca="false">IF(OR(L646="",L646=0),"",(1-M646)/L646)</f>
        <v/>
      </c>
      <c r="P646" s="15"/>
      <c r="Q646" s="12"/>
      <c r="R646" s="12"/>
      <c r="S646" s="13"/>
      <c r="T646" s="16" t="str">
        <f aca="false">IF(OR(S646="",L646=""),"",L646/(1-M646)-S646)</f>
        <v/>
      </c>
      <c r="U646" s="16" t="str">
        <f aca="false">IF(OR(L646="",P646=""),"",L646*(P646-1)-N646)</f>
        <v/>
      </c>
      <c r="V646" s="13"/>
      <c r="W646" s="17"/>
      <c r="X646" s="12"/>
      <c r="Y646" s="12"/>
      <c r="Z646" s="12"/>
      <c r="AA646" s="18" t="str">
        <f aca="false">IF(K646&lt;&gt;"ВИРТУАЛЬНЫЙ ВЫБОР","",IF(Z646="✅ ЗАШЛО",W646*(P646-1),IF(Z646="❌ НЕ ЗАШЛО",-W646,IF(Z646="½ ЗАШЛО",W646*(P646-1)/2,IF(Z646="½ НЕ ЗАШЛО",-W646/2,IF(Z646="ВОЗВРАТ",0,""))))))</f>
        <v/>
      </c>
      <c r="AB646" s="18" t="str">
        <f aca="false">IF(AND(K646="ВИРТУАЛЬНЫЙ ВЫБОР",OR(Z646="✅ ЗАШЛО",Z646="❌ НЕ ЗАШЛО",Z646="½ ЗАШЛО",Z646="½ НЕ ЗАШЛО",Z646="ВОЗВРАТ")),W646,"")</f>
        <v/>
      </c>
      <c r="AC646" s="15"/>
      <c r="AD646" s="16" t="str">
        <f aca="false">IF(OR(AC646="",P646=""),"",P646/AC646-1)</f>
        <v/>
      </c>
      <c r="AE646" s="19" t="str">
        <f aca="false">IF(AND(M646=0,OR(Z646="✅ ЗАШЛО",Z646="❌ НЕ ЗАШЛО"),L646&lt;&gt;""),(L646-IF(Z646="✅ ЗАШЛО",1,0))^2,"")</f>
        <v/>
      </c>
      <c r="AF646" s="15"/>
      <c r="AG646" s="15"/>
      <c r="AH646" s="13"/>
      <c r="AI646" s="13"/>
      <c r="AJ646" s="13"/>
      <c r="AK646" s="20" t="str">
        <f aca="false">IF(AH646="","",IF(ABS(AH646+AI646+AJ646-1)&lt;0.000001,"OK","ОШИБКА"))</f>
        <v/>
      </c>
      <c r="AL646" s="13"/>
      <c r="AM646" s="12"/>
      <c r="AN646" s="12"/>
      <c r="AO646" s="12"/>
      <c r="AP646" s="12"/>
      <c r="AQ646" s="18" t="str">
        <f aca="false">IF(A646="","",N(AQ645)+N(AA646))</f>
        <v/>
      </c>
      <c r="AR646" s="18" t="str">
        <f aca="false">IF(AQ646="","",MAX(0,MAX($AQ$8:AQ646))-AQ646)</f>
        <v/>
      </c>
    </row>
    <row r="647" customFormat="false" ht="15" hidden="false" customHeight="fals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3"/>
      <c r="M647" s="13"/>
      <c r="N647" s="13"/>
      <c r="O647" s="14" t="str">
        <f aca="false">IF(OR(L647="",L647=0),"",(1-M647)/L647)</f>
        <v/>
      </c>
      <c r="P647" s="15"/>
      <c r="Q647" s="12"/>
      <c r="R647" s="12"/>
      <c r="S647" s="13"/>
      <c r="T647" s="16" t="str">
        <f aca="false">IF(OR(S647="",L647=""),"",L647/(1-M647)-S647)</f>
        <v/>
      </c>
      <c r="U647" s="16" t="str">
        <f aca="false">IF(OR(L647="",P647=""),"",L647*(P647-1)-N647)</f>
        <v/>
      </c>
      <c r="V647" s="13"/>
      <c r="W647" s="17"/>
      <c r="X647" s="12"/>
      <c r="Y647" s="12"/>
      <c r="Z647" s="12"/>
      <c r="AA647" s="18" t="str">
        <f aca="false">IF(K647&lt;&gt;"ВИРТУАЛЬНЫЙ ВЫБОР","",IF(Z647="✅ ЗАШЛО",W647*(P647-1),IF(Z647="❌ НЕ ЗАШЛО",-W647,IF(Z647="½ ЗАШЛО",W647*(P647-1)/2,IF(Z647="½ НЕ ЗАШЛО",-W647/2,IF(Z647="ВОЗВРАТ",0,""))))))</f>
        <v/>
      </c>
      <c r="AB647" s="18" t="str">
        <f aca="false">IF(AND(K647="ВИРТУАЛЬНЫЙ ВЫБОР",OR(Z647="✅ ЗАШЛО",Z647="❌ НЕ ЗАШЛО",Z647="½ ЗАШЛО",Z647="½ НЕ ЗАШЛО",Z647="ВОЗВРАТ")),W647,"")</f>
        <v/>
      </c>
      <c r="AC647" s="15"/>
      <c r="AD647" s="16" t="str">
        <f aca="false">IF(OR(AC647="",P647=""),"",P647/AC647-1)</f>
        <v/>
      </c>
      <c r="AE647" s="19" t="str">
        <f aca="false">IF(AND(M647=0,OR(Z647="✅ ЗАШЛО",Z647="❌ НЕ ЗАШЛО"),L647&lt;&gt;""),(L647-IF(Z647="✅ ЗАШЛО",1,0))^2,"")</f>
        <v/>
      </c>
      <c r="AF647" s="15"/>
      <c r="AG647" s="15"/>
      <c r="AH647" s="13"/>
      <c r="AI647" s="13"/>
      <c r="AJ647" s="13"/>
      <c r="AK647" s="20" t="str">
        <f aca="false">IF(AH647="","",IF(ABS(AH647+AI647+AJ647-1)&lt;0.000001,"OK","ОШИБКА"))</f>
        <v/>
      </c>
      <c r="AL647" s="13"/>
      <c r="AM647" s="12"/>
      <c r="AN647" s="12"/>
      <c r="AO647" s="12"/>
      <c r="AP647" s="12"/>
      <c r="AQ647" s="18" t="str">
        <f aca="false">IF(A647="","",N(AQ646)+N(AA647))</f>
        <v/>
      </c>
      <c r="AR647" s="18" t="str">
        <f aca="false">IF(AQ647="","",MAX(0,MAX($AQ$8:AQ647))-AQ647)</f>
        <v/>
      </c>
    </row>
    <row r="648" customFormat="false" ht="15" hidden="false" customHeight="fals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3"/>
      <c r="M648" s="13"/>
      <c r="N648" s="13"/>
      <c r="O648" s="14" t="str">
        <f aca="false">IF(OR(L648="",L648=0),"",(1-M648)/L648)</f>
        <v/>
      </c>
      <c r="P648" s="15"/>
      <c r="Q648" s="12"/>
      <c r="R648" s="12"/>
      <c r="S648" s="13"/>
      <c r="T648" s="16" t="str">
        <f aca="false">IF(OR(S648="",L648=""),"",L648/(1-M648)-S648)</f>
        <v/>
      </c>
      <c r="U648" s="16" t="str">
        <f aca="false">IF(OR(L648="",P648=""),"",L648*(P648-1)-N648)</f>
        <v/>
      </c>
      <c r="V648" s="13"/>
      <c r="W648" s="17"/>
      <c r="X648" s="12"/>
      <c r="Y648" s="12"/>
      <c r="Z648" s="12"/>
      <c r="AA648" s="18" t="str">
        <f aca="false">IF(K648&lt;&gt;"ВИРТУАЛЬНЫЙ ВЫБОР","",IF(Z648="✅ ЗАШЛО",W648*(P648-1),IF(Z648="❌ НЕ ЗАШЛО",-W648,IF(Z648="½ ЗАШЛО",W648*(P648-1)/2,IF(Z648="½ НЕ ЗАШЛО",-W648/2,IF(Z648="ВОЗВРАТ",0,""))))))</f>
        <v/>
      </c>
      <c r="AB648" s="18" t="str">
        <f aca="false">IF(AND(K648="ВИРТУАЛЬНЫЙ ВЫБОР",OR(Z648="✅ ЗАШЛО",Z648="❌ НЕ ЗАШЛО",Z648="½ ЗАШЛО",Z648="½ НЕ ЗАШЛО",Z648="ВОЗВРАТ")),W648,"")</f>
        <v/>
      </c>
      <c r="AC648" s="15"/>
      <c r="AD648" s="16" t="str">
        <f aca="false">IF(OR(AC648="",P648=""),"",P648/AC648-1)</f>
        <v/>
      </c>
      <c r="AE648" s="19" t="str">
        <f aca="false">IF(AND(M648=0,OR(Z648="✅ ЗАШЛО",Z648="❌ НЕ ЗАШЛО"),L648&lt;&gt;""),(L648-IF(Z648="✅ ЗАШЛО",1,0))^2,"")</f>
        <v/>
      </c>
      <c r="AF648" s="15"/>
      <c r="AG648" s="15"/>
      <c r="AH648" s="13"/>
      <c r="AI648" s="13"/>
      <c r="AJ648" s="13"/>
      <c r="AK648" s="20" t="str">
        <f aca="false">IF(AH648="","",IF(ABS(AH648+AI648+AJ648-1)&lt;0.000001,"OK","ОШИБКА"))</f>
        <v/>
      </c>
      <c r="AL648" s="13"/>
      <c r="AM648" s="12"/>
      <c r="AN648" s="12"/>
      <c r="AO648" s="12"/>
      <c r="AP648" s="12"/>
      <c r="AQ648" s="18" t="str">
        <f aca="false">IF(A648="","",N(AQ647)+N(AA648))</f>
        <v/>
      </c>
      <c r="AR648" s="18" t="str">
        <f aca="false">IF(AQ648="","",MAX(0,MAX($AQ$8:AQ648))-AQ648)</f>
        <v/>
      </c>
    </row>
    <row r="649" customFormat="false" ht="15" hidden="false" customHeight="fals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3"/>
      <c r="M649" s="13"/>
      <c r="N649" s="13"/>
      <c r="O649" s="14" t="str">
        <f aca="false">IF(OR(L649="",L649=0),"",(1-M649)/L649)</f>
        <v/>
      </c>
      <c r="P649" s="15"/>
      <c r="Q649" s="12"/>
      <c r="R649" s="12"/>
      <c r="S649" s="13"/>
      <c r="T649" s="16" t="str">
        <f aca="false">IF(OR(S649="",L649=""),"",L649/(1-M649)-S649)</f>
        <v/>
      </c>
      <c r="U649" s="16" t="str">
        <f aca="false">IF(OR(L649="",P649=""),"",L649*(P649-1)-N649)</f>
        <v/>
      </c>
      <c r="V649" s="13"/>
      <c r="W649" s="17"/>
      <c r="X649" s="12"/>
      <c r="Y649" s="12"/>
      <c r="Z649" s="12"/>
      <c r="AA649" s="18" t="str">
        <f aca="false">IF(K649&lt;&gt;"ВИРТУАЛЬНЫЙ ВЫБОР","",IF(Z649="✅ ЗАШЛО",W649*(P649-1),IF(Z649="❌ НЕ ЗАШЛО",-W649,IF(Z649="½ ЗАШЛО",W649*(P649-1)/2,IF(Z649="½ НЕ ЗАШЛО",-W649/2,IF(Z649="ВОЗВРАТ",0,""))))))</f>
        <v/>
      </c>
      <c r="AB649" s="18" t="str">
        <f aca="false">IF(AND(K649="ВИРТУАЛЬНЫЙ ВЫБОР",OR(Z649="✅ ЗАШЛО",Z649="❌ НЕ ЗАШЛО",Z649="½ ЗАШЛО",Z649="½ НЕ ЗАШЛО",Z649="ВОЗВРАТ")),W649,"")</f>
        <v/>
      </c>
      <c r="AC649" s="15"/>
      <c r="AD649" s="16" t="str">
        <f aca="false">IF(OR(AC649="",P649=""),"",P649/AC649-1)</f>
        <v/>
      </c>
      <c r="AE649" s="19" t="str">
        <f aca="false">IF(AND(M649=0,OR(Z649="✅ ЗАШЛО",Z649="❌ НЕ ЗАШЛО"),L649&lt;&gt;""),(L649-IF(Z649="✅ ЗАШЛО",1,0))^2,"")</f>
        <v/>
      </c>
      <c r="AF649" s="15"/>
      <c r="AG649" s="15"/>
      <c r="AH649" s="13"/>
      <c r="AI649" s="13"/>
      <c r="AJ649" s="13"/>
      <c r="AK649" s="20" t="str">
        <f aca="false">IF(AH649="","",IF(ABS(AH649+AI649+AJ649-1)&lt;0.000001,"OK","ОШИБКА"))</f>
        <v/>
      </c>
      <c r="AL649" s="13"/>
      <c r="AM649" s="12"/>
      <c r="AN649" s="12"/>
      <c r="AO649" s="12"/>
      <c r="AP649" s="12"/>
      <c r="AQ649" s="18" t="str">
        <f aca="false">IF(A649="","",N(AQ648)+N(AA649))</f>
        <v/>
      </c>
      <c r="AR649" s="18" t="str">
        <f aca="false">IF(AQ649="","",MAX(0,MAX($AQ$8:AQ649))-AQ649)</f>
        <v/>
      </c>
    </row>
    <row r="650" customFormat="false" ht="15" hidden="false" customHeight="fals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3"/>
      <c r="M650" s="13"/>
      <c r="N650" s="13"/>
      <c r="O650" s="14" t="str">
        <f aca="false">IF(OR(L650="",L650=0),"",(1-M650)/L650)</f>
        <v/>
      </c>
      <c r="P650" s="15"/>
      <c r="Q650" s="12"/>
      <c r="R650" s="12"/>
      <c r="S650" s="13"/>
      <c r="T650" s="16" t="str">
        <f aca="false">IF(OR(S650="",L650=""),"",L650/(1-M650)-S650)</f>
        <v/>
      </c>
      <c r="U650" s="16" t="str">
        <f aca="false">IF(OR(L650="",P650=""),"",L650*(P650-1)-N650)</f>
        <v/>
      </c>
      <c r="V650" s="13"/>
      <c r="W650" s="17"/>
      <c r="X650" s="12"/>
      <c r="Y650" s="12"/>
      <c r="Z650" s="12"/>
      <c r="AA650" s="18" t="str">
        <f aca="false">IF(K650&lt;&gt;"ВИРТУАЛЬНЫЙ ВЫБОР","",IF(Z650="✅ ЗАШЛО",W650*(P650-1),IF(Z650="❌ НЕ ЗАШЛО",-W650,IF(Z650="½ ЗАШЛО",W650*(P650-1)/2,IF(Z650="½ НЕ ЗАШЛО",-W650/2,IF(Z650="ВОЗВРАТ",0,""))))))</f>
        <v/>
      </c>
      <c r="AB650" s="18" t="str">
        <f aca="false">IF(AND(K650="ВИРТУАЛЬНЫЙ ВЫБОР",OR(Z650="✅ ЗАШЛО",Z650="❌ НЕ ЗАШЛО",Z650="½ ЗАШЛО",Z650="½ НЕ ЗАШЛО",Z650="ВОЗВРАТ")),W650,"")</f>
        <v/>
      </c>
      <c r="AC650" s="15"/>
      <c r="AD650" s="16" t="str">
        <f aca="false">IF(OR(AC650="",P650=""),"",P650/AC650-1)</f>
        <v/>
      </c>
      <c r="AE650" s="19" t="str">
        <f aca="false">IF(AND(M650=0,OR(Z650="✅ ЗАШЛО",Z650="❌ НЕ ЗАШЛО"),L650&lt;&gt;""),(L650-IF(Z650="✅ ЗАШЛО",1,0))^2,"")</f>
        <v/>
      </c>
      <c r="AF650" s="15"/>
      <c r="AG650" s="15"/>
      <c r="AH650" s="13"/>
      <c r="AI650" s="13"/>
      <c r="AJ650" s="13"/>
      <c r="AK650" s="20" t="str">
        <f aca="false">IF(AH650="","",IF(ABS(AH650+AI650+AJ650-1)&lt;0.000001,"OK","ОШИБКА"))</f>
        <v/>
      </c>
      <c r="AL650" s="13"/>
      <c r="AM650" s="12"/>
      <c r="AN650" s="12"/>
      <c r="AO650" s="12"/>
      <c r="AP650" s="12"/>
      <c r="AQ650" s="18" t="str">
        <f aca="false">IF(A650="","",N(AQ649)+N(AA650))</f>
        <v/>
      </c>
      <c r="AR650" s="18" t="str">
        <f aca="false">IF(AQ650="","",MAX(0,MAX($AQ$8:AQ650))-AQ650)</f>
        <v/>
      </c>
    </row>
    <row r="651" customFormat="false" ht="15" hidden="false" customHeight="fals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3"/>
      <c r="M651" s="13"/>
      <c r="N651" s="13"/>
      <c r="O651" s="14" t="str">
        <f aca="false">IF(OR(L651="",L651=0),"",(1-M651)/L651)</f>
        <v/>
      </c>
      <c r="P651" s="15"/>
      <c r="Q651" s="12"/>
      <c r="R651" s="12"/>
      <c r="S651" s="13"/>
      <c r="T651" s="16" t="str">
        <f aca="false">IF(OR(S651="",L651=""),"",L651/(1-M651)-S651)</f>
        <v/>
      </c>
      <c r="U651" s="16" t="str">
        <f aca="false">IF(OR(L651="",P651=""),"",L651*(P651-1)-N651)</f>
        <v/>
      </c>
      <c r="V651" s="13"/>
      <c r="W651" s="17"/>
      <c r="X651" s="12"/>
      <c r="Y651" s="12"/>
      <c r="Z651" s="12"/>
      <c r="AA651" s="18" t="str">
        <f aca="false">IF(K651&lt;&gt;"ВИРТУАЛЬНЫЙ ВЫБОР","",IF(Z651="✅ ЗАШЛО",W651*(P651-1),IF(Z651="❌ НЕ ЗАШЛО",-W651,IF(Z651="½ ЗАШЛО",W651*(P651-1)/2,IF(Z651="½ НЕ ЗАШЛО",-W651/2,IF(Z651="ВОЗВРАТ",0,""))))))</f>
        <v/>
      </c>
      <c r="AB651" s="18" t="str">
        <f aca="false">IF(AND(K651="ВИРТУАЛЬНЫЙ ВЫБОР",OR(Z651="✅ ЗАШЛО",Z651="❌ НЕ ЗАШЛО",Z651="½ ЗАШЛО",Z651="½ НЕ ЗАШЛО",Z651="ВОЗВРАТ")),W651,"")</f>
        <v/>
      </c>
      <c r="AC651" s="15"/>
      <c r="AD651" s="16" t="str">
        <f aca="false">IF(OR(AC651="",P651=""),"",P651/AC651-1)</f>
        <v/>
      </c>
      <c r="AE651" s="19" t="str">
        <f aca="false">IF(AND(M651=0,OR(Z651="✅ ЗАШЛО",Z651="❌ НЕ ЗАШЛО"),L651&lt;&gt;""),(L651-IF(Z651="✅ ЗАШЛО",1,0))^2,"")</f>
        <v/>
      </c>
      <c r="AF651" s="15"/>
      <c r="AG651" s="15"/>
      <c r="AH651" s="13"/>
      <c r="AI651" s="13"/>
      <c r="AJ651" s="13"/>
      <c r="AK651" s="20" t="str">
        <f aca="false">IF(AH651="","",IF(ABS(AH651+AI651+AJ651-1)&lt;0.000001,"OK","ОШИБКА"))</f>
        <v/>
      </c>
      <c r="AL651" s="13"/>
      <c r="AM651" s="12"/>
      <c r="AN651" s="12"/>
      <c r="AO651" s="12"/>
      <c r="AP651" s="12"/>
      <c r="AQ651" s="18" t="str">
        <f aca="false">IF(A651="","",N(AQ650)+N(AA651))</f>
        <v/>
      </c>
      <c r="AR651" s="18" t="str">
        <f aca="false">IF(AQ651="","",MAX(0,MAX($AQ$8:AQ651))-AQ651)</f>
        <v/>
      </c>
    </row>
    <row r="652" customFormat="false" ht="15" hidden="false" customHeight="fals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3"/>
      <c r="M652" s="13"/>
      <c r="N652" s="13"/>
      <c r="O652" s="14" t="str">
        <f aca="false">IF(OR(L652="",L652=0),"",(1-M652)/L652)</f>
        <v/>
      </c>
      <c r="P652" s="15"/>
      <c r="Q652" s="12"/>
      <c r="R652" s="12"/>
      <c r="S652" s="13"/>
      <c r="T652" s="16" t="str">
        <f aca="false">IF(OR(S652="",L652=""),"",L652/(1-M652)-S652)</f>
        <v/>
      </c>
      <c r="U652" s="16" t="str">
        <f aca="false">IF(OR(L652="",P652=""),"",L652*(P652-1)-N652)</f>
        <v/>
      </c>
      <c r="V652" s="13"/>
      <c r="W652" s="17"/>
      <c r="X652" s="12"/>
      <c r="Y652" s="12"/>
      <c r="Z652" s="12"/>
      <c r="AA652" s="18" t="str">
        <f aca="false">IF(K652&lt;&gt;"ВИРТУАЛЬНЫЙ ВЫБОР","",IF(Z652="✅ ЗАШЛО",W652*(P652-1),IF(Z652="❌ НЕ ЗАШЛО",-W652,IF(Z652="½ ЗАШЛО",W652*(P652-1)/2,IF(Z652="½ НЕ ЗАШЛО",-W652/2,IF(Z652="ВОЗВРАТ",0,""))))))</f>
        <v/>
      </c>
      <c r="AB652" s="18" t="str">
        <f aca="false">IF(AND(K652="ВИРТУАЛЬНЫЙ ВЫБОР",OR(Z652="✅ ЗАШЛО",Z652="❌ НЕ ЗАШЛО",Z652="½ ЗАШЛО",Z652="½ НЕ ЗАШЛО",Z652="ВОЗВРАТ")),W652,"")</f>
        <v/>
      </c>
      <c r="AC652" s="15"/>
      <c r="AD652" s="16" t="str">
        <f aca="false">IF(OR(AC652="",P652=""),"",P652/AC652-1)</f>
        <v/>
      </c>
      <c r="AE652" s="19" t="str">
        <f aca="false">IF(AND(M652=0,OR(Z652="✅ ЗАШЛО",Z652="❌ НЕ ЗАШЛО"),L652&lt;&gt;""),(L652-IF(Z652="✅ ЗАШЛО",1,0))^2,"")</f>
        <v/>
      </c>
      <c r="AF652" s="15"/>
      <c r="AG652" s="15"/>
      <c r="AH652" s="13"/>
      <c r="AI652" s="13"/>
      <c r="AJ652" s="13"/>
      <c r="AK652" s="20" t="str">
        <f aca="false">IF(AH652="","",IF(ABS(AH652+AI652+AJ652-1)&lt;0.000001,"OK","ОШИБКА"))</f>
        <v/>
      </c>
      <c r="AL652" s="13"/>
      <c r="AM652" s="12"/>
      <c r="AN652" s="12"/>
      <c r="AO652" s="12"/>
      <c r="AP652" s="12"/>
      <c r="AQ652" s="18" t="str">
        <f aca="false">IF(A652="","",N(AQ651)+N(AA652))</f>
        <v/>
      </c>
      <c r="AR652" s="18" t="str">
        <f aca="false">IF(AQ652="","",MAX(0,MAX($AQ$8:AQ652))-AQ652)</f>
        <v/>
      </c>
    </row>
    <row r="653" customFormat="false" ht="15" hidden="false" customHeight="fals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3"/>
      <c r="M653" s="13"/>
      <c r="N653" s="13"/>
      <c r="O653" s="14" t="str">
        <f aca="false">IF(OR(L653="",L653=0),"",(1-M653)/L653)</f>
        <v/>
      </c>
      <c r="P653" s="15"/>
      <c r="Q653" s="12"/>
      <c r="R653" s="12"/>
      <c r="S653" s="13"/>
      <c r="T653" s="16" t="str">
        <f aca="false">IF(OR(S653="",L653=""),"",L653/(1-M653)-S653)</f>
        <v/>
      </c>
      <c r="U653" s="16" t="str">
        <f aca="false">IF(OR(L653="",P653=""),"",L653*(P653-1)-N653)</f>
        <v/>
      </c>
      <c r="V653" s="13"/>
      <c r="W653" s="17"/>
      <c r="X653" s="12"/>
      <c r="Y653" s="12"/>
      <c r="Z653" s="12"/>
      <c r="AA653" s="18" t="str">
        <f aca="false">IF(K653&lt;&gt;"ВИРТУАЛЬНЫЙ ВЫБОР","",IF(Z653="✅ ЗАШЛО",W653*(P653-1),IF(Z653="❌ НЕ ЗАШЛО",-W653,IF(Z653="½ ЗАШЛО",W653*(P653-1)/2,IF(Z653="½ НЕ ЗАШЛО",-W653/2,IF(Z653="ВОЗВРАТ",0,""))))))</f>
        <v/>
      </c>
      <c r="AB653" s="18" t="str">
        <f aca="false">IF(AND(K653="ВИРТУАЛЬНЫЙ ВЫБОР",OR(Z653="✅ ЗАШЛО",Z653="❌ НЕ ЗАШЛО",Z653="½ ЗАШЛО",Z653="½ НЕ ЗАШЛО",Z653="ВОЗВРАТ")),W653,"")</f>
        <v/>
      </c>
      <c r="AC653" s="15"/>
      <c r="AD653" s="16" t="str">
        <f aca="false">IF(OR(AC653="",P653=""),"",P653/AC653-1)</f>
        <v/>
      </c>
      <c r="AE653" s="19" t="str">
        <f aca="false">IF(AND(M653=0,OR(Z653="✅ ЗАШЛО",Z653="❌ НЕ ЗАШЛО"),L653&lt;&gt;""),(L653-IF(Z653="✅ ЗАШЛО",1,0))^2,"")</f>
        <v/>
      </c>
      <c r="AF653" s="15"/>
      <c r="AG653" s="15"/>
      <c r="AH653" s="13"/>
      <c r="AI653" s="13"/>
      <c r="AJ653" s="13"/>
      <c r="AK653" s="20" t="str">
        <f aca="false">IF(AH653="","",IF(ABS(AH653+AI653+AJ653-1)&lt;0.000001,"OK","ОШИБКА"))</f>
        <v/>
      </c>
      <c r="AL653" s="13"/>
      <c r="AM653" s="12"/>
      <c r="AN653" s="12"/>
      <c r="AO653" s="12"/>
      <c r="AP653" s="12"/>
      <c r="AQ653" s="18" t="str">
        <f aca="false">IF(A653="","",N(AQ652)+N(AA653))</f>
        <v/>
      </c>
      <c r="AR653" s="18" t="str">
        <f aca="false">IF(AQ653="","",MAX(0,MAX($AQ$8:AQ653))-AQ653)</f>
        <v/>
      </c>
    </row>
    <row r="654" customFormat="false" ht="15" hidden="false" customHeight="fals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3"/>
      <c r="M654" s="13"/>
      <c r="N654" s="13"/>
      <c r="O654" s="14" t="str">
        <f aca="false">IF(OR(L654="",L654=0),"",(1-M654)/L654)</f>
        <v/>
      </c>
      <c r="P654" s="15"/>
      <c r="Q654" s="12"/>
      <c r="R654" s="12"/>
      <c r="S654" s="13"/>
      <c r="T654" s="16" t="str">
        <f aca="false">IF(OR(S654="",L654=""),"",L654/(1-M654)-S654)</f>
        <v/>
      </c>
      <c r="U654" s="16" t="str">
        <f aca="false">IF(OR(L654="",P654=""),"",L654*(P654-1)-N654)</f>
        <v/>
      </c>
      <c r="V654" s="13"/>
      <c r="W654" s="17"/>
      <c r="X654" s="12"/>
      <c r="Y654" s="12"/>
      <c r="Z654" s="12"/>
      <c r="AA654" s="18" t="str">
        <f aca="false">IF(K654&lt;&gt;"ВИРТУАЛЬНЫЙ ВЫБОР","",IF(Z654="✅ ЗАШЛО",W654*(P654-1),IF(Z654="❌ НЕ ЗАШЛО",-W654,IF(Z654="½ ЗАШЛО",W654*(P654-1)/2,IF(Z654="½ НЕ ЗАШЛО",-W654/2,IF(Z654="ВОЗВРАТ",0,""))))))</f>
        <v/>
      </c>
      <c r="AB654" s="18" t="str">
        <f aca="false">IF(AND(K654="ВИРТУАЛЬНЫЙ ВЫБОР",OR(Z654="✅ ЗАШЛО",Z654="❌ НЕ ЗАШЛО",Z654="½ ЗАШЛО",Z654="½ НЕ ЗАШЛО",Z654="ВОЗВРАТ")),W654,"")</f>
        <v/>
      </c>
      <c r="AC654" s="15"/>
      <c r="AD654" s="16" t="str">
        <f aca="false">IF(OR(AC654="",P654=""),"",P654/AC654-1)</f>
        <v/>
      </c>
      <c r="AE654" s="19" t="str">
        <f aca="false">IF(AND(M654=0,OR(Z654="✅ ЗАШЛО",Z654="❌ НЕ ЗАШЛО"),L654&lt;&gt;""),(L654-IF(Z654="✅ ЗАШЛО",1,0))^2,"")</f>
        <v/>
      </c>
      <c r="AF654" s="15"/>
      <c r="AG654" s="15"/>
      <c r="AH654" s="13"/>
      <c r="AI654" s="13"/>
      <c r="AJ654" s="13"/>
      <c r="AK654" s="20" t="str">
        <f aca="false">IF(AH654="","",IF(ABS(AH654+AI654+AJ654-1)&lt;0.000001,"OK","ОШИБКА"))</f>
        <v/>
      </c>
      <c r="AL654" s="13"/>
      <c r="AM654" s="12"/>
      <c r="AN654" s="12"/>
      <c r="AO654" s="12"/>
      <c r="AP654" s="12"/>
      <c r="AQ654" s="18" t="str">
        <f aca="false">IF(A654="","",N(AQ653)+N(AA654))</f>
        <v/>
      </c>
      <c r="AR654" s="18" t="str">
        <f aca="false">IF(AQ654="","",MAX(0,MAX($AQ$8:AQ654))-AQ654)</f>
        <v/>
      </c>
    </row>
    <row r="655" customFormat="false" ht="15" hidden="false" customHeight="fals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3"/>
      <c r="M655" s="13"/>
      <c r="N655" s="13"/>
      <c r="O655" s="14" t="str">
        <f aca="false">IF(OR(L655="",L655=0),"",(1-M655)/L655)</f>
        <v/>
      </c>
      <c r="P655" s="15"/>
      <c r="Q655" s="12"/>
      <c r="R655" s="12"/>
      <c r="S655" s="13"/>
      <c r="T655" s="16" t="str">
        <f aca="false">IF(OR(S655="",L655=""),"",L655/(1-M655)-S655)</f>
        <v/>
      </c>
      <c r="U655" s="16" t="str">
        <f aca="false">IF(OR(L655="",P655=""),"",L655*(P655-1)-N655)</f>
        <v/>
      </c>
      <c r="V655" s="13"/>
      <c r="W655" s="17"/>
      <c r="X655" s="12"/>
      <c r="Y655" s="12"/>
      <c r="Z655" s="12"/>
      <c r="AA655" s="18" t="str">
        <f aca="false">IF(K655&lt;&gt;"ВИРТУАЛЬНЫЙ ВЫБОР","",IF(Z655="✅ ЗАШЛО",W655*(P655-1),IF(Z655="❌ НЕ ЗАШЛО",-W655,IF(Z655="½ ЗАШЛО",W655*(P655-1)/2,IF(Z655="½ НЕ ЗАШЛО",-W655/2,IF(Z655="ВОЗВРАТ",0,""))))))</f>
        <v/>
      </c>
      <c r="AB655" s="18" t="str">
        <f aca="false">IF(AND(K655="ВИРТУАЛЬНЫЙ ВЫБОР",OR(Z655="✅ ЗАШЛО",Z655="❌ НЕ ЗАШЛО",Z655="½ ЗАШЛО",Z655="½ НЕ ЗАШЛО",Z655="ВОЗВРАТ")),W655,"")</f>
        <v/>
      </c>
      <c r="AC655" s="15"/>
      <c r="AD655" s="16" t="str">
        <f aca="false">IF(OR(AC655="",P655=""),"",P655/AC655-1)</f>
        <v/>
      </c>
      <c r="AE655" s="19" t="str">
        <f aca="false">IF(AND(M655=0,OR(Z655="✅ ЗАШЛО",Z655="❌ НЕ ЗАШЛО"),L655&lt;&gt;""),(L655-IF(Z655="✅ ЗАШЛО",1,0))^2,"")</f>
        <v/>
      </c>
      <c r="AF655" s="15"/>
      <c r="AG655" s="15"/>
      <c r="AH655" s="13"/>
      <c r="AI655" s="13"/>
      <c r="AJ655" s="13"/>
      <c r="AK655" s="20" t="str">
        <f aca="false">IF(AH655="","",IF(ABS(AH655+AI655+AJ655-1)&lt;0.000001,"OK","ОШИБКА"))</f>
        <v/>
      </c>
      <c r="AL655" s="13"/>
      <c r="AM655" s="12"/>
      <c r="AN655" s="12"/>
      <c r="AO655" s="12"/>
      <c r="AP655" s="12"/>
      <c r="AQ655" s="18" t="str">
        <f aca="false">IF(A655="","",N(AQ654)+N(AA655))</f>
        <v/>
      </c>
      <c r="AR655" s="18" t="str">
        <f aca="false">IF(AQ655="","",MAX(0,MAX($AQ$8:AQ655))-AQ655)</f>
        <v/>
      </c>
    </row>
    <row r="656" customFormat="false" ht="15" hidden="false" customHeight="fals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3"/>
      <c r="M656" s="13"/>
      <c r="N656" s="13"/>
      <c r="O656" s="14" t="str">
        <f aca="false">IF(OR(L656="",L656=0),"",(1-M656)/L656)</f>
        <v/>
      </c>
      <c r="P656" s="15"/>
      <c r="Q656" s="12"/>
      <c r="R656" s="12"/>
      <c r="S656" s="13"/>
      <c r="T656" s="16" t="str">
        <f aca="false">IF(OR(S656="",L656=""),"",L656/(1-M656)-S656)</f>
        <v/>
      </c>
      <c r="U656" s="16" t="str">
        <f aca="false">IF(OR(L656="",P656=""),"",L656*(P656-1)-N656)</f>
        <v/>
      </c>
      <c r="V656" s="13"/>
      <c r="W656" s="17"/>
      <c r="X656" s="12"/>
      <c r="Y656" s="12"/>
      <c r="Z656" s="12"/>
      <c r="AA656" s="18" t="str">
        <f aca="false">IF(K656&lt;&gt;"ВИРТУАЛЬНЫЙ ВЫБОР","",IF(Z656="✅ ЗАШЛО",W656*(P656-1),IF(Z656="❌ НЕ ЗАШЛО",-W656,IF(Z656="½ ЗАШЛО",W656*(P656-1)/2,IF(Z656="½ НЕ ЗАШЛО",-W656/2,IF(Z656="ВОЗВРАТ",0,""))))))</f>
        <v/>
      </c>
      <c r="AB656" s="18" t="str">
        <f aca="false">IF(AND(K656="ВИРТУАЛЬНЫЙ ВЫБОР",OR(Z656="✅ ЗАШЛО",Z656="❌ НЕ ЗАШЛО",Z656="½ ЗАШЛО",Z656="½ НЕ ЗАШЛО",Z656="ВОЗВРАТ")),W656,"")</f>
        <v/>
      </c>
      <c r="AC656" s="15"/>
      <c r="AD656" s="16" t="str">
        <f aca="false">IF(OR(AC656="",P656=""),"",P656/AC656-1)</f>
        <v/>
      </c>
      <c r="AE656" s="19" t="str">
        <f aca="false">IF(AND(M656=0,OR(Z656="✅ ЗАШЛО",Z656="❌ НЕ ЗАШЛО"),L656&lt;&gt;""),(L656-IF(Z656="✅ ЗАШЛО",1,0))^2,"")</f>
        <v/>
      </c>
      <c r="AF656" s="15"/>
      <c r="AG656" s="15"/>
      <c r="AH656" s="13"/>
      <c r="AI656" s="13"/>
      <c r="AJ656" s="13"/>
      <c r="AK656" s="20" t="str">
        <f aca="false">IF(AH656="","",IF(ABS(AH656+AI656+AJ656-1)&lt;0.000001,"OK","ОШИБКА"))</f>
        <v/>
      </c>
      <c r="AL656" s="13"/>
      <c r="AM656" s="12"/>
      <c r="AN656" s="12"/>
      <c r="AO656" s="12"/>
      <c r="AP656" s="12"/>
      <c r="AQ656" s="18" t="str">
        <f aca="false">IF(A656="","",N(AQ655)+N(AA656))</f>
        <v/>
      </c>
      <c r="AR656" s="18" t="str">
        <f aca="false">IF(AQ656="","",MAX(0,MAX($AQ$8:AQ656))-AQ656)</f>
        <v/>
      </c>
    </row>
    <row r="657" customFormat="false" ht="15" hidden="false" customHeight="fals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3"/>
      <c r="M657" s="13"/>
      <c r="N657" s="13"/>
      <c r="O657" s="14" t="str">
        <f aca="false">IF(OR(L657="",L657=0),"",(1-M657)/L657)</f>
        <v/>
      </c>
      <c r="P657" s="15"/>
      <c r="Q657" s="12"/>
      <c r="R657" s="12"/>
      <c r="S657" s="13"/>
      <c r="T657" s="16" t="str">
        <f aca="false">IF(OR(S657="",L657=""),"",L657/(1-M657)-S657)</f>
        <v/>
      </c>
      <c r="U657" s="16" t="str">
        <f aca="false">IF(OR(L657="",P657=""),"",L657*(P657-1)-N657)</f>
        <v/>
      </c>
      <c r="V657" s="13"/>
      <c r="W657" s="17"/>
      <c r="X657" s="12"/>
      <c r="Y657" s="12"/>
      <c r="Z657" s="12"/>
      <c r="AA657" s="18" t="str">
        <f aca="false">IF(K657&lt;&gt;"ВИРТУАЛЬНЫЙ ВЫБОР","",IF(Z657="✅ ЗАШЛО",W657*(P657-1),IF(Z657="❌ НЕ ЗАШЛО",-W657,IF(Z657="½ ЗАШЛО",W657*(P657-1)/2,IF(Z657="½ НЕ ЗАШЛО",-W657/2,IF(Z657="ВОЗВРАТ",0,""))))))</f>
        <v/>
      </c>
      <c r="AB657" s="18" t="str">
        <f aca="false">IF(AND(K657="ВИРТУАЛЬНЫЙ ВЫБОР",OR(Z657="✅ ЗАШЛО",Z657="❌ НЕ ЗАШЛО",Z657="½ ЗАШЛО",Z657="½ НЕ ЗАШЛО",Z657="ВОЗВРАТ")),W657,"")</f>
        <v/>
      </c>
      <c r="AC657" s="15"/>
      <c r="AD657" s="16" t="str">
        <f aca="false">IF(OR(AC657="",P657=""),"",P657/AC657-1)</f>
        <v/>
      </c>
      <c r="AE657" s="19" t="str">
        <f aca="false">IF(AND(M657=0,OR(Z657="✅ ЗАШЛО",Z657="❌ НЕ ЗАШЛО"),L657&lt;&gt;""),(L657-IF(Z657="✅ ЗАШЛО",1,0))^2,"")</f>
        <v/>
      </c>
      <c r="AF657" s="15"/>
      <c r="AG657" s="15"/>
      <c r="AH657" s="13"/>
      <c r="AI657" s="13"/>
      <c r="AJ657" s="13"/>
      <c r="AK657" s="20" t="str">
        <f aca="false">IF(AH657="","",IF(ABS(AH657+AI657+AJ657-1)&lt;0.000001,"OK","ОШИБКА"))</f>
        <v/>
      </c>
      <c r="AL657" s="13"/>
      <c r="AM657" s="12"/>
      <c r="AN657" s="12"/>
      <c r="AO657" s="12"/>
      <c r="AP657" s="12"/>
      <c r="AQ657" s="18" t="str">
        <f aca="false">IF(A657="","",N(AQ656)+N(AA657))</f>
        <v/>
      </c>
      <c r="AR657" s="18" t="str">
        <f aca="false">IF(AQ657="","",MAX(0,MAX($AQ$8:AQ657))-AQ657)</f>
        <v/>
      </c>
    </row>
    <row r="658" customFormat="false" ht="15" hidden="false" customHeight="fals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3"/>
      <c r="M658" s="13"/>
      <c r="N658" s="13"/>
      <c r="O658" s="14" t="str">
        <f aca="false">IF(OR(L658="",L658=0),"",(1-M658)/L658)</f>
        <v/>
      </c>
      <c r="P658" s="15"/>
      <c r="Q658" s="12"/>
      <c r="R658" s="12"/>
      <c r="S658" s="13"/>
      <c r="T658" s="16" t="str">
        <f aca="false">IF(OR(S658="",L658=""),"",L658/(1-M658)-S658)</f>
        <v/>
      </c>
      <c r="U658" s="16" t="str">
        <f aca="false">IF(OR(L658="",P658=""),"",L658*(P658-1)-N658)</f>
        <v/>
      </c>
      <c r="V658" s="13"/>
      <c r="W658" s="17"/>
      <c r="X658" s="12"/>
      <c r="Y658" s="12"/>
      <c r="Z658" s="12"/>
      <c r="AA658" s="18" t="str">
        <f aca="false">IF(K658&lt;&gt;"ВИРТУАЛЬНЫЙ ВЫБОР","",IF(Z658="✅ ЗАШЛО",W658*(P658-1),IF(Z658="❌ НЕ ЗАШЛО",-W658,IF(Z658="½ ЗАШЛО",W658*(P658-1)/2,IF(Z658="½ НЕ ЗАШЛО",-W658/2,IF(Z658="ВОЗВРАТ",0,""))))))</f>
        <v/>
      </c>
      <c r="AB658" s="18" t="str">
        <f aca="false">IF(AND(K658="ВИРТУАЛЬНЫЙ ВЫБОР",OR(Z658="✅ ЗАШЛО",Z658="❌ НЕ ЗАШЛО",Z658="½ ЗАШЛО",Z658="½ НЕ ЗАШЛО",Z658="ВОЗВРАТ")),W658,"")</f>
        <v/>
      </c>
      <c r="AC658" s="15"/>
      <c r="AD658" s="16" t="str">
        <f aca="false">IF(OR(AC658="",P658=""),"",P658/AC658-1)</f>
        <v/>
      </c>
      <c r="AE658" s="19" t="str">
        <f aca="false">IF(AND(M658=0,OR(Z658="✅ ЗАШЛО",Z658="❌ НЕ ЗАШЛО"),L658&lt;&gt;""),(L658-IF(Z658="✅ ЗАШЛО",1,0))^2,"")</f>
        <v/>
      </c>
      <c r="AF658" s="15"/>
      <c r="AG658" s="15"/>
      <c r="AH658" s="13"/>
      <c r="AI658" s="13"/>
      <c r="AJ658" s="13"/>
      <c r="AK658" s="20" t="str">
        <f aca="false">IF(AH658="","",IF(ABS(AH658+AI658+AJ658-1)&lt;0.000001,"OK","ОШИБКА"))</f>
        <v/>
      </c>
      <c r="AL658" s="13"/>
      <c r="AM658" s="12"/>
      <c r="AN658" s="12"/>
      <c r="AO658" s="12"/>
      <c r="AP658" s="12"/>
      <c r="AQ658" s="18" t="str">
        <f aca="false">IF(A658="","",N(AQ657)+N(AA658))</f>
        <v/>
      </c>
      <c r="AR658" s="18" t="str">
        <f aca="false">IF(AQ658="","",MAX(0,MAX($AQ$8:AQ658))-AQ658)</f>
        <v/>
      </c>
    </row>
    <row r="659" customFormat="false" ht="15" hidden="false" customHeight="fals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3"/>
      <c r="M659" s="13"/>
      <c r="N659" s="13"/>
      <c r="O659" s="14" t="str">
        <f aca="false">IF(OR(L659="",L659=0),"",(1-M659)/L659)</f>
        <v/>
      </c>
      <c r="P659" s="15"/>
      <c r="Q659" s="12"/>
      <c r="R659" s="12"/>
      <c r="S659" s="13"/>
      <c r="T659" s="16" t="str">
        <f aca="false">IF(OR(S659="",L659=""),"",L659/(1-M659)-S659)</f>
        <v/>
      </c>
      <c r="U659" s="16" t="str">
        <f aca="false">IF(OR(L659="",P659=""),"",L659*(P659-1)-N659)</f>
        <v/>
      </c>
      <c r="V659" s="13"/>
      <c r="W659" s="17"/>
      <c r="X659" s="12"/>
      <c r="Y659" s="12"/>
      <c r="Z659" s="12"/>
      <c r="AA659" s="18" t="str">
        <f aca="false">IF(K659&lt;&gt;"ВИРТУАЛЬНЫЙ ВЫБОР","",IF(Z659="✅ ЗАШЛО",W659*(P659-1),IF(Z659="❌ НЕ ЗАШЛО",-W659,IF(Z659="½ ЗАШЛО",W659*(P659-1)/2,IF(Z659="½ НЕ ЗАШЛО",-W659/2,IF(Z659="ВОЗВРАТ",0,""))))))</f>
        <v/>
      </c>
      <c r="AB659" s="18" t="str">
        <f aca="false">IF(AND(K659="ВИРТУАЛЬНЫЙ ВЫБОР",OR(Z659="✅ ЗАШЛО",Z659="❌ НЕ ЗАШЛО",Z659="½ ЗАШЛО",Z659="½ НЕ ЗАШЛО",Z659="ВОЗВРАТ")),W659,"")</f>
        <v/>
      </c>
      <c r="AC659" s="15"/>
      <c r="AD659" s="16" t="str">
        <f aca="false">IF(OR(AC659="",P659=""),"",P659/AC659-1)</f>
        <v/>
      </c>
      <c r="AE659" s="19" t="str">
        <f aca="false">IF(AND(M659=0,OR(Z659="✅ ЗАШЛО",Z659="❌ НЕ ЗАШЛО"),L659&lt;&gt;""),(L659-IF(Z659="✅ ЗАШЛО",1,0))^2,"")</f>
        <v/>
      </c>
      <c r="AF659" s="15"/>
      <c r="AG659" s="15"/>
      <c r="AH659" s="13"/>
      <c r="AI659" s="13"/>
      <c r="AJ659" s="13"/>
      <c r="AK659" s="20" t="str">
        <f aca="false">IF(AH659="","",IF(ABS(AH659+AI659+AJ659-1)&lt;0.000001,"OK","ОШИБКА"))</f>
        <v/>
      </c>
      <c r="AL659" s="13"/>
      <c r="AM659" s="12"/>
      <c r="AN659" s="12"/>
      <c r="AO659" s="12"/>
      <c r="AP659" s="12"/>
      <c r="AQ659" s="18" t="str">
        <f aca="false">IF(A659="","",N(AQ658)+N(AA659))</f>
        <v/>
      </c>
      <c r="AR659" s="18" t="str">
        <f aca="false">IF(AQ659="","",MAX(0,MAX($AQ$8:AQ659))-AQ659)</f>
        <v/>
      </c>
    </row>
    <row r="660" customFormat="false" ht="15" hidden="false" customHeight="fals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3"/>
      <c r="M660" s="13"/>
      <c r="N660" s="13"/>
      <c r="O660" s="14" t="str">
        <f aca="false">IF(OR(L660="",L660=0),"",(1-M660)/L660)</f>
        <v/>
      </c>
      <c r="P660" s="15"/>
      <c r="Q660" s="12"/>
      <c r="R660" s="12"/>
      <c r="S660" s="13"/>
      <c r="T660" s="16" t="str">
        <f aca="false">IF(OR(S660="",L660=""),"",L660/(1-M660)-S660)</f>
        <v/>
      </c>
      <c r="U660" s="16" t="str">
        <f aca="false">IF(OR(L660="",P660=""),"",L660*(P660-1)-N660)</f>
        <v/>
      </c>
      <c r="V660" s="13"/>
      <c r="W660" s="17"/>
      <c r="X660" s="12"/>
      <c r="Y660" s="12"/>
      <c r="Z660" s="12"/>
      <c r="AA660" s="18" t="str">
        <f aca="false">IF(K660&lt;&gt;"ВИРТУАЛЬНЫЙ ВЫБОР","",IF(Z660="✅ ЗАШЛО",W660*(P660-1),IF(Z660="❌ НЕ ЗАШЛО",-W660,IF(Z660="½ ЗАШЛО",W660*(P660-1)/2,IF(Z660="½ НЕ ЗАШЛО",-W660/2,IF(Z660="ВОЗВРАТ",0,""))))))</f>
        <v/>
      </c>
      <c r="AB660" s="18" t="str">
        <f aca="false">IF(AND(K660="ВИРТУАЛЬНЫЙ ВЫБОР",OR(Z660="✅ ЗАШЛО",Z660="❌ НЕ ЗАШЛО",Z660="½ ЗАШЛО",Z660="½ НЕ ЗАШЛО",Z660="ВОЗВРАТ")),W660,"")</f>
        <v/>
      </c>
      <c r="AC660" s="15"/>
      <c r="AD660" s="16" t="str">
        <f aca="false">IF(OR(AC660="",P660=""),"",P660/AC660-1)</f>
        <v/>
      </c>
      <c r="AE660" s="19" t="str">
        <f aca="false">IF(AND(M660=0,OR(Z660="✅ ЗАШЛО",Z660="❌ НЕ ЗАШЛО"),L660&lt;&gt;""),(L660-IF(Z660="✅ ЗАШЛО",1,0))^2,"")</f>
        <v/>
      </c>
      <c r="AF660" s="15"/>
      <c r="AG660" s="15"/>
      <c r="AH660" s="13"/>
      <c r="AI660" s="13"/>
      <c r="AJ660" s="13"/>
      <c r="AK660" s="20" t="str">
        <f aca="false">IF(AH660="","",IF(ABS(AH660+AI660+AJ660-1)&lt;0.000001,"OK","ОШИБКА"))</f>
        <v/>
      </c>
      <c r="AL660" s="13"/>
      <c r="AM660" s="12"/>
      <c r="AN660" s="12"/>
      <c r="AO660" s="12"/>
      <c r="AP660" s="12"/>
      <c r="AQ660" s="18" t="str">
        <f aca="false">IF(A660="","",N(AQ659)+N(AA660))</f>
        <v/>
      </c>
      <c r="AR660" s="18" t="str">
        <f aca="false">IF(AQ660="","",MAX(0,MAX($AQ$8:AQ660))-AQ660)</f>
        <v/>
      </c>
    </row>
    <row r="661" customFormat="false" ht="15" hidden="false" customHeight="fals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3"/>
      <c r="M661" s="13"/>
      <c r="N661" s="13"/>
      <c r="O661" s="14" t="str">
        <f aca="false">IF(OR(L661="",L661=0),"",(1-M661)/L661)</f>
        <v/>
      </c>
      <c r="P661" s="15"/>
      <c r="Q661" s="12"/>
      <c r="R661" s="12"/>
      <c r="S661" s="13"/>
      <c r="T661" s="16" t="str">
        <f aca="false">IF(OR(S661="",L661=""),"",L661/(1-M661)-S661)</f>
        <v/>
      </c>
      <c r="U661" s="16" t="str">
        <f aca="false">IF(OR(L661="",P661=""),"",L661*(P661-1)-N661)</f>
        <v/>
      </c>
      <c r="V661" s="13"/>
      <c r="W661" s="17"/>
      <c r="X661" s="12"/>
      <c r="Y661" s="12"/>
      <c r="Z661" s="12"/>
      <c r="AA661" s="18" t="str">
        <f aca="false">IF(K661&lt;&gt;"ВИРТУАЛЬНЫЙ ВЫБОР","",IF(Z661="✅ ЗАШЛО",W661*(P661-1),IF(Z661="❌ НЕ ЗАШЛО",-W661,IF(Z661="½ ЗАШЛО",W661*(P661-1)/2,IF(Z661="½ НЕ ЗАШЛО",-W661/2,IF(Z661="ВОЗВРАТ",0,""))))))</f>
        <v/>
      </c>
      <c r="AB661" s="18" t="str">
        <f aca="false">IF(AND(K661="ВИРТУАЛЬНЫЙ ВЫБОР",OR(Z661="✅ ЗАШЛО",Z661="❌ НЕ ЗАШЛО",Z661="½ ЗАШЛО",Z661="½ НЕ ЗАШЛО",Z661="ВОЗВРАТ")),W661,"")</f>
        <v/>
      </c>
      <c r="AC661" s="15"/>
      <c r="AD661" s="16" t="str">
        <f aca="false">IF(OR(AC661="",P661=""),"",P661/AC661-1)</f>
        <v/>
      </c>
      <c r="AE661" s="19" t="str">
        <f aca="false">IF(AND(M661=0,OR(Z661="✅ ЗАШЛО",Z661="❌ НЕ ЗАШЛО"),L661&lt;&gt;""),(L661-IF(Z661="✅ ЗАШЛО",1,0))^2,"")</f>
        <v/>
      </c>
      <c r="AF661" s="15"/>
      <c r="AG661" s="15"/>
      <c r="AH661" s="13"/>
      <c r="AI661" s="13"/>
      <c r="AJ661" s="13"/>
      <c r="AK661" s="20" t="str">
        <f aca="false">IF(AH661="","",IF(ABS(AH661+AI661+AJ661-1)&lt;0.000001,"OK","ОШИБКА"))</f>
        <v/>
      </c>
      <c r="AL661" s="13"/>
      <c r="AM661" s="12"/>
      <c r="AN661" s="12"/>
      <c r="AO661" s="12"/>
      <c r="AP661" s="12"/>
      <c r="AQ661" s="18" t="str">
        <f aca="false">IF(A661="","",N(AQ660)+N(AA661))</f>
        <v/>
      </c>
      <c r="AR661" s="18" t="str">
        <f aca="false">IF(AQ661="","",MAX(0,MAX($AQ$8:AQ661))-AQ661)</f>
        <v/>
      </c>
    </row>
    <row r="662" customFormat="false" ht="15" hidden="false" customHeight="fals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3"/>
      <c r="M662" s="13"/>
      <c r="N662" s="13"/>
      <c r="O662" s="14" t="str">
        <f aca="false">IF(OR(L662="",L662=0),"",(1-M662)/L662)</f>
        <v/>
      </c>
      <c r="P662" s="15"/>
      <c r="Q662" s="12"/>
      <c r="R662" s="12"/>
      <c r="S662" s="13"/>
      <c r="T662" s="16" t="str">
        <f aca="false">IF(OR(S662="",L662=""),"",L662/(1-M662)-S662)</f>
        <v/>
      </c>
      <c r="U662" s="16" t="str">
        <f aca="false">IF(OR(L662="",P662=""),"",L662*(P662-1)-N662)</f>
        <v/>
      </c>
      <c r="V662" s="13"/>
      <c r="W662" s="17"/>
      <c r="X662" s="12"/>
      <c r="Y662" s="12"/>
      <c r="Z662" s="12"/>
      <c r="AA662" s="18" t="str">
        <f aca="false">IF(K662&lt;&gt;"ВИРТУАЛЬНЫЙ ВЫБОР","",IF(Z662="✅ ЗАШЛО",W662*(P662-1),IF(Z662="❌ НЕ ЗАШЛО",-W662,IF(Z662="½ ЗАШЛО",W662*(P662-1)/2,IF(Z662="½ НЕ ЗАШЛО",-W662/2,IF(Z662="ВОЗВРАТ",0,""))))))</f>
        <v/>
      </c>
      <c r="AB662" s="18" t="str">
        <f aca="false">IF(AND(K662="ВИРТУАЛЬНЫЙ ВЫБОР",OR(Z662="✅ ЗАШЛО",Z662="❌ НЕ ЗАШЛО",Z662="½ ЗАШЛО",Z662="½ НЕ ЗАШЛО",Z662="ВОЗВРАТ")),W662,"")</f>
        <v/>
      </c>
      <c r="AC662" s="15"/>
      <c r="AD662" s="16" t="str">
        <f aca="false">IF(OR(AC662="",P662=""),"",P662/AC662-1)</f>
        <v/>
      </c>
      <c r="AE662" s="19" t="str">
        <f aca="false">IF(AND(M662=0,OR(Z662="✅ ЗАШЛО",Z662="❌ НЕ ЗАШЛО"),L662&lt;&gt;""),(L662-IF(Z662="✅ ЗАШЛО",1,0))^2,"")</f>
        <v/>
      </c>
      <c r="AF662" s="15"/>
      <c r="AG662" s="15"/>
      <c r="AH662" s="13"/>
      <c r="AI662" s="13"/>
      <c r="AJ662" s="13"/>
      <c r="AK662" s="20" t="str">
        <f aca="false">IF(AH662="","",IF(ABS(AH662+AI662+AJ662-1)&lt;0.000001,"OK","ОШИБКА"))</f>
        <v/>
      </c>
      <c r="AL662" s="13"/>
      <c r="AM662" s="12"/>
      <c r="AN662" s="12"/>
      <c r="AO662" s="12"/>
      <c r="AP662" s="12"/>
      <c r="AQ662" s="18" t="str">
        <f aca="false">IF(A662="","",N(AQ661)+N(AA662))</f>
        <v/>
      </c>
      <c r="AR662" s="18" t="str">
        <f aca="false">IF(AQ662="","",MAX(0,MAX($AQ$8:AQ662))-AQ662)</f>
        <v/>
      </c>
    </row>
    <row r="663" customFormat="false" ht="15" hidden="false" customHeight="fals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3"/>
      <c r="M663" s="13"/>
      <c r="N663" s="13"/>
      <c r="O663" s="14" t="str">
        <f aca="false">IF(OR(L663="",L663=0),"",(1-M663)/L663)</f>
        <v/>
      </c>
      <c r="P663" s="15"/>
      <c r="Q663" s="12"/>
      <c r="R663" s="12"/>
      <c r="S663" s="13"/>
      <c r="T663" s="16" t="str">
        <f aca="false">IF(OR(S663="",L663=""),"",L663/(1-M663)-S663)</f>
        <v/>
      </c>
      <c r="U663" s="16" t="str">
        <f aca="false">IF(OR(L663="",P663=""),"",L663*(P663-1)-N663)</f>
        <v/>
      </c>
      <c r="V663" s="13"/>
      <c r="W663" s="17"/>
      <c r="X663" s="12"/>
      <c r="Y663" s="12"/>
      <c r="Z663" s="12"/>
      <c r="AA663" s="18" t="str">
        <f aca="false">IF(K663&lt;&gt;"ВИРТУАЛЬНЫЙ ВЫБОР","",IF(Z663="✅ ЗАШЛО",W663*(P663-1),IF(Z663="❌ НЕ ЗАШЛО",-W663,IF(Z663="½ ЗАШЛО",W663*(P663-1)/2,IF(Z663="½ НЕ ЗАШЛО",-W663/2,IF(Z663="ВОЗВРАТ",0,""))))))</f>
        <v/>
      </c>
      <c r="AB663" s="18" t="str">
        <f aca="false">IF(AND(K663="ВИРТУАЛЬНЫЙ ВЫБОР",OR(Z663="✅ ЗАШЛО",Z663="❌ НЕ ЗАШЛО",Z663="½ ЗАШЛО",Z663="½ НЕ ЗАШЛО",Z663="ВОЗВРАТ")),W663,"")</f>
        <v/>
      </c>
      <c r="AC663" s="15"/>
      <c r="AD663" s="16" t="str">
        <f aca="false">IF(OR(AC663="",P663=""),"",P663/AC663-1)</f>
        <v/>
      </c>
      <c r="AE663" s="19" t="str">
        <f aca="false">IF(AND(M663=0,OR(Z663="✅ ЗАШЛО",Z663="❌ НЕ ЗАШЛО"),L663&lt;&gt;""),(L663-IF(Z663="✅ ЗАШЛО",1,0))^2,"")</f>
        <v/>
      </c>
      <c r="AF663" s="15"/>
      <c r="AG663" s="15"/>
      <c r="AH663" s="13"/>
      <c r="AI663" s="13"/>
      <c r="AJ663" s="13"/>
      <c r="AK663" s="20" t="str">
        <f aca="false">IF(AH663="","",IF(ABS(AH663+AI663+AJ663-1)&lt;0.000001,"OK","ОШИБКА"))</f>
        <v/>
      </c>
      <c r="AL663" s="13"/>
      <c r="AM663" s="12"/>
      <c r="AN663" s="12"/>
      <c r="AO663" s="12"/>
      <c r="AP663" s="12"/>
      <c r="AQ663" s="18" t="str">
        <f aca="false">IF(A663="","",N(AQ662)+N(AA663))</f>
        <v/>
      </c>
      <c r="AR663" s="18" t="str">
        <f aca="false">IF(AQ663="","",MAX(0,MAX($AQ$8:AQ663))-AQ663)</f>
        <v/>
      </c>
    </row>
    <row r="664" customFormat="false" ht="15" hidden="false" customHeight="fals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3"/>
      <c r="M664" s="13"/>
      <c r="N664" s="13"/>
      <c r="O664" s="14" t="str">
        <f aca="false">IF(OR(L664="",L664=0),"",(1-M664)/L664)</f>
        <v/>
      </c>
      <c r="P664" s="15"/>
      <c r="Q664" s="12"/>
      <c r="R664" s="12"/>
      <c r="S664" s="13"/>
      <c r="T664" s="16" t="str">
        <f aca="false">IF(OR(S664="",L664=""),"",L664/(1-M664)-S664)</f>
        <v/>
      </c>
      <c r="U664" s="16" t="str">
        <f aca="false">IF(OR(L664="",P664=""),"",L664*(P664-1)-N664)</f>
        <v/>
      </c>
      <c r="V664" s="13"/>
      <c r="W664" s="17"/>
      <c r="X664" s="12"/>
      <c r="Y664" s="12"/>
      <c r="Z664" s="12"/>
      <c r="AA664" s="18" t="str">
        <f aca="false">IF(K664&lt;&gt;"ВИРТУАЛЬНЫЙ ВЫБОР","",IF(Z664="✅ ЗАШЛО",W664*(P664-1),IF(Z664="❌ НЕ ЗАШЛО",-W664,IF(Z664="½ ЗАШЛО",W664*(P664-1)/2,IF(Z664="½ НЕ ЗАШЛО",-W664/2,IF(Z664="ВОЗВРАТ",0,""))))))</f>
        <v/>
      </c>
      <c r="AB664" s="18" t="str">
        <f aca="false">IF(AND(K664="ВИРТУАЛЬНЫЙ ВЫБОР",OR(Z664="✅ ЗАШЛО",Z664="❌ НЕ ЗАШЛО",Z664="½ ЗАШЛО",Z664="½ НЕ ЗАШЛО",Z664="ВОЗВРАТ")),W664,"")</f>
        <v/>
      </c>
      <c r="AC664" s="15"/>
      <c r="AD664" s="16" t="str">
        <f aca="false">IF(OR(AC664="",P664=""),"",P664/AC664-1)</f>
        <v/>
      </c>
      <c r="AE664" s="19" t="str">
        <f aca="false">IF(AND(M664=0,OR(Z664="✅ ЗАШЛО",Z664="❌ НЕ ЗАШЛО"),L664&lt;&gt;""),(L664-IF(Z664="✅ ЗАШЛО",1,0))^2,"")</f>
        <v/>
      </c>
      <c r="AF664" s="15"/>
      <c r="AG664" s="15"/>
      <c r="AH664" s="13"/>
      <c r="AI664" s="13"/>
      <c r="AJ664" s="13"/>
      <c r="AK664" s="20" t="str">
        <f aca="false">IF(AH664="","",IF(ABS(AH664+AI664+AJ664-1)&lt;0.000001,"OK","ОШИБКА"))</f>
        <v/>
      </c>
      <c r="AL664" s="13"/>
      <c r="AM664" s="12"/>
      <c r="AN664" s="12"/>
      <c r="AO664" s="12"/>
      <c r="AP664" s="12"/>
      <c r="AQ664" s="18" t="str">
        <f aca="false">IF(A664="","",N(AQ663)+N(AA664))</f>
        <v/>
      </c>
      <c r="AR664" s="18" t="str">
        <f aca="false">IF(AQ664="","",MAX(0,MAX($AQ$8:AQ664))-AQ664)</f>
        <v/>
      </c>
    </row>
    <row r="665" customFormat="false" ht="15" hidden="false" customHeight="fals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3"/>
      <c r="M665" s="13"/>
      <c r="N665" s="13"/>
      <c r="O665" s="14" t="str">
        <f aca="false">IF(OR(L665="",L665=0),"",(1-M665)/L665)</f>
        <v/>
      </c>
      <c r="P665" s="15"/>
      <c r="Q665" s="12"/>
      <c r="R665" s="12"/>
      <c r="S665" s="13"/>
      <c r="T665" s="16" t="str">
        <f aca="false">IF(OR(S665="",L665=""),"",L665/(1-M665)-S665)</f>
        <v/>
      </c>
      <c r="U665" s="16" t="str">
        <f aca="false">IF(OR(L665="",P665=""),"",L665*(P665-1)-N665)</f>
        <v/>
      </c>
      <c r="V665" s="13"/>
      <c r="W665" s="17"/>
      <c r="X665" s="12"/>
      <c r="Y665" s="12"/>
      <c r="Z665" s="12"/>
      <c r="AA665" s="18" t="str">
        <f aca="false">IF(K665&lt;&gt;"ВИРТУАЛЬНЫЙ ВЫБОР","",IF(Z665="✅ ЗАШЛО",W665*(P665-1),IF(Z665="❌ НЕ ЗАШЛО",-W665,IF(Z665="½ ЗАШЛО",W665*(P665-1)/2,IF(Z665="½ НЕ ЗАШЛО",-W665/2,IF(Z665="ВОЗВРАТ",0,""))))))</f>
        <v/>
      </c>
      <c r="AB665" s="18" t="str">
        <f aca="false">IF(AND(K665="ВИРТУАЛЬНЫЙ ВЫБОР",OR(Z665="✅ ЗАШЛО",Z665="❌ НЕ ЗАШЛО",Z665="½ ЗАШЛО",Z665="½ НЕ ЗАШЛО",Z665="ВОЗВРАТ")),W665,"")</f>
        <v/>
      </c>
      <c r="AC665" s="15"/>
      <c r="AD665" s="16" t="str">
        <f aca="false">IF(OR(AC665="",P665=""),"",P665/AC665-1)</f>
        <v/>
      </c>
      <c r="AE665" s="19" t="str">
        <f aca="false">IF(AND(M665=0,OR(Z665="✅ ЗАШЛО",Z665="❌ НЕ ЗАШЛО"),L665&lt;&gt;""),(L665-IF(Z665="✅ ЗАШЛО",1,0))^2,"")</f>
        <v/>
      </c>
      <c r="AF665" s="15"/>
      <c r="AG665" s="15"/>
      <c r="AH665" s="13"/>
      <c r="AI665" s="13"/>
      <c r="AJ665" s="13"/>
      <c r="AK665" s="20" t="str">
        <f aca="false">IF(AH665="","",IF(ABS(AH665+AI665+AJ665-1)&lt;0.000001,"OK","ОШИБКА"))</f>
        <v/>
      </c>
      <c r="AL665" s="13"/>
      <c r="AM665" s="12"/>
      <c r="AN665" s="12"/>
      <c r="AO665" s="12"/>
      <c r="AP665" s="12"/>
      <c r="AQ665" s="18" t="str">
        <f aca="false">IF(A665="","",N(AQ664)+N(AA665))</f>
        <v/>
      </c>
      <c r="AR665" s="18" t="str">
        <f aca="false">IF(AQ665="","",MAX(0,MAX($AQ$8:AQ665))-AQ665)</f>
        <v/>
      </c>
    </row>
    <row r="666" customFormat="false" ht="15" hidden="false" customHeight="fals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3"/>
      <c r="M666" s="13"/>
      <c r="N666" s="13"/>
      <c r="O666" s="14" t="str">
        <f aca="false">IF(OR(L666="",L666=0),"",(1-M666)/L666)</f>
        <v/>
      </c>
      <c r="P666" s="15"/>
      <c r="Q666" s="12"/>
      <c r="R666" s="12"/>
      <c r="S666" s="13"/>
      <c r="T666" s="16" t="str">
        <f aca="false">IF(OR(S666="",L666=""),"",L666/(1-M666)-S666)</f>
        <v/>
      </c>
      <c r="U666" s="16" t="str">
        <f aca="false">IF(OR(L666="",P666=""),"",L666*(P666-1)-N666)</f>
        <v/>
      </c>
      <c r="V666" s="13"/>
      <c r="W666" s="17"/>
      <c r="X666" s="12"/>
      <c r="Y666" s="12"/>
      <c r="Z666" s="12"/>
      <c r="AA666" s="18" t="str">
        <f aca="false">IF(K666&lt;&gt;"ВИРТУАЛЬНЫЙ ВЫБОР","",IF(Z666="✅ ЗАШЛО",W666*(P666-1),IF(Z666="❌ НЕ ЗАШЛО",-W666,IF(Z666="½ ЗАШЛО",W666*(P666-1)/2,IF(Z666="½ НЕ ЗАШЛО",-W666/2,IF(Z666="ВОЗВРАТ",0,""))))))</f>
        <v/>
      </c>
      <c r="AB666" s="18" t="str">
        <f aca="false">IF(AND(K666="ВИРТУАЛЬНЫЙ ВЫБОР",OR(Z666="✅ ЗАШЛО",Z666="❌ НЕ ЗАШЛО",Z666="½ ЗАШЛО",Z666="½ НЕ ЗАШЛО",Z666="ВОЗВРАТ")),W666,"")</f>
        <v/>
      </c>
      <c r="AC666" s="15"/>
      <c r="AD666" s="16" t="str">
        <f aca="false">IF(OR(AC666="",P666=""),"",P666/AC666-1)</f>
        <v/>
      </c>
      <c r="AE666" s="19" t="str">
        <f aca="false">IF(AND(M666=0,OR(Z666="✅ ЗАШЛО",Z666="❌ НЕ ЗАШЛО"),L666&lt;&gt;""),(L666-IF(Z666="✅ ЗАШЛО",1,0))^2,"")</f>
        <v/>
      </c>
      <c r="AF666" s="15"/>
      <c r="AG666" s="15"/>
      <c r="AH666" s="13"/>
      <c r="AI666" s="13"/>
      <c r="AJ666" s="13"/>
      <c r="AK666" s="20" t="str">
        <f aca="false">IF(AH666="","",IF(ABS(AH666+AI666+AJ666-1)&lt;0.000001,"OK","ОШИБКА"))</f>
        <v/>
      </c>
      <c r="AL666" s="13"/>
      <c r="AM666" s="12"/>
      <c r="AN666" s="12"/>
      <c r="AO666" s="12"/>
      <c r="AP666" s="12"/>
      <c r="AQ666" s="18" t="str">
        <f aca="false">IF(A666="","",N(AQ665)+N(AA666))</f>
        <v/>
      </c>
      <c r="AR666" s="18" t="str">
        <f aca="false">IF(AQ666="","",MAX(0,MAX($AQ$8:AQ666))-AQ666)</f>
        <v/>
      </c>
    </row>
    <row r="667" customFormat="false" ht="15" hidden="false" customHeight="fals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3"/>
      <c r="M667" s="13"/>
      <c r="N667" s="13"/>
      <c r="O667" s="14" t="str">
        <f aca="false">IF(OR(L667="",L667=0),"",(1-M667)/L667)</f>
        <v/>
      </c>
      <c r="P667" s="15"/>
      <c r="Q667" s="12"/>
      <c r="R667" s="12"/>
      <c r="S667" s="13"/>
      <c r="T667" s="16" t="str">
        <f aca="false">IF(OR(S667="",L667=""),"",L667/(1-M667)-S667)</f>
        <v/>
      </c>
      <c r="U667" s="16" t="str">
        <f aca="false">IF(OR(L667="",P667=""),"",L667*(P667-1)-N667)</f>
        <v/>
      </c>
      <c r="V667" s="13"/>
      <c r="W667" s="17"/>
      <c r="X667" s="12"/>
      <c r="Y667" s="12"/>
      <c r="Z667" s="12"/>
      <c r="AA667" s="18" t="str">
        <f aca="false">IF(K667&lt;&gt;"ВИРТУАЛЬНЫЙ ВЫБОР","",IF(Z667="✅ ЗАШЛО",W667*(P667-1),IF(Z667="❌ НЕ ЗАШЛО",-W667,IF(Z667="½ ЗАШЛО",W667*(P667-1)/2,IF(Z667="½ НЕ ЗАШЛО",-W667/2,IF(Z667="ВОЗВРАТ",0,""))))))</f>
        <v/>
      </c>
      <c r="AB667" s="18" t="str">
        <f aca="false">IF(AND(K667="ВИРТУАЛЬНЫЙ ВЫБОР",OR(Z667="✅ ЗАШЛО",Z667="❌ НЕ ЗАШЛО",Z667="½ ЗАШЛО",Z667="½ НЕ ЗАШЛО",Z667="ВОЗВРАТ")),W667,"")</f>
        <v/>
      </c>
      <c r="AC667" s="15"/>
      <c r="AD667" s="16" t="str">
        <f aca="false">IF(OR(AC667="",P667=""),"",P667/AC667-1)</f>
        <v/>
      </c>
      <c r="AE667" s="19" t="str">
        <f aca="false">IF(AND(M667=0,OR(Z667="✅ ЗАШЛО",Z667="❌ НЕ ЗАШЛО"),L667&lt;&gt;""),(L667-IF(Z667="✅ ЗАШЛО",1,0))^2,"")</f>
        <v/>
      </c>
      <c r="AF667" s="15"/>
      <c r="AG667" s="15"/>
      <c r="AH667" s="13"/>
      <c r="AI667" s="13"/>
      <c r="AJ667" s="13"/>
      <c r="AK667" s="20" t="str">
        <f aca="false">IF(AH667="","",IF(ABS(AH667+AI667+AJ667-1)&lt;0.000001,"OK","ОШИБКА"))</f>
        <v/>
      </c>
      <c r="AL667" s="13"/>
      <c r="AM667" s="12"/>
      <c r="AN667" s="12"/>
      <c r="AO667" s="12"/>
      <c r="AP667" s="12"/>
      <c r="AQ667" s="18" t="str">
        <f aca="false">IF(A667="","",N(AQ666)+N(AA667))</f>
        <v/>
      </c>
      <c r="AR667" s="18" t="str">
        <f aca="false">IF(AQ667="","",MAX(0,MAX($AQ$8:AQ667))-AQ667)</f>
        <v/>
      </c>
    </row>
    <row r="668" customFormat="false" ht="15" hidden="false" customHeight="fals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3"/>
      <c r="M668" s="13"/>
      <c r="N668" s="13"/>
      <c r="O668" s="14" t="str">
        <f aca="false">IF(OR(L668="",L668=0),"",(1-M668)/L668)</f>
        <v/>
      </c>
      <c r="P668" s="15"/>
      <c r="Q668" s="12"/>
      <c r="R668" s="12"/>
      <c r="S668" s="13"/>
      <c r="T668" s="16" t="str">
        <f aca="false">IF(OR(S668="",L668=""),"",L668/(1-M668)-S668)</f>
        <v/>
      </c>
      <c r="U668" s="16" t="str">
        <f aca="false">IF(OR(L668="",P668=""),"",L668*(P668-1)-N668)</f>
        <v/>
      </c>
      <c r="V668" s="13"/>
      <c r="W668" s="17"/>
      <c r="X668" s="12"/>
      <c r="Y668" s="12"/>
      <c r="Z668" s="12"/>
      <c r="AA668" s="18" t="str">
        <f aca="false">IF(K668&lt;&gt;"ВИРТУАЛЬНЫЙ ВЫБОР","",IF(Z668="✅ ЗАШЛО",W668*(P668-1),IF(Z668="❌ НЕ ЗАШЛО",-W668,IF(Z668="½ ЗАШЛО",W668*(P668-1)/2,IF(Z668="½ НЕ ЗАШЛО",-W668/2,IF(Z668="ВОЗВРАТ",0,""))))))</f>
        <v/>
      </c>
      <c r="AB668" s="18" t="str">
        <f aca="false">IF(AND(K668="ВИРТУАЛЬНЫЙ ВЫБОР",OR(Z668="✅ ЗАШЛО",Z668="❌ НЕ ЗАШЛО",Z668="½ ЗАШЛО",Z668="½ НЕ ЗАШЛО",Z668="ВОЗВРАТ")),W668,"")</f>
        <v/>
      </c>
      <c r="AC668" s="15"/>
      <c r="AD668" s="16" t="str">
        <f aca="false">IF(OR(AC668="",P668=""),"",P668/AC668-1)</f>
        <v/>
      </c>
      <c r="AE668" s="19" t="str">
        <f aca="false">IF(AND(M668=0,OR(Z668="✅ ЗАШЛО",Z668="❌ НЕ ЗАШЛО"),L668&lt;&gt;""),(L668-IF(Z668="✅ ЗАШЛО",1,0))^2,"")</f>
        <v/>
      </c>
      <c r="AF668" s="15"/>
      <c r="AG668" s="15"/>
      <c r="AH668" s="13"/>
      <c r="AI668" s="13"/>
      <c r="AJ668" s="13"/>
      <c r="AK668" s="20" t="str">
        <f aca="false">IF(AH668="","",IF(ABS(AH668+AI668+AJ668-1)&lt;0.000001,"OK","ОШИБКА"))</f>
        <v/>
      </c>
      <c r="AL668" s="13"/>
      <c r="AM668" s="12"/>
      <c r="AN668" s="12"/>
      <c r="AO668" s="12"/>
      <c r="AP668" s="12"/>
      <c r="AQ668" s="18" t="str">
        <f aca="false">IF(A668="","",N(AQ667)+N(AA668))</f>
        <v/>
      </c>
      <c r="AR668" s="18" t="str">
        <f aca="false">IF(AQ668="","",MAX(0,MAX($AQ$8:AQ668))-AQ668)</f>
        <v/>
      </c>
    </row>
    <row r="669" customFormat="false" ht="15" hidden="false" customHeight="fals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3"/>
      <c r="M669" s="13"/>
      <c r="N669" s="13"/>
      <c r="O669" s="14" t="str">
        <f aca="false">IF(OR(L669="",L669=0),"",(1-M669)/L669)</f>
        <v/>
      </c>
      <c r="P669" s="15"/>
      <c r="Q669" s="12"/>
      <c r="R669" s="12"/>
      <c r="S669" s="13"/>
      <c r="T669" s="16" t="str">
        <f aca="false">IF(OR(S669="",L669=""),"",L669/(1-M669)-S669)</f>
        <v/>
      </c>
      <c r="U669" s="16" t="str">
        <f aca="false">IF(OR(L669="",P669=""),"",L669*(P669-1)-N669)</f>
        <v/>
      </c>
      <c r="V669" s="13"/>
      <c r="W669" s="17"/>
      <c r="X669" s="12"/>
      <c r="Y669" s="12"/>
      <c r="Z669" s="12"/>
      <c r="AA669" s="18" t="str">
        <f aca="false">IF(K669&lt;&gt;"ВИРТУАЛЬНЫЙ ВЫБОР","",IF(Z669="✅ ЗАШЛО",W669*(P669-1),IF(Z669="❌ НЕ ЗАШЛО",-W669,IF(Z669="½ ЗАШЛО",W669*(P669-1)/2,IF(Z669="½ НЕ ЗАШЛО",-W669/2,IF(Z669="ВОЗВРАТ",0,""))))))</f>
        <v/>
      </c>
      <c r="AB669" s="18" t="str">
        <f aca="false">IF(AND(K669="ВИРТУАЛЬНЫЙ ВЫБОР",OR(Z669="✅ ЗАШЛО",Z669="❌ НЕ ЗАШЛО",Z669="½ ЗАШЛО",Z669="½ НЕ ЗАШЛО",Z669="ВОЗВРАТ")),W669,"")</f>
        <v/>
      </c>
      <c r="AC669" s="15"/>
      <c r="AD669" s="16" t="str">
        <f aca="false">IF(OR(AC669="",P669=""),"",P669/AC669-1)</f>
        <v/>
      </c>
      <c r="AE669" s="19" t="str">
        <f aca="false">IF(AND(M669=0,OR(Z669="✅ ЗАШЛО",Z669="❌ НЕ ЗАШЛО"),L669&lt;&gt;""),(L669-IF(Z669="✅ ЗАШЛО",1,0))^2,"")</f>
        <v/>
      </c>
      <c r="AF669" s="15"/>
      <c r="AG669" s="15"/>
      <c r="AH669" s="13"/>
      <c r="AI669" s="13"/>
      <c r="AJ669" s="13"/>
      <c r="AK669" s="20" t="str">
        <f aca="false">IF(AH669="","",IF(ABS(AH669+AI669+AJ669-1)&lt;0.000001,"OK","ОШИБКА"))</f>
        <v/>
      </c>
      <c r="AL669" s="13"/>
      <c r="AM669" s="12"/>
      <c r="AN669" s="12"/>
      <c r="AO669" s="12"/>
      <c r="AP669" s="12"/>
      <c r="AQ669" s="18" t="str">
        <f aca="false">IF(A669="","",N(AQ668)+N(AA669))</f>
        <v/>
      </c>
      <c r="AR669" s="18" t="str">
        <f aca="false">IF(AQ669="","",MAX(0,MAX($AQ$8:AQ669))-AQ669)</f>
        <v/>
      </c>
    </row>
    <row r="670" customFormat="false" ht="15" hidden="false" customHeight="fals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3"/>
      <c r="M670" s="13"/>
      <c r="N670" s="13"/>
      <c r="O670" s="14" t="str">
        <f aca="false">IF(OR(L670="",L670=0),"",(1-M670)/L670)</f>
        <v/>
      </c>
      <c r="P670" s="15"/>
      <c r="Q670" s="12"/>
      <c r="R670" s="12"/>
      <c r="S670" s="13"/>
      <c r="T670" s="16" t="str">
        <f aca="false">IF(OR(S670="",L670=""),"",L670/(1-M670)-S670)</f>
        <v/>
      </c>
      <c r="U670" s="16" t="str">
        <f aca="false">IF(OR(L670="",P670=""),"",L670*(P670-1)-N670)</f>
        <v/>
      </c>
      <c r="V670" s="13"/>
      <c r="W670" s="17"/>
      <c r="X670" s="12"/>
      <c r="Y670" s="12"/>
      <c r="Z670" s="12"/>
      <c r="AA670" s="18" t="str">
        <f aca="false">IF(K670&lt;&gt;"ВИРТУАЛЬНЫЙ ВЫБОР","",IF(Z670="✅ ЗАШЛО",W670*(P670-1),IF(Z670="❌ НЕ ЗАШЛО",-W670,IF(Z670="½ ЗАШЛО",W670*(P670-1)/2,IF(Z670="½ НЕ ЗАШЛО",-W670/2,IF(Z670="ВОЗВРАТ",0,""))))))</f>
        <v/>
      </c>
      <c r="AB670" s="18" t="str">
        <f aca="false">IF(AND(K670="ВИРТУАЛЬНЫЙ ВЫБОР",OR(Z670="✅ ЗАШЛО",Z670="❌ НЕ ЗАШЛО",Z670="½ ЗАШЛО",Z670="½ НЕ ЗАШЛО",Z670="ВОЗВРАТ")),W670,"")</f>
        <v/>
      </c>
      <c r="AC670" s="15"/>
      <c r="AD670" s="16" t="str">
        <f aca="false">IF(OR(AC670="",P670=""),"",P670/AC670-1)</f>
        <v/>
      </c>
      <c r="AE670" s="19" t="str">
        <f aca="false">IF(AND(M670=0,OR(Z670="✅ ЗАШЛО",Z670="❌ НЕ ЗАШЛО"),L670&lt;&gt;""),(L670-IF(Z670="✅ ЗАШЛО",1,0))^2,"")</f>
        <v/>
      </c>
      <c r="AF670" s="15"/>
      <c r="AG670" s="15"/>
      <c r="AH670" s="13"/>
      <c r="AI670" s="13"/>
      <c r="AJ670" s="13"/>
      <c r="AK670" s="20" t="str">
        <f aca="false">IF(AH670="","",IF(ABS(AH670+AI670+AJ670-1)&lt;0.000001,"OK","ОШИБКА"))</f>
        <v/>
      </c>
      <c r="AL670" s="13"/>
      <c r="AM670" s="12"/>
      <c r="AN670" s="12"/>
      <c r="AO670" s="12"/>
      <c r="AP670" s="12"/>
      <c r="AQ670" s="18" t="str">
        <f aca="false">IF(A670="","",N(AQ669)+N(AA670))</f>
        <v/>
      </c>
      <c r="AR670" s="18" t="str">
        <f aca="false">IF(AQ670="","",MAX(0,MAX($AQ$8:AQ670))-AQ670)</f>
        <v/>
      </c>
    </row>
    <row r="671" customFormat="false" ht="15" hidden="false" customHeight="fals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3"/>
      <c r="M671" s="13"/>
      <c r="N671" s="13"/>
      <c r="O671" s="14" t="str">
        <f aca="false">IF(OR(L671="",L671=0),"",(1-M671)/L671)</f>
        <v/>
      </c>
      <c r="P671" s="15"/>
      <c r="Q671" s="12"/>
      <c r="R671" s="12"/>
      <c r="S671" s="13"/>
      <c r="T671" s="16" t="str">
        <f aca="false">IF(OR(S671="",L671=""),"",L671/(1-M671)-S671)</f>
        <v/>
      </c>
      <c r="U671" s="16" t="str">
        <f aca="false">IF(OR(L671="",P671=""),"",L671*(P671-1)-N671)</f>
        <v/>
      </c>
      <c r="V671" s="13"/>
      <c r="W671" s="17"/>
      <c r="X671" s="12"/>
      <c r="Y671" s="12"/>
      <c r="Z671" s="12"/>
      <c r="AA671" s="18" t="str">
        <f aca="false">IF(K671&lt;&gt;"ВИРТУАЛЬНЫЙ ВЫБОР","",IF(Z671="✅ ЗАШЛО",W671*(P671-1),IF(Z671="❌ НЕ ЗАШЛО",-W671,IF(Z671="½ ЗАШЛО",W671*(P671-1)/2,IF(Z671="½ НЕ ЗАШЛО",-W671/2,IF(Z671="ВОЗВРАТ",0,""))))))</f>
        <v/>
      </c>
      <c r="AB671" s="18" t="str">
        <f aca="false">IF(AND(K671="ВИРТУАЛЬНЫЙ ВЫБОР",OR(Z671="✅ ЗАШЛО",Z671="❌ НЕ ЗАШЛО",Z671="½ ЗАШЛО",Z671="½ НЕ ЗАШЛО",Z671="ВОЗВРАТ")),W671,"")</f>
        <v/>
      </c>
      <c r="AC671" s="15"/>
      <c r="AD671" s="16" t="str">
        <f aca="false">IF(OR(AC671="",P671=""),"",P671/AC671-1)</f>
        <v/>
      </c>
      <c r="AE671" s="19" t="str">
        <f aca="false">IF(AND(M671=0,OR(Z671="✅ ЗАШЛО",Z671="❌ НЕ ЗАШЛО"),L671&lt;&gt;""),(L671-IF(Z671="✅ ЗАШЛО",1,0))^2,"")</f>
        <v/>
      </c>
      <c r="AF671" s="15"/>
      <c r="AG671" s="15"/>
      <c r="AH671" s="13"/>
      <c r="AI671" s="13"/>
      <c r="AJ671" s="13"/>
      <c r="AK671" s="20" t="str">
        <f aca="false">IF(AH671="","",IF(ABS(AH671+AI671+AJ671-1)&lt;0.000001,"OK","ОШИБКА"))</f>
        <v/>
      </c>
      <c r="AL671" s="13"/>
      <c r="AM671" s="12"/>
      <c r="AN671" s="12"/>
      <c r="AO671" s="12"/>
      <c r="AP671" s="12"/>
      <c r="AQ671" s="18" t="str">
        <f aca="false">IF(A671="","",N(AQ670)+N(AA671))</f>
        <v/>
      </c>
      <c r="AR671" s="18" t="str">
        <f aca="false">IF(AQ671="","",MAX(0,MAX($AQ$8:AQ671))-AQ671)</f>
        <v/>
      </c>
    </row>
    <row r="672" customFormat="false" ht="15" hidden="false" customHeight="fals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3"/>
      <c r="M672" s="13"/>
      <c r="N672" s="13"/>
      <c r="O672" s="14" t="str">
        <f aca="false">IF(OR(L672="",L672=0),"",(1-M672)/L672)</f>
        <v/>
      </c>
      <c r="P672" s="15"/>
      <c r="Q672" s="12"/>
      <c r="R672" s="12"/>
      <c r="S672" s="13"/>
      <c r="T672" s="16" t="str">
        <f aca="false">IF(OR(S672="",L672=""),"",L672/(1-M672)-S672)</f>
        <v/>
      </c>
      <c r="U672" s="16" t="str">
        <f aca="false">IF(OR(L672="",P672=""),"",L672*(P672-1)-N672)</f>
        <v/>
      </c>
      <c r="V672" s="13"/>
      <c r="W672" s="17"/>
      <c r="X672" s="12"/>
      <c r="Y672" s="12"/>
      <c r="Z672" s="12"/>
      <c r="AA672" s="18" t="str">
        <f aca="false">IF(K672&lt;&gt;"ВИРТУАЛЬНЫЙ ВЫБОР","",IF(Z672="✅ ЗАШЛО",W672*(P672-1),IF(Z672="❌ НЕ ЗАШЛО",-W672,IF(Z672="½ ЗАШЛО",W672*(P672-1)/2,IF(Z672="½ НЕ ЗАШЛО",-W672/2,IF(Z672="ВОЗВРАТ",0,""))))))</f>
        <v/>
      </c>
      <c r="AB672" s="18" t="str">
        <f aca="false">IF(AND(K672="ВИРТУАЛЬНЫЙ ВЫБОР",OR(Z672="✅ ЗАШЛО",Z672="❌ НЕ ЗАШЛО",Z672="½ ЗАШЛО",Z672="½ НЕ ЗАШЛО",Z672="ВОЗВРАТ")),W672,"")</f>
        <v/>
      </c>
      <c r="AC672" s="15"/>
      <c r="AD672" s="16" t="str">
        <f aca="false">IF(OR(AC672="",P672=""),"",P672/AC672-1)</f>
        <v/>
      </c>
      <c r="AE672" s="19" t="str">
        <f aca="false">IF(AND(M672=0,OR(Z672="✅ ЗАШЛО",Z672="❌ НЕ ЗАШЛО"),L672&lt;&gt;""),(L672-IF(Z672="✅ ЗАШЛО",1,0))^2,"")</f>
        <v/>
      </c>
      <c r="AF672" s="15"/>
      <c r="AG672" s="15"/>
      <c r="AH672" s="13"/>
      <c r="AI672" s="13"/>
      <c r="AJ672" s="13"/>
      <c r="AK672" s="20" t="str">
        <f aca="false">IF(AH672="","",IF(ABS(AH672+AI672+AJ672-1)&lt;0.000001,"OK","ОШИБКА"))</f>
        <v/>
      </c>
      <c r="AL672" s="13"/>
      <c r="AM672" s="12"/>
      <c r="AN672" s="12"/>
      <c r="AO672" s="12"/>
      <c r="AP672" s="12"/>
      <c r="AQ672" s="18" t="str">
        <f aca="false">IF(A672="","",N(AQ671)+N(AA672))</f>
        <v/>
      </c>
      <c r="AR672" s="18" t="str">
        <f aca="false">IF(AQ672="","",MAX(0,MAX($AQ$8:AQ672))-AQ672)</f>
        <v/>
      </c>
    </row>
    <row r="673" customFormat="false" ht="15" hidden="false" customHeight="fals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3"/>
      <c r="M673" s="13"/>
      <c r="N673" s="13"/>
      <c r="O673" s="14" t="str">
        <f aca="false">IF(OR(L673="",L673=0),"",(1-M673)/L673)</f>
        <v/>
      </c>
      <c r="P673" s="15"/>
      <c r="Q673" s="12"/>
      <c r="R673" s="12"/>
      <c r="S673" s="13"/>
      <c r="T673" s="16" t="str">
        <f aca="false">IF(OR(S673="",L673=""),"",L673/(1-M673)-S673)</f>
        <v/>
      </c>
      <c r="U673" s="16" t="str">
        <f aca="false">IF(OR(L673="",P673=""),"",L673*(P673-1)-N673)</f>
        <v/>
      </c>
      <c r="V673" s="13"/>
      <c r="W673" s="17"/>
      <c r="X673" s="12"/>
      <c r="Y673" s="12"/>
      <c r="Z673" s="12"/>
      <c r="AA673" s="18" t="str">
        <f aca="false">IF(K673&lt;&gt;"ВИРТУАЛЬНЫЙ ВЫБОР","",IF(Z673="✅ ЗАШЛО",W673*(P673-1),IF(Z673="❌ НЕ ЗАШЛО",-W673,IF(Z673="½ ЗАШЛО",W673*(P673-1)/2,IF(Z673="½ НЕ ЗАШЛО",-W673/2,IF(Z673="ВОЗВРАТ",0,""))))))</f>
        <v/>
      </c>
      <c r="AB673" s="18" t="str">
        <f aca="false">IF(AND(K673="ВИРТУАЛЬНЫЙ ВЫБОР",OR(Z673="✅ ЗАШЛО",Z673="❌ НЕ ЗАШЛО",Z673="½ ЗАШЛО",Z673="½ НЕ ЗАШЛО",Z673="ВОЗВРАТ")),W673,"")</f>
        <v/>
      </c>
      <c r="AC673" s="15"/>
      <c r="AD673" s="16" t="str">
        <f aca="false">IF(OR(AC673="",P673=""),"",P673/AC673-1)</f>
        <v/>
      </c>
      <c r="AE673" s="19" t="str">
        <f aca="false">IF(AND(M673=0,OR(Z673="✅ ЗАШЛО",Z673="❌ НЕ ЗАШЛО"),L673&lt;&gt;""),(L673-IF(Z673="✅ ЗАШЛО",1,0))^2,"")</f>
        <v/>
      </c>
      <c r="AF673" s="15"/>
      <c r="AG673" s="15"/>
      <c r="AH673" s="13"/>
      <c r="AI673" s="13"/>
      <c r="AJ673" s="13"/>
      <c r="AK673" s="20" t="str">
        <f aca="false">IF(AH673="","",IF(ABS(AH673+AI673+AJ673-1)&lt;0.000001,"OK","ОШИБКА"))</f>
        <v/>
      </c>
      <c r="AL673" s="13"/>
      <c r="AM673" s="12"/>
      <c r="AN673" s="12"/>
      <c r="AO673" s="12"/>
      <c r="AP673" s="12"/>
      <c r="AQ673" s="18" t="str">
        <f aca="false">IF(A673="","",N(AQ672)+N(AA673))</f>
        <v/>
      </c>
      <c r="AR673" s="18" t="str">
        <f aca="false">IF(AQ673="","",MAX(0,MAX($AQ$8:AQ673))-AQ673)</f>
        <v/>
      </c>
    </row>
    <row r="674" customFormat="false" ht="15" hidden="false" customHeight="fals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3"/>
      <c r="M674" s="13"/>
      <c r="N674" s="13"/>
      <c r="O674" s="14" t="str">
        <f aca="false">IF(OR(L674="",L674=0),"",(1-M674)/L674)</f>
        <v/>
      </c>
      <c r="P674" s="15"/>
      <c r="Q674" s="12"/>
      <c r="R674" s="12"/>
      <c r="S674" s="13"/>
      <c r="T674" s="16" t="str">
        <f aca="false">IF(OR(S674="",L674=""),"",L674/(1-M674)-S674)</f>
        <v/>
      </c>
      <c r="U674" s="16" t="str">
        <f aca="false">IF(OR(L674="",P674=""),"",L674*(P674-1)-N674)</f>
        <v/>
      </c>
      <c r="V674" s="13"/>
      <c r="W674" s="17"/>
      <c r="X674" s="12"/>
      <c r="Y674" s="12"/>
      <c r="Z674" s="12"/>
      <c r="AA674" s="18" t="str">
        <f aca="false">IF(K674&lt;&gt;"ВИРТУАЛЬНЫЙ ВЫБОР","",IF(Z674="✅ ЗАШЛО",W674*(P674-1),IF(Z674="❌ НЕ ЗАШЛО",-W674,IF(Z674="½ ЗАШЛО",W674*(P674-1)/2,IF(Z674="½ НЕ ЗАШЛО",-W674/2,IF(Z674="ВОЗВРАТ",0,""))))))</f>
        <v/>
      </c>
      <c r="AB674" s="18" t="str">
        <f aca="false">IF(AND(K674="ВИРТУАЛЬНЫЙ ВЫБОР",OR(Z674="✅ ЗАШЛО",Z674="❌ НЕ ЗАШЛО",Z674="½ ЗАШЛО",Z674="½ НЕ ЗАШЛО",Z674="ВОЗВРАТ")),W674,"")</f>
        <v/>
      </c>
      <c r="AC674" s="15"/>
      <c r="AD674" s="16" t="str">
        <f aca="false">IF(OR(AC674="",P674=""),"",P674/AC674-1)</f>
        <v/>
      </c>
      <c r="AE674" s="19" t="str">
        <f aca="false">IF(AND(M674=0,OR(Z674="✅ ЗАШЛО",Z674="❌ НЕ ЗАШЛО"),L674&lt;&gt;""),(L674-IF(Z674="✅ ЗАШЛО",1,0))^2,"")</f>
        <v/>
      </c>
      <c r="AF674" s="15"/>
      <c r="AG674" s="15"/>
      <c r="AH674" s="13"/>
      <c r="AI674" s="13"/>
      <c r="AJ674" s="13"/>
      <c r="AK674" s="20" t="str">
        <f aca="false">IF(AH674="","",IF(ABS(AH674+AI674+AJ674-1)&lt;0.000001,"OK","ОШИБКА"))</f>
        <v/>
      </c>
      <c r="AL674" s="13"/>
      <c r="AM674" s="12"/>
      <c r="AN674" s="12"/>
      <c r="AO674" s="12"/>
      <c r="AP674" s="12"/>
      <c r="AQ674" s="18" t="str">
        <f aca="false">IF(A674="","",N(AQ673)+N(AA674))</f>
        <v/>
      </c>
      <c r="AR674" s="18" t="str">
        <f aca="false">IF(AQ674="","",MAX(0,MAX($AQ$8:AQ674))-AQ674)</f>
        <v/>
      </c>
    </row>
    <row r="675" customFormat="false" ht="15" hidden="false" customHeight="fals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3"/>
      <c r="M675" s="13"/>
      <c r="N675" s="13"/>
      <c r="O675" s="14" t="str">
        <f aca="false">IF(OR(L675="",L675=0),"",(1-M675)/L675)</f>
        <v/>
      </c>
      <c r="P675" s="15"/>
      <c r="Q675" s="12"/>
      <c r="R675" s="12"/>
      <c r="S675" s="13"/>
      <c r="T675" s="16" t="str">
        <f aca="false">IF(OR(S675="",L675=""),"",L675/(1-M675)-S675)</f>
        <v/>
      </c>
      <c r="U675" s="16" t="str">
        <f aca="false">IF(OR(L675="",P675=""),"",L675*(P675-1)-N675)</f>
        <v/>
      </c>
      <c r="V675" s="13"/>
      <c r="W675" s="17"/>
      <c r="X675" s="12"/>
      <c r="Y675" s="12"/>
      <c r="Z675" s="12"/>
      <c r="AA675" s="18" t="str">
        <f aca="false">IF(K675&lt;&gt;"ВИРТУАЛЬНЫЙ ВЫБОР","",IF(Z675="✅ ЗАШЛО",W675*(P675-1),IF(Z675="❌ НЕ ЗАШЛО",-W675,IF(Z675="½ ЗАШЛО",W675*(P675-1)/2,IF(Z675="½ НЕ ЗАШЛО",-W675/2,IF(Z675="ВОЗВРАТ",0,""))))))</f>
        <v/>
      </c>
      <c r="AB675" s="18" t="str">
        <f aca="false">IF(AND(K675="ВИРТУАЛЬНЫЙ ВЫБОР",OR(Z675="✅ ЗАШЛО",Z675="❌ НЕ ЗАШЛО",Z675="½ ЗАШЛО",Z675="½ НЕ ЗАШЛО",Z675="ВОЗВРАТ")),W675,"")</f>
        <v/>
      </c>
      <c r="AC675" s="15"/>
      <c r="AD675" s="16" t="str">
        <f aca="false">IF(OR(AC675="",P675=""),"",P675/AC675-1)</f>
        <v/>
      </c>
      <c r="AE675" s="19" t="str">
        <f aca="false">IF(AND(M675=0,OR(Z675="✅ ЗАШЛО",Z675="❌ НЕ ЗАШЛО"),L675&lt;&gt;""),(L675-IF(Z675="✅ ЗАШЛО",1,0))^2,"")</f>
        <v/>
      </c>
      <c r="AF675" s="15"/>
      <c r="AG675" s="15"/>
      <c r="AH675" s="13"/>
      <c r="AI675" s="13"/>
      <c r="AJ675" s="13"/>
      <c r="AK675" s="20" t="str">
        <f aca="false">IF(AH675="","",IF(ABS(AH675+AI675+AJ675-1)&lt;0.000001,"OK","ОШИБКА"))</f>
        <v/>
      </c>
      <c r="AL675" s="13"/>
      <c r="AM675" s="12"/>
      <c r="AN675" s="12"/>
      <c r="AO675" s="12"/>
      <c r="AP675" s="12"/>
      <c r="AQ675" s="18" t="str">
        <f aca="false">IF(A675="","",N(AQ674)+N(AA675))</f>
        <v/>
      </c>
      <c r="AR675" s="18" t="str">
        <f aca="false">IF(AQ675="","",MAX(0,MAX($AQ$8:AQ675))-AQ675)</f>
        <v/>
      </c>
    </row>
    <row r="676" customFormat="false" ht="15" hidden="false" customHeight="fals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3"/>
      <c r="M676" s="13"/>
      <c r="N676" s="13"/>
      <c r="O676" s="14" t="str">
        <f aca="false">IF(OR(L676="",L676=0),"",(1-M676)/L676)</f>
        <v/>
      </c>
      <c r="P676" s="15"/>
      <c r="Q676" s="12"/>
      <c r="R676" s="12"/>
      <c r="S676" s="13"/>
      <c r="T676" s="16" t="str">
        <f aca="false">IF(OR(S676="",L676=""),"",L676/(1-M676)-S676)</f>
        <v/>
      </c>
      <c r="U676" s="16" t="str">
        <f aca="false">IF(OR(L676="",P676=""),"",L676*(P676-1)-N676)</f>
        <v/>
      </c>
      <c r="V676" s="13"/>
      <c r="W676" s="17"/>
      <c r="X676" s="12"/>
      <c r="Y676" s="12"/>
      <c r="Z676" s="12"/>
      <c r="AA676" s="18" t="str">
        <f aca="false">IF(K676&lt;&gt;"ВИРТУАЛЬНЫЙ ВЫБОР","",IF(Z676="✅ ЗАШЛО",W676*(P676-1),IF(Z676="❌ НЕ ЗАШЛО",-W676,IF(Z676="½ ЗАШЛО",W676*(P676-1)/2,IF(Z676="½ НЕ ЗАШЛО",-W676/2,IF(Z676="ВОЗВРАТ",0,""))))))</f>
        <v/>
      </c>
      <c r="AB676" s="18" t="str">
        <f aca="false">IF(AND(K676="ВИРТУАЛЬНЫЙ ВЫБОР",OR(Z676="✅ ЗАШЛО",Z676="❌ НЕ ЗАШЛО",Z676="½ ЗАШЛО",Z676="½ НЕ ЗАШЛО",Z676="ВОЗВРАТ")),W676,"")</f>
        <v/>
      </c>
      <c r="AC676" s="15"/>
      <c r="AD676" s="16" t="str">
        <f aca="false">IF(OR(AC676="",P676=""),"",P676/AC676-1)</f>
        <v/>
      </c>
      <c r="AE676" s="19" t="str">
        <f aca="false">IF(AND(M676=0,OR(Z676="✅ ЗАШЛО",Z676="❌ НЕ ЗАШЛО"),L676&lt;&gt;""),(L676-IF(Z676="✅ ЗАШЛО",1,0))^2,"")</f>
        <v/>
      </c>
      <c r="AF676" s="15"/>
      <c r="AG676" s="15"/>
      <c r="AH676" s="13"/>
      <c r="AI676" s="13"/>
      <c r="AJ676" s="13"/>
      <c r="AK676" s="20" t="str">
        <f aca="false">IF(AH676="","",IF(ABS(AH676+AI676+AJ676-1)&lt;0.000001,"OK","ОШИБКА"))</f>
        <v/>
      </c>
      <c r="AL676" s="13"/>
      <c r="AM676" s="12"/>
      <c r="AN676" s="12"/>
      <c r="AO676" s="12"/>
      <c r="AP676" s="12"/>
      <c r="AQ676" s="18" t="str">
        <f aca="false">IF(A676="","",N(AQ675)+N(AA676))</f>
        <v/>
      </c>
      <c r="AR676" s="18" t="str">
        <f aca="false">IF(AQ676="","",MAX(0,MAX($AQ$8:AQ676))-AQ676)</f>
        <v/>
      </c>
    </row>
    <row r="677" customFormat="false" ht="15" hidden="false" customHeight="fals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3"/>
      <c r="M677" s="13"/>
      <c r="N677" s="13"/>
      <c r="O677" s="14" t="str">
        <f aca="false">IF(OR(L677="",L677=0),"",(1-M677)/L677)</f>
        <v/>
      </c>
      <c r="P677" s="15"/>
      <c r="Q677" s="12"/>
      <c r="R677" s="12"/>
      <c r="S677" s="13"/>
      <c r="T677" s="16" t="str">
        <f aca="false">IF(OR(S677="",L677=""),"",L677/(1-M677)-S677)</f>
        <v/>
      </c>
      <c r="U677" s="16" t="str">
        <f aca="false">IF(OR(L677="",P677=""),"",L677*(P677-1)-N677)</f>
        <v/>
      </c>
      <c r="V677" s="13"/>
      <c r="W677" s="17"/>
      <c r="X677" s="12"/>
      <c r="Y677" s="12"/>
      <c r="Z677" s="12"/>
      <c r="AA677" s="18" t="str">
        <f aca="false">IF(K677&lt;&gt;"ВИРТУАЛЬНЫЙ ВЫБОР","",IF(Z677="✅ ЗАШЛО",W677*(P677-1),IF(Z677="❌ НЕ ЗАШЛО",-W677,IF(Z677="½ ЗАШЛО",W677*(P677-1)/2,IF(Z677="½ НЕ ЗАШЛО",-W677/2,IF(Z677="ВОЗВРАТ",0,""))))))</f>
        <v/>
      </c>
      <c r="AB677" s="18" t="str">
        <f aca="false">IF(AND(K677="ВИРТУАЛЬНЫЙ ВЫБОР",OR(Z677="✅ ЗАШЛО",Z677="❌ НЕ ЗАШЛО",Z677="½ ЗАШЛО",Z677="½ НЕ ЗАШЛО",Z677="ВОЗВРАТ")),W677,"")</f>
        <v/>
      </c>
      <c r="AC677" s="15"/>
      <c r="AD677" s="16" t="str">
        <f aca="false">IF(OR(AC677="",P677=""),"",P677/AC677-1)</f>
        <v/>
      </c>
      <c r="AE677" s="19" t="str">
        <f aca="false">IF(AND(M677=0,OR(Z677="✅ ЗАШЛО",Z677="❌ НЕ ЗАШЛО"),L677&lt;&gt;""),(L677-IF(Z677="✅ ЗАШЛО",1,0))^2,"")</f>
        <v/>
      </c>
      <c r="AF677" s="15"/>
      <c r="AG677" s="15"/>
      <c r="AH677" s="13"/>
      <c r="AI677" s="13"/>
      <c r="AJ677" s="13"/>
      <c r="AK677" s="20" t="str">
        <f aca="false">IF(AH677="","",IF(ABS(AH677+AI677+AJ677-1)&lt;0.000001,"OK","ОШИБКА"))</f>
        <v/>
      </c>
      <c r="AL677" s="13"/>
      <c r="AM677" s="12"/>
      <c r="AN677" s="12"/>
      <c r="AO677" s="12"/>
      <c r="AP677" s="12"/>
      <c r="AQ677" s="18" t="str">
        <f aca="false">IF(A677="","",N(AQ676)+N(AA677))</f>
        <v/>
      </c>
      <c r="AR677" s="18" t="str">
        <f aca="false">IF(AQ677="","",MAX(0,MAX($AQ$8:AQ677))-AQ677)</f>
        <v/>
      </c>
    </row>
    <row r="678" customFormat="false" ht="15" hidden="false" customHeight="fals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3"/>
      <c r="M678" s="13"/>
      <c r="N678" s="13"/>
      <c r="O678" s="14" t="str">
        <f aca="false">IF(OR(L678="",L678=0),"",(1-M678)/L678)</f>
        <v/>
      </c>
      <c r="P678" s="15"/>
      <c r="Q678" s="12"/>
      <c r="R678" s="12"/>
      <c r="S678" s="13"/>
      <c r="T678" s="16" t="str">
        <f aca="false">IF(OR(S678="",L678=""),"",L678/(1-M678)-S678)</f>
        <v/>
      </c>
      <c r="U678" s="16" t="str">
        <f aca="false">IF(OR(L678="",P678=""),"",L678*(P678-1)-N678)</f>
        <v/>
      </c>
      <c r="V678" s="13"/>
      <c r="W678" s="17"/>
      <c r="X678" s="12"/>
      <c r="Y678" s="12"/>
      <c r="Z678" s="12"/>
      <c r="AA678" s="18" t="str">
        <f aca="false">IF(K678&lt;&gt;"ВИРТУАЛЬНЫЙ ВЫБОР","",IF(Z678="✅ ЗАШЛО",W678*(P678-1),IF(Z678="❌ НЕ ЗАШЛО",-W678,IF(Z678="½ ЗАШЛО",W678*(P678-1)/2,IF(Z678="½ НЕ ЗАШЛО",-W678/2,IF(Z678="ВОЗВРАТ",0,""))))))</f>
        <v/>
      </c>
      <c r="AB678" s="18" t="str">
        <f aca="false">IF(AND(K678="ВИРТУАЛЬНЫЙ ВЫБОР",OR(Z678="✅ ЗАШЛО",Z678="❌ НЕ ЗАШЛО",Z678="½ ЗАШЛО",Z678="½ НЕ ЗАШЛО",Z678="ВОЗВРАТ")),W678,"")</f>
        <v/>
      </c>
      <c r="AC678" s="15"/>
      <c r="AD678" s="16" t="str">
        <f aca="false">IF(OR(AC678="",P678=""),"",P678/AC678-1)</f>
        <v/>
      </c>
      <c r="AE678" s="19" t="str">
        <f aca="false">IF(AND(M678=0,OR(Z678="✅ ЗАШЛО",Z678="❌ НЕ ЗАШЛО"),L678&lt;&gt;""),(L678-IF(Z678="✅ ЗАШЛО",1,0))^2,"")</f>
        <v/>
      </c>
      <c r="AF678" s="15"/>
      <c r="AG678" s="15"/>
      <c r="AH678" s="13"/>
      <c r="AI678" s="13"/>
      <c r="AJ678" s="13"/>
      <c r="AK678" s="20" t="str">
        <f aca="false">IF(AH678="","",IF(ABS(AH678+AI678+AJ678-1)&lt;0.000001,"OK","ОШИБКА"))</f>
        <v/>
      </c>
      <c r="AL678" s="13"/>
      <c r="AM678" s="12"/>
      <c r="AN678" s="12"/>
      <c r="AO678" s="12"/>
      <c r="AP678" s="12"/>
      <c r="AQ678" s="18" t="str">
        <f aca="false">IF(A678="","",N(AQ677)+N(AA678))</f>
        <v/>
      </c>
      <c r="AR678" s="18" t="str">
        <f aca="false">IF(AQ678="","",MAX(0,MAX($AQ$8:AQ678))-AQ678)</f>
        <v/>
      </c>
    </row>
    <row r="679" customFormat="false" ht="15" hidden="false" customHeight="fals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3"/>
      <c r="M679" s="13"/>
      <c r="N679" s="13"/>
      <c r="O679" s="14" t="str">
        <f aca="false">IF(OR(L679="",L679=0),"",(1-M679)/L679)</f>
        <v/>
      </c>
      <c r="P679" s="15"/>
      <c r="Q679" s="12"/>
      <c r="R679" s="12"/>
      <c r="S679" s="13"/>
      <c r="T679" s="16" t="str">
        <f aca="false">IF(OR(S679="",L679=""),"",L679/(1-M679)-S679)</f>
        <v/>
      </c>
      <c r="U679" s="16" t="str">
        <f aca="false">IF(OR(L679="",P679=""),"",L679*(P679-1)-N679)</f>
        <v/>
      </c>
      <c r="V679" s="13"/>
      <c r="W679" s="17"/>
      <c r="X679" s="12"/>
      <c r="Y679" s="12"/>
      <c r="Z679" s="12"/>
      <c r="AA679" s="18" t="str">
        <f aca="false">IF(K679&lt;&gt;"ВИРТУАЛЬНЫЙ ВЫБОР","",IF(Z679="✅ ЗАШЛО",W679*(P679-1),IF(Z679="❌ НЕ ЗАШЛО",-W679,IF(Z679="½ ЗАШЛО",W679*(P679-1)/2,IF(Z679="½ НЕ ЗАШЛО",-W679/2,IF(Z679="ВОЗВРАТ",0,""))))))</f>
        <v/>
      </c>
      <c r="AB679" s="18" t="str">
        <f aca="false">IF(AND(K679="ВИРТУАЛЬНЫЙ ВЫБОР",OR(Z679="✅ ЗАШЛО",Z679="❌ НЕ ЗАШЛО",Z679="½ ЗАШЛО",Z679="½ НЕ ЗАШЛО",Z679="ВОЗВРАТ")),W679,"")</f>
        <v/>
      </c>
      <c r="AC679" s="15"/>
      <c r="AD679" s="16" t="str">
        <f aca="false">IF(OR(AC679="",P679=""),"",P679/AC679-1)</f>
        <v/>
      </c>
      <c r="AE679" s="19" t="str">
        <f aca="false">IF(AND(M679=0,OR(Z679="✅ ЗАШЛО",Z679="❌ НЕ ЗАШЛО"),L679&lt;&gt;""),(L679-IF(Z679="✅ ЗАШЛО",1,0))^2,"")</f>
        <v/>
      </c>
      <c r="AF679" s="15"/>
      <c r="AG679" s="15"/>
      <c r="AH679" s="13"/>
      <c r="AI679" s="13"/>
      <c r="AJ679" s="13"/>
      <c r="AK679" s="20" t="str">
        <f aca="false">IF(AH679="","",IF(ABS(AH679+AI679+AJ679-1)&lt;0.000001,"OK","ОШИБКА"))</f>
        <v/>
      </c>
      <c r="AL679" s="13"/>
      <c r="AM679" s="12"/>
      <c r="AN679" s="12"/>
      <c r="AO679" s="12"/>
      <c r="AP679" s="12"/>
      <c r="AQ679" s="18" t="str">
        <f aca="false">IF(A679="","",N(AQ678)+N(AA679))</f>
        <v/>
      </c>
      <c r="AR679" s="18" t="str">
        <f aca="false">IF(AQ679="","",MAX(0,MAX($AQ$8:AQ679))-AQ679)</f>
        <v/>
      </c>
    </row>
    <row r="680" customFormat="false" ht="15" hidden="false" customHeight="fals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3"/>
      <c r="M680" s="13"/>
      <c r="N680" s="13"/>
      <c r="O680" s="14" t="str">
        <f aca="false">IF(OR(L680="",L680=0),"",(1-M680)/L680)</f>
        <v/>
      </c>
      <c r="P680" s="15"/>
      <c r="Q680" s="12"/>
      <c r="R680" s="12"/>
      <c r="S680" s="13"/>
      <c r="T680" s="16" t="str">
        <f aca="false">IF(OR(S680="",L680=""),"",L680/(1-M680)-S680)</f>
        <v/>
      </c>
      <c r="U680" s="16" t="str">
        <f aca="false">IF(OR(L680="",P680=""),"",L680*(P680-1)-N680)</f>
        <v/>
      </c>
      <c r="V680" s="13"/>
      <c r="W680" s="17"/>
      <c r="X680" s="12"/>
      <c r="Y680" s="12"/>
      <c r="Z680" s="12"/>
      <c r="AA680" s="18" t="str">
        <f aca="false">IF(K680&lt;&gt;"ВИРТУАЛЬНЫЙ ВЫБОР","",IF(Z680="✅ ЗАШЛО",W680*(P680-1),IF(Z680="❌ НЕ ЗАШЛО",-W680,IF(Z680="½ ЗАШЛО",W680*(P680-1)/2,IF(Z680="½ НЕ ЗАШЛО",-W680/2,IF(Z680="ВОЗВРАТ",0,""))))))</f>
        <v/>
      </c>
      <c r="AB680" s="18" t="str">
        <f aca="false">IF(AND(K680="ВИРТУАЛЬНЫЙ ВЫБОР",OR(Z680="✅ ЗАШЛО",Z680="❌ НЕ ЗАШЛО",Z680="½ ЗАШЛО",Z680="½ НЕ ЗАШЛО",Z680="ВОЗВРАТ")),W680,"")</f>
        <v/>
      </c>
      <c r="AC680" s="15"/>
      <c r="AD680" s="16" t="str">
        <f aca="false">IF(OR(AC680="",P680=""),"",P680/AC680-1)</f>
        <v/>
      </c>
      <c r="AE680" s="19" t="str">
        <f aca="false">IF(AND(M680=0,OR(Z680="✅ ЗАШЛО",Z680="❌ НЕ ЗАШЛО"),L680&lt;&gt;""),(L680-IF(Z680="✅ ЗАШЛО",1,0))^2,"")</f>
        <v/>
      </c>
      <c r="AF680" s="15"/>
      <c r="AG680" s="15"/>
      <c r="AH680" s="13"/>
      <c r="AI680" s="13"/>
      <c r="AJ680" s="13"/>
      <c r="AK680" s="20" t="str">
        <f aca="false">IF(AH680="","",IF(ABS(AH680+AI680+AJ680-1)&lt;0.000001,"OK","ОШИБКА"))</f>
        <v/>
      </c>
      <c r="AL680" s="13"/>
      <c r="AM680" s="12"/>
      <c r="AN680" s="12"/>
      <c r="AO680" s="12"/>
      <c r="AP680" s="12"/>
      <c r="AQ680" s="18" t="str">
        <f aca="false">IF(A680="","",N(AQ679)+N(AA680))</f>
        <v/>
      </c>
      <c r="AR680" s="18" t="str">
        <f aca="false">IF(AQ680="","",MAX(0,MAX($AQ$8:AQ680))-AQ680)</f>
        <v/>
      </c>
    </row>
    <row r="681" customFormat="false" ht="15" hidden="false" customHeight="fals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3"/>
      <c r="M681" s="13"/>
      <c r="N681" s="13"/>
      <c r="O681" s="14" t="str">
        <f aca="false">IF(OR(L681="",L681=0),"",(1-M681)/L681)</f>
        <v/>
      </c>
      <c r="P681" s="15"/>
      <c r="Q681" s="12"/>
      <c r="R681" s="12"/>
      <c r="S681" s="13"/>
      <c r="T681" s="16" t="str">
        <f aca="false">IF(OR(S681="",L681=""),"",L681/(1-M681)-S681)</f>
        <v/>
      </c>
      <c r="U681" s="16" t="str">
        <f aca="false">IF(OR(L681="",P681=""),"",L681*(P681-1)-N681)</f>
        <v/>
      </c>
      <c r="V681" s="13"/>
      <c r="W681" s="17"/>
      <c r="X681" s="12"/>
      <c r="Y681" s="12"/>
      <c r="Z681" s="12"/>
      <c r="AA681" s="18" t="str">
        <f aca="false">IF(K681&lt;&gt;"ВИРТУАЛЬНЫЙ ВЫБОР","",IF(Z681="✅ ЗАШЛО",W681*(P681-1),IF(Z681="❌ НЕ ЗАШЛО",-W681,IF(Z681="½ ЗАШЛО",W681*(P681-1)/2,IF(Z681="½ НЕ ЗАШЛО",-W681/2,IF(Z681="ВОЗВРАТ",0,""))))))</f>
        <v/>
      </c>
      <c r="AB681" s="18" t="str">
        <f aca="false">IF(AND(K681="ВИРТУАЛЬНЫЙ ВЫБОР",OR(Z681="✅ ЗАШЛО",Z681="❌ НЕ ЗАШЛО",Z681="½ ЗАШЛО",Z681="½ НЕ ЗАШЛО",Z681="ВОЗВРАТ")),W681,"")</f>
        <v/>
      </c>
      <c r="AC681" s="15"/>
      <c r="AD681" s="16" t="str">
        <f aca="false">IF(OR(AC681="",P681=""),"",P681/AC681-1)</f>
        <v/>
      </c>
      <c r="AE681" s="19" t="str">
        <f aca="false">IF(AND(M681=0,OR(Z681="✅ ЗАШЛО",Z681="❌ НЕ ЗАШЛО"),L681&lt;&gt;""),(L681-IF(Z681="✅ ЗАШЛО",1,0))^2,"")</f>
        <v/>
      </c>
      <c r="AF681" s="15"/>
      <c r="AG681" s="15"/>
      <c r="AH681" s="13"/>
      <c r="AI681" s="13"/>
      <c r="AJ681" s="13"/>
      <c r="AK681" s="20" t="str">
        <f aca="false">IF(AH681="","",IF(ABS(AH681+AI681+AJ681-1)&lt;0.000001,"OK","ОШИБКА"))</f>
        <v/>
      </c>
      <c r="AL681" s="13"/>
      <c r="AM681" s="12"/>
      <c r="AN681" s="12"/>
      <c r="AO681" s="12"/>
      <c r="AP681" s="12"/>
      <c r="AQ681" s="18" t="str">
        <f aca="false">IF(A681="","",N(AQ680)+N(AA681))</f>
        <v/>
      </c>
      <c r="AR681" s="18" t="str">
        <f aca="false">IF(AQ681="","",MAX(0,MAX($AQ$8:AQ681))-AQ681)</f>
        <v/>
      </c>
    </row>
    <row r="682" customFormat="false" ht="15" hidden="false" customHeight="fals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3"/>
      <c r="M682" s="13"/>
      <c r="N682" s="13"/>
      <c r="O682" s="14" t="str">
        <f aca="false">IF(OR(L682="",L682=0),"",(1-M682)/L682)</f>
        <v/>
      </c>
      <c r="P682" s="15"/>
      <c r="Q682" s="12"/>
      <c r="R682" s="12"/>
      <c r="S682" s="13"/>
      <c r="T682" s="16" t="str">
        <f aca="false">IF(OR(S682="",L682=""),"",L682/(1-M682)-S682)</f>
        <v/>
      </c>
      <c r="U682" s="16" t="str">
        <f aca="false">IF(OR(L682="",P682=""),"",L682*(P682-1)-N682)</f>
        <v/>
      </c>
      <c r="V682" s="13"/>
      <c r="W682" s="17"/>
      <c r="X682" s="12"/>
      <c r="Y682" s="12"/>
      <c r="Z682" s="12"/>
      <c r="AA682" s="18" t="str">
        <f aca="false">IF(K682&lt;&gt;"ВИРТУАЛЬНЫЙ ВЫБОР","",IF(Z682="✅ ЗАШЛО",W682*(P682-1),IF(Z682="❌ НЕ ЗАШЛО",-W682,IF(Z682="½ ЗАШЛО",W682*(P682-1)/2,IF(Z682="½ НЕ ЗАШЛО",-W682/2,IF(Z682="ВОЗВРАТ",0,""))))))</f>
        <v/>
      </c>
      <c r="AB682" s="18" t="str">
        <f aca="false">IF(AND(K682="ВИРТУАЛЬНЫЙ ВЫБОР",OR(Z682="✅ ЗАШЛО",Z682="❌ НЕ ЗАШЛО",Z682="½ ЗАШЛО",Z682="½ НЕ ЗАШЛО",Z682="ВОЗВРАТ")),W682,"")</f>
        <v/>
      </c>
      <c r="AC682" s="15"/>
      <c r="AD682" s="16" t="str">
        <f aca="false">IF(OR(AC682="",P682=""),"",P682/AC682-1)</f>
        <v/>
      </c>
      <c r="AE682" s="19" t="str">
        <f aca="false">IF(AND(M682=0,OR(Z682="✅ ЗАШЛО",Z682="❌ НЕ ЗАШЛО"),L682&lt;&gt;""),(L682-IF(Z682="✅ ЗАШЛО",1,0))^2,"")</f>
        <v/>
      </c>
      <c r="AF682" s="15"/>
      <c r="AG682" s="15"/>
      <c r="AH682" s="13"/>
      <c r="AI682" s="13"/>
      <c r="AJ682" s="13"/>
      <c r="AK682" s="20" t="str">
        <f aca="false">IF(AH682="","",IF(ABS(AH682+AI682+AJ682-1)&lt;0.000001,"OK","ОШИБКА"))</f>
        <v/>
      </c>
      <c r="AL682" s="13"/>
      <c r="AM682" s="12"/>
      <c r="AN682" s="12"/>
      <c r="AO682" s="12"/>
      <c r="AP682" s="12"/>
      <c r="AQ682" s="18" t="str">
        <f aca="false">IF(A682="","",N(AQ681)+N(AA682))</f>
        <v/>
      </c>
      <c r="AR682" s="18" t="str">
        <f aca="false">IF(AQ682="","",MAX(0,MAX($AQ$8:AQ682))-AQ682)</f>
        <v/>
      </c>
    </row>
    <row r="683" customFormat="false" ht="15" hidden="false" customHeight="fals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3"/>
      <c r="M683" s="13"/>
      <c r="N683" s="13"/>
      <c r="O683" s="14" t="str">
        <f aca="false">IF(OR(L683="",L683=0),"",(1-M683)/L683)</f>
        <v/>
      </c>
      <c r="P683" s="15"/>
      <c r="Q683" s="12"/>
      <c r="R683" s="12"/>
      <c r="S683" s="13"/>
      <c r="T683" s="16" t="str">
        <f aca="false">IF(OR(S683="",L683=""),"",L683/(1-M683)-S683)</f>
        <v/>
      </c>
      <c r="U683" s="16" t="str">
        <f aca="false">IF(OR(L683="",P683=""),"",L683*(P683-1)-N683)</f>
        <v/>
      </c>
      <c r="V683" s="13"/>
      <c r="W683" s="17"/>
      <c r="X683" s="12"/>
      <c r="Y683" s="12"/>
      <c r="Z683" s="12"/>
      <c r="AA683" s="18" t="str">
        <f aca="false">IF(K683&lt;&gt;"ВИРТУАЛЬНЫЙ ВЫБОР","",IF(Z683="✅ ЗАШЛО",W683*(P683-1),IF(Z683="❌ НЕ ЗАШЛО",-W683,IF(Z683="½ ЗАШЛО",W683*(P683-1)/2,IF(Z683="½ НЕ ЗАШЛО",-W683/2,IF(Z683="ВОЗВРАТ",0,""))))))</f>
        <v/>
      </c>
      <c r="AB683" s="18" t="str">
        <f aca="false">IF(AND(K683="ВИРТУАЛЬНЫЙ ВЫБОР",OR(Z683="✅ ЗАШЛО",Z683="❌ НЕ ЗАШЛО",Z683="½ ЗАШЛО",Z683="½ НЕ ЗАШЛО",Z683="ВОЗВРАТ")),W683,"")</f>
        <v/>
      </c>
      <c r="AC683" s="15"/>
      <c r="AD683" s="16" t="str">
        <f aca="false">IF(OR(AC683="",P683=""),"",P683/AC683-1)</f>
        <v/>
      </c>
      <c r="AE683" s="19" t="str">
        <f aca="false">IF(AND(M683=0,OR(Z683="✅ ЗАШЛО",Z683="❌ НЕ ЗАШЛО"),L683&lt;&gt;""),(L683-IF(Z683="✅ ЗАШЛО",1,0))^2,"")</f>
        <v/>
      </c>
      <c r="AF683" s="15"/>
      <c r="AG683" s="15"/>
      <c r="AH683" s="13"/>
      <c r="AI683" s="13"/>
      <c r="AJ683" s="13"/>
      <c r="AK683" s="20" t="str">
        <f aca="false">IF(AH683="","",IF(ABS(AH683+AI683+AJ683-1)&lt;0.000001,"OK","ОШИБКА"))</f>
        <v/>
      </c>
      <c r="AL683" s="13"/>
      <c r="AM683" s="12"/>
      <c r="AN683" s="12"/>
      <c r="AO683" s="12"/>
      <c r="AP683" s="12"/>
      <c r="AQ683" s="18" t="str">
        <f aca="false">IF(A683="","",N(AQ682)+N(AA683))</f>
        <v/>
      </c>
      <c r="AR683" s="18" t="str">
        <f aca="false">IF(AQ683="","",MAX(0,MAX($AQ$8:AQ683))-AQ683)</f>
        <v/>
      </c>
    </row>
    <row r="684" customFormat="false" ht="15" hidden="false" customHeight="fals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3"/>
      <c r="M684" s="13"/>
      <c r="N684" s="13"/>
      <c r="O684" s="14" t="str">
        <f aca="false">IF(OR(L684="",L684=0),"",(1-M684)/L684)</f>
        <v/>
      </c>
      <c r="P684" s="15"/>
      <c r="Q684" s="12"/>
      <c r="R684" s="12"/>
      <c r="S684" s="13"/>
      <c r="T684" s="16" t="str">
        <f aca="false">IF(OR(S684="",L684=""),"",L684/(1-M684)-S684)</f>
        <v/>
      </c>
      <c r="U684" s="16" t="str">
        <f aca="false">IF(OR(L684="",P684=""),"",L684*(P684-1)-N684)</f>
        <v/>
      </c>
      <c r="V684" s="13"/>
      <c r="W684" s="17"/>
      <c r="X684" s="12"/>
      <c r="Y684" s="12"/>
      <c r="Z684" s="12"/>
      <c r="AA684" s="18" t="str">
        <f aca="false">IF(K684&lt;&gt;"ВИРТУАЛЬНЫЙ ВЫБОР","",IF(Z684="✅ ЗАШЛО",W684*(P684-1),IF(Z684="❌ НЕ ЗАШЛО",-W684,IF(Z684="½ ЗАШЛО",W684*(P684-1)/2,IF(Z684="½ НЕ ЗАШЛО",-W684/2,IF(Z684="ВОЗВРАТ",0,""))))))</f>
        <v/>
      </c>
      <c r="AB684" s="18" t="str">
        <f aca="false">IF(AND(K684="ВИРТУАЛЬНЫЙ ВЫБОР",OR(Z684="✅ ЗАШЛО",Z684="❌ НЕ ЗАШЛО",Z684="½ ЗАШЛО",Z684="½ НЕ ЗАШЛО",Z684="ВОЗВРАТ")),W684,"")</f>
        <v/>
      </c>
      <c r="AC684" s="15"/>
      <c r="AD684" s="16" t="str">
        <f aca="false">IF(OR(AC684="",P684=""),"",P684/AC684-1)</f>
        <v/>
      </c>
      <c r="AE684" s="19" t="str">
        <f aca="false">IF(AND(M684=0,OR(Z684="✅ ЗАШЛО",Z684="❌ НЕ ЗАШЛО"),L684&lt;&gt;""),(L684-IF(Z684="✅ ЗАШЛО",1,0))^2,"")</f>
        <v/>
      </c>
      <c r="AF684" s="15"/>
      <c r="AG684" s="15"/>
      <c r="AH684" s="13"/>
      <c r="AI684" s="13"/>
      <c r="AJ684" s="13"/>
      <c r="AK684" s="20" t="str">
        <f aca="false">IF(AH684="","",IF(ABS(AH684+AI684+AJ684-1)&lt;0.000001,"OK","ОШИБКА"))</f>
        <v/>
      </c>
      <c r="AL684" s="13"/>
      <c r="AM684" s="12"/>
      <c r="AN684" s="12"/>
      <c r="AO684" s="12"/>
      <c r="AP684" s="12"/>
      <c r="AQ684" s="18" t="str">
        <f aca="false">IF(A684="","",N(AQ683)+N(AA684))</f>
        <v/>
      </c>
      <c r="AR684" s="18" t="str">
        <f aca="false">IF(AQ684="","",MAX(0,MAX($AQ$8:AQ684))-AQ684)</f>
        <v/>
      </c>
    </row>
    <row r="685" customFormat="false" ht="15" hidden="false" customHeight="fals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3"/>
      <c r="M685" s="13"/>
      <c r="N685" s="13"/>
      <c r="O685" s="14" t="str">
        <f aca="false">IF(OR(L685="",L685=0),"",(1-M685)/L685)</f>
        <v/>
      </c>
      <c r="P685" s="15"/>
      <c r="Q685" s="12"/>
      <c r="R685" s="12"/>
      <c r="S685" s="13"/>
      <c r="T685" s="16" t="str">
        <f aca="false">IF(OR(S685="",L685=""),"",L685/(1-M685)-S685)</f>
        <v/>
      </c>
      <c r="U685" s="16" t="str">
        <f aca="false">IF(OR(L685="",P685=""),"",L685*(P685-1)-N685)</f>
        <v/>
      </c>
      <c r="V685" s="13"/>
      <c r="W685" s="17"/>
      <c r="X685" s="12"/>
      <c r="Y685" s="12"/>
      <c r="Z685" s="12"/>
      <c r="AA685" s="18" t="str">
        <f aca="false">IF(K685&lt;&gt;"ВИРТУАЛЬНЫЙ ВЫБОР","",IF(Z685="✅ ЗАШЛО",W685*(P685-1),IF(Z685="❌ НЕ ЗАШЛО",-W685,IF(Z685="½ ЗАШЛО",W685*(P685-1)/2,IF(Z685="½ НЕ ЗАШЛО",-W685/2,IF(Z685="ВОЗВРАТ",0,""))))))</f>
        <v/>
      </c>
      <c r="AB685" s="18" t="str">
        <f aca="false">IF(AND(K685="ВИРТУАЛЬНЫЙ ВЫБОР",OR(Z685="✅ ЗАШЛО",Z685="❌ НЕ ЗАШЛО",Z685="½ ЗАШЛО",Z685="½ НЕ ЗАШЛО",Z685="ВОЗВРАТ")),W685,"")</f>
        <v/>
      </c>
      <c r="AC685" s="15"/>
      <c r="AD685" s="16" t="str">
        <f aca="false">IF(OR(AC685="",P685=""),"",P685/AC685-1)</f>
        <v/>
      </c>
      <c r="AE685" s="19" t="str">
        <f aca="false">IF(AND(M685=0,OR(Z685="✅ ЗАШЛО",Z685="❌ НЕ ЗАШЛО"),L685&lt;&gt;""),(L685-IF(Z685="✅ ЗАШЛО",1,0))^2,"")</f>
        <v/>
      </c>
      <c r="AF685" s="15"/>
      <c r="AG685" s="15"/>
      <c r="AH685" s="13"/>
      <c r="AI685" s="13"/>
      <c r="AJ685" s="13"/>
      <c r="AK685" s="20" t="str">
        <f aca="false">IF(AH685="","",IF(ABS(AH685+AI685+AJ685-1)&lt;0.000001,"OK","ОШИБКА"))</f>
        <v/>
      </c>
      <c r="AL685" s="13"/>
      <c r="AM685" s="12"/>
      <c r="AN685" s="12"/>
      <c r="AO685" s="12"/>
      <c r="AP685" s="12"/>
      <c r="AQ685" s="18" t="str">
        <f aca="false">IF(A685="","",N(AQ684)+N(AA685))</f>
        <v/>
      </c>
      <c r="AR685" s="18" t="str">
        <f aca="false">IF(AQ685="","",MAX(0,MAX($AQ$8:AQ685))-AQ685)</f>
        <v/>
      </c>
    </row>
    <row r="686" customFormat="false" ht="15" hidden="false" customHeight="fals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3"/>
      <c r="M686" s="13"/>
      <c r="N686" s="13"/>
      <c r="O686" s="14" t="str">
        <f aca="false">IF(OR(L686="",L686=0),"",(1-M686)/L686)</f>
        <v/>
      </c>
      <c r="P686" s="15"/>
      <c r="Q686" s="12"/>
      <c r="R686" s="12"/>
      <c r="S686" s="13"/>
      <c r="T686" s="16" t="str">
        <f aca="false">IF(OR(S686="",L686=""),"",L686/(1-M686)-S686)</f>
        <v/>
      </c>
      <c r="U686" s="16" t="str">
        <f aca="false">IF(OR(L686="",P686=""),"",L686*(P686-1)-N686)</f>
        <v/>
      </c>
      <c r="V686" s="13"/>
      <c r="W686" s="17"/>
      <c r="X686" s="12"/>
      <c r="Y686" s="12"/>
      <c r="Z686" s="12"/>
      <c r="AA686" s="18" t="str">
        <f aca="false">IF(K686&lt;&gt;"ВИРТУАЛЬНЫЙ ВЫБОР","",IF(Z686="✅ ЗАШЛО",W686*(P686-1),IF(Z686="❌ НЕ ЗАШЛО",-W686,IF(Z686="½ ЗАШЛО",W686*(P686-1)/2,IF(Z686="½ НЕ ЗАШЛО",-W686/2,IF(Z686="ВОЗВРАТ",0,""))))))</f>
        <v/>
      </c>
      <c r="AB686" s="18" t="str">
        <f aca="false">IF(AND(K686="ВИРТУАЛЬНЫЙ ВЫБОР",OR(Z686="✅ ЗАШЛО",Z686="❌ НЕ ЗАШЛО",Z686="½ ЗАШЛО",Z686="½ НЕ ЗАШЛО",Z686="ВОЗВРАТ")),W686,"")</f>
        <v/>
      </c>
      <c r="AC686" s="15"/>
      <c r="AD686" s="16" t="str">
        <f aca="false">IF(OR(AC686="",P686=""),"",P686/AC686-1)</f>
        <v/>
      </c>
      <c r="AE686" s="19" t="str">
        <f aca="false">IF(AND(M686=0,OR(Z686="✅ ЗАШЛО",Z686="❌ НЕ ЗАШЛО"),L686&lt;&gt;""),(L686-IF(Z686="✅ ЗАШЛО",1,0))^2,"")</f>
        <v/>
      </c>
      <c r="AF686" s="15"/>
      <c r="AG686" s="15"/>
      <c r="AH686" s="13"/>
      <c r="AI686" s="13"/>
      <c r="AJ686" s="13"/>
      <c r="AK686" s="20" t="str">
        <f aca="false">IF(AH686="","",IF(ABS(AH686+AI686+AJ686-1)&lt;0.000001,"OK","ОШИБКА"))</f>
        <v/>
      </c>
      <c r="AL686" s="13"/>
      <c r="AM686" s="12"/>
      <c r="AN686" s="12"/>
      <c r="AO686" s="12"/>
      <c r="AP686" s="12"/>
      <c r="AQ686" s="18" t="str">
        <f aca="false">IF(A686="","",N(AQ685)+N(AA686))</f>
        <v/>
      </c>
      <c r="AR686" s="18" t="str">
        <f aca="false">IF(AQ686="","",MAX(0,MAX($AQ$8:AQ686))-AQ686)</f>
        <v/>
      </c>
    </row>
    <row r="687" customFormat="false" ht="15" hidden="false" customHeight="fals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3"/>
      <c r="M687" s="13"/>
      <c r="N687" s="13"/>
      <c r="O687" s="14" t="str">
        <f aca="false">IF(OR(L687="",L687=0),"",(1-M687)/L687)</f>
        <v/>
      </c>
      <c r="P687" s="15"/>
      <c r="Q687" s="12"/>
      <c r="R687" s="12"/>
      <c r="S687" s="13"/>
      <c r="T687" s="16" t="str">
        <f aca="false">IF(OR(S687="",L687=""),"",L687/(1-M687)-S687)</f>
        <v/>
      </c>
      <c r="U687" s="16" t="str">
        <f aca="false">IF(OR(L687="",P687=""),"",L687*(P687-1)-N687)</f>
        <v/>
      </c>
      <c r="V687" s="13"/>
      <c r="W687" s="17"/>
      <c r="X687" s="12"/>
      <c r="Y687" s="12"/>
      <c r="Z687" s="12"/>
      <c r="AA687" s="18" t="str">
        <f aca="false">IF(K687&lt;&gt;"ВИРТУАЛЬНЫЙ ВЫБОР","",IF(Z687="✅ ЗАШЛО",W687*(P687-1),IF(Z687="❌ НЕ ЗАШЛО",-W687,IF(Z687="½ ЗАШЛО",W687*(P687-1)/2,IF(Z687="½ НЕ ЗАШЛО",-W687/2,IF(Z687="ВОЗВРАТ",0,""))))))</f>
        <v/>
      </c>
      <c r="AB687" s="18" t="str">
        <f aca="false">IF(AND(K687="ВИРТУАЛЬНЫЙ ВЫБОР",OR(Z687="✅ ЗАШЛО",Z687="❌ НЕ ЗАШЛО",Z687="½ ЗАШЛО",Z687="½ НЕ ЗАШЛО",Z687="ВОЗВРАТ")),W687,"")</f>
        <v/>
      </c>
      <c r="AC687" s="15"/>
      <c r="AD687" s="16" t="str">
        <f aca="false">IF(OR(AC687="",P687=""),"",P687/AC687-1)</f>
        <v/>
      </c>
      <c r="AE687" s="19" t="str">
        <f aca="false">IF(AND(M687=0,OR(Z687="✅ ЗАШЛО",Z687="❌ НЕ ЗАШЛО"),L687&lt;&gt;""),(L687-IF(Z687="✅ ЗАШЛО",1,0))^2,"")</f>
        <v/>
      </c>
      <c r="AF687" s="15"/>
      <c r="AG687" s="15"/>
      <c r="AH687" s="13"/>
      <c r="AI687" s="13"/>
      <c r="AJ687" s="13"/>
      <c r="AK687" s="20" t="str">
        <f aca="false">IF(AH687="","",IF(ABS(AH687+AI687+AJ687-1)&lt;0.000001,"OK","ОШИБКА"))</f>
        <v/>
      </c>
      <c r="AL687" s="13"/>
      <c r="AM687" s="12"/>
      <c r="AN687" s="12"/>
      <c r="AO687" s="12"/>
      <c r="AP687" s="12"/>
      <c r="AQ687" s="18" t="str">
        <f aca="false">IF(A687="","",N(AQ686)+N(AA687))</f>
        <v/>
      </c>
      <c r="AR687" s="18" t="str">
        <f aca="false">IF(AQ687="","",MAX(0,MAX($AQ$8:AQ687))-AQ687)</f>
        <v/>
      </c>
    </row>
    <row r="688" customFormat="false" ht="15" hidden="false" customHeight="fals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3"/>
      <c r="M688" s="13"/>
      <c r="N688" s="13"/>
      <c r="O688" s="14" t="str">
        <f aca="false">IF(OR(L688="",L688=0),"",(1-M688)/L688)</f>
        <v/>
      </c>
      <c r="P688" s="15"/>
      <c r="Q688" s="12"/>
      <c r="R688" s="12"/>
      <c r="S688" s="13"/>
      <c r="T688" s="16" t="str">
        <f aca="false">IF(OR(S688="",L688=""),"",L688/(1-M688)-S688)</f>
        <v/>
      </c>
      <c r="U688" s="16" t="str">
        <f aca="false">IF(OR(L688="",P688=""),"",L688*(P688-1)-N688)</f>
        <v/>
      </c>
      <c r="V688" s="13"/>
      <c r="W688" s="17"/>
      <c r="X688" s="12"/>
      <c r="Y688" s="12"/>
      <c r="Z688" s="12"/>
      <c r="AA688" s="18" t="str">
        <f aca="false">IF(K688&lt;&gt;"ВИРТУАЛЬНЫЙ ВЫБОР","",IF(Z688="✅ ЗАШЛО",W688*(P688-1),IF(Z688="❌ НЕ ЗАШЛО",-W688,IF(Z688="½ ЗАШЛО",W688*(P688-1)/2,IF(Z688="½ НЕ ЗАШЛО",-W688/2,IF(Z688="ВОЗВРАТ",0,""))))))</f>
        <v/>
      </c>
      <c r="AB688" s="18" t="str">
        <f aca="false">IF(AND(K688="ВИРТУАЛЬНЫЙ ВЫБОР",OR(Z688="✅ ЗАШЛО",Z688="❌ НЕ ЗАШЛО",Z688="½ ЗАШЛО",Z688="½ НЕ ЗАШЛО",Z688="ВОЗВРАТ")),W688,"")</f>
        <v/>
      </c>
      <c r="AC688" s="15"/>
      <c r="AD688" s="16" t="str">
        <f aca="false">IF(OR(AC688="",P688=""),"",P688/AC688-1)</f>
        <v/>
      </c>
      <c r="AE688" s="19" t="str">
        <f aca="false">IF(AND(M688=0,OR(Z688="✅ ЗАШЛО",Z688="❌ НЕ ЗАШЛО"),L688&lt;&gt;""),(L688-IF(Z688="✅ ЗАШЛО",1,0))^2,"")</f>
        <v/>
      </c>
      <c r="AF688" s="15"/>
      <c r="AG688" s="15"/>
      <c r="AH688" s="13"/>
      <c r="AI688" s="13"/>
      <c r="AJ688" s="13"/>
      <c r="AK688" s="20" t="str">
        <f aca="false">IF(AH688="","",IF(ABS(AH688+AI688+AJ688-1)&lt;0.000001,"OK","ОШИБКА"))</f>
        <v/>
      </c>
      <c r="AL688" s="13"/>
      <c r="AM688" s="12"/>
      <c r="AN688" s="12"/>
      <c r="AO688" s="12"/>
      <c r="AP688" s="12"/>
      <c r="AQ688" s="18" t="str">
        <f aca="false">IF(A688="","",N(AQ687)+N(AA688))</f>
        <v/>
      </c>
      <c r="AR688" s="18" t="str">
        <f aca="false">IF(AQ688="","",MAX(0,MAX($AQ$8:AQ688))-AQ688)</f>
        <v/>
      </c>
    </row>
    <row r="689" customFormat="false" ht="15" hidden="false" customHeight="fals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3"/>
      <c r="M689" s="13"/>
      <c r="N689" s="13"/>
      <c r="O689" s="14" t="str">
        <f aca="false">IF(OR(L689="",L689=0),"",(1-M689)/L689)</f>
        <v/>
      </c>
      <c r="P689" s="15"/>
      <c r="Q689" s="12"/>
      <c r="R689" s="12"/>
      <c r="S689" s="13"/>
      <c r="T689" s="16" t="str">
        <f aca="false">IF(OR(S689="",L689=""),"",L689/(1-M689)-S689)</f>
        <v/>
      </c>
      <c r="U689" s="16" t="str">
        <f aca="false">IF(OR(L689="",P689=""),"",L689*(P689-1)-N689)</f>
        <v/>
      </c>
      <c r="V689" s="13"/>
      <c r="W689" s="17"/>
      <c r="X689" s="12"/>
      <c r="Y689" s="12"/>
      <c r="Z689" s="12"/>
      <c r="AA689" s="18" t="str">
        <f aca="false">IF(K689&lt;&gt;"ВИРТУАЛЬНЫЙ ВЫБОР","",IF(Z689="✅ ЗАШЛО",W689*(P689-1),IF(Z689="❌ НЕ ЗАШЛО",-W689,IF(Z689="½ ЗАШЛО",W689*(P689-1)/2,IF(Z689="½ НЕ ЗАШЛО",-W689/2,IF(Z689="ВОЗВРАТ",0,""))))))</f>
        <v/>
      </c>
      <c r="AB689" s="18" t="str">
        <f aca="false">IF(AND(K689="ВИРТУАЛЬНЫЙ ВЫБОР",OR(Z689="✅ ЗАШЛО",Z689="❌ НЕ ЗАШЛО",Z689="½ ЗАШЛО",Z689="½ НЕ ЗАШЛО",Z689="ВОЗВРАТ")),W689,"")</f>
        <v/>
      </c>
      <c r="AC689" s="15"/>
      <c r="AD689" s="16" t="str">
        <f aca="false">IF(OR(AC689="",P689=""),"",P689/AC689-1)</f>
        <v/>
      </c>
      <c r="AE689" s="19" t="str">
        <f aca="false">IF(AND(M689=0,OR(Z689="✅ ЗАШЛО",Z689="❌ НЕ ЗАШЛО"),L689&lt;&gt;""),(L689-IF(Z689="✅ ЗАШЛО",1,0))^2,"")</f>
        <v/>
      </c>
      <c r="AF689" s="15"/>
      <c r="AG689" s="15"/>
      <c r="AH689" s="13"/>
      <c r="AI689" s="13"/>
      <c r="AJ689" s="13"/>
      <c r="AK689" s="20" t="str">
        <f aca="false">IF(AH689="","",IF(ABS(AH689+AI689+AJ689-1)&lt;0.000001,"OK","ОШИБКА"))</f>
        <v/>
      </c>
      <c r="AL689" s="13"/>
      <c r="AM689" s="12"/>
      <c r="AN689" s="12"/>
      <c r="AO689" s="12"/>
      <c r="AP689" s="12"/>
      <c r="AQ689" s="18" t="str">
        <f aca="false">IF(A689="","",N(AQ688)+N(AA689))</f>
        <v/>
      </c>
      <c r="AR689" s="18" t="str">
        <f aca="false">IF(AQ689="","",MAX(0,MAX($AQ$8:AQ689))-AQ689)</f>
        <v/>
      </c>
    </row>
    <row r="690" customFormat="false" ht="15" hidden="false" customHeight="fals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3"/>
      <c r="M690" s="13"/>
      <c r="N690" s="13"/>
      <c r="O690" s="14" t="str">
        <f aca="false">IF(OR(L690="",L690=0),"",(1-M690)/L690)</f>
        <v/>
      </c>
      <c r="P690" s="15"/>
      <c r="Q690" s="12"/>
      <c r="R690" s="12"/>
      <c r="S690" s="13"/>
      <c r="T690" s="16" t="str">
        <f aca="false">IF(OR(S690="",L690=""),"",L690/(1-M690)-S690)</f>
        <v/>
      </c>
      <c r="U690" s="16" t="str">
        <f aca="false">IF(OR(L690="",P690=""),"",L690*(P690-1)-N690)</f>
        <v/>
      </c>
      <c r="V690" s="13"/>
      <c r="W690" s="17"/>
      <c r="X690" s="12"/>
      <c r="Y690" s="12"/>
      <c r="Z690" s="12"/>
      <c r="AA690" s="18" t="str">
        <f aca="false">IF(K690&lt;&gt;"ВИРТУАЛЬНЫЙ ВЫБОР","",IF(Z690="✅ ЗАШЛО",W690*(P690-1),IF(Z690="❌ НЕ ЗАШЛО",-W690,IF(Z690="½ ЗАШЛО",W690*(P690-1)/2,IF(Z690="½ НЕ ЗАШЛО",-W690/2,IF(Z690="ВОЗВРАТ",0,""))))))</f>
        <v/>
      </c>
      <c r="AB690" s="18" t="str">
        <f aca="false">IF(AND(K690="ВИРТУАЛЬНЫЙ ВЫБОР",OR(Z690="✅ ЗАШЛО",Z690="❌ НЕ ЗАШЛО",Z690="½ ЗАШЛО",Z690="½ НЕ ЗАШЛО",Z690="ВОЗВРАТ")),W690,"")</f>
        <v/>
      </c>
      <c r="AC690" s="15"/>
      <c r="AD690" s="16" t="str">
        <f aca="false">IF(OR(AC690="",P690=""),"",P690/AC690-1)</f>
        <v/>
      </c>
      <c r="AE690" s="19" t="str">
        <f aca="false">IF(AND(M690=0,OR(Z690="✅ ЗАШЛО",Z690="❌ НЕ ЗАШЛО"),L690&lt;&gt;""),(L690-IF(Z690="✅ ЗАШЛО",1,0))^2,"")</f>
        <v/>
      </c>
      <c r="AF690" s="15"/>
      <c r="AG690" s="15"/>
      <c r="AH690" s="13"/>
      <c r="AI690" s="13"/>
      <c r="AJ690" s="13"/>
      <c r="AK690" s="20" t="str">
        <f aca="false">IF(AH690="","",IF(ABS(AH690+AI690+AJ690-1)&lt;0.000001,"OK","ОШИБКА"))</f>
        <v/>
      </c>
      <c r="AL690" s="13"/>
      <c r="AM690" s="12"/>
      <c r="AN690" s="12"/>
      <c r="AO690" s="12"/>
      <c r="AP690" s="12"/>
      <c r="AQ690" s="18" t="str">
        <f aca="false">IF(A690="","",N(AQ689)+N(AA690))</f>
        <v/>
      </c>
      <c r="AR690" s="18" t="str">
        <f aca="false">IF(AQ690="","",MAX(0,MAX($AQ$8:AQ690))-AQ690)</f>
        <v/>
      </c>
    </row>
    <row r="691" customFormat="false" ht="15" hidden="false" customHeight="fals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3"/>
      <c r="M691" s="13"/>
      <c r="N691" s="13"/>
      <c r="O691" s="14" t="str">
        <f aca="false">IF(OR(L691="",L691=0),"",(1-M691)/L691)</f>
        <v/>
      </c>
      <c r="P691" s="15"/>
      <c r="Q691" s="12"/>
      <c r="R691" s="12"/>
      <c r="S691" s="13"/>
      <c r="T691" s="16" t="str">
        <f aca="false">IF(OR(S691="",L691=""),"",L691/(1-M691)-S691)</f>
        <v/>
      </c>
      <c r="U691" s="16" t="str">
        <f aca="false">IF(OR(L691="",P691=""),"",L691*(P691-1)-N691)</f>
        <v/>
      </c>
      <c r="V691" s="13"/>
      <c r="W691" s="17"/>
      <c r="X691" s="12"/>
      <c r="Y691" s="12"/>
      <c r="Z691" s="12"/>
      <c r="AA691" s="18" t="str">
        <f aca="false">IF(K691&lt;&gt;"ВИРТУАЛЬНЫЙ ВЫБОР","",IF(Z691="✅ ЗАШЛО",W691*(P691-1),IF(Z691="❌ НЕ ЗАШЛО",-W691,IF(Z691="½ ЗАШЛО",W691*(P691-1)/2,IF(Z691="½ НЕ ЗАШЛО",-W691/2,IF(Z691="ВОЗВРАТ",0,""))))))</f>
        <v/>
      </c>
      <c r="AB691" s="18" t="str">
        <f aca="false">IF(AND(K691="ВИРТУАЛЬНЫЙ ВЫБОР",OR(Z691="✅ ЗАШЛО",Z691="❌ НЕ ЗАШЛО",Z691="½ ЗАШЛО",Z691="½ НЕ ЗАШЛО",Z691="ВОЗВРАТ")),W691,"")</f>
        <v/>
      </c>
      <c r="AC691" s="15"/>
      <c r="AD691" s="16" t="str">
        <f aca="false">IF(OR(AC691="",P691=""),"",P691/AC691-1)</f>
        <v/>
      </c>
      <c r="AE691" s="19" t="str">
        <f aca="false">IF(AND(M691=0,OR(Z691="✅ ЗАШЛО",Z691="❌ НЕ ЗАШЛО"),L691&lt;&gt;""),(L691-IF(Z691="✅ ЗАШЛО",1,0))^2,"")</f>
        <v/>
      </c>
      <c r="AF691" s="15"/>
      <c r="AG691" s="15"/>
      <c r="AH691" s="13"/>
      <c r="AI691" s="13"/>
      <c r="AJ691" s="13"/>
      <c r="AK691" s="20" t="str">
        <f aca="false">IF(AH691="","",IF(ABS(AH691+AI691+AJ691-1)&lt;0.000001,"OK","ОШИБКА"))</f>
        <v/>
      </c>
      <c r="AL691" s="13"/>
      <c r="AM691" s="12"/>
      <c r="AN691" s="12"/>
      <c r="AO691" s="12"/>
      <c r="AP691" s="12"/>
      <c r="AQ691" s="18" t="str">
        <f aca="false">IF(A691="","",N(AQ690)+N(AA691))</f>
        <v/>
      </c>
      <c r="AR691" s="18" t="str">
        <f aca="false">IF(AQ691="","",MAX(0,MAX($AQ$8:AQ691))-AQ691)</f>
        <v/>
      </c>
    </row>
    <row r="692" customFormat="false" ht="15" hidden="false" customHeight="fals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3"/>
      <c r="M692" s="13"/>
      <c r="N692" s="13"/>
      <c r="O692" s="14" t="str">
        <f aca="false">IF(OR(L692="",L692=0),"",(1-M692)/L692)</f>
        <v/>
      </c>
      <c r="P692" s="15"/>
      <c r="Q692" s="12"/>
      <c r="R692" s="12"/>
      <c r="S692" s="13"/>
      <c r="T692" s="16" t="str">
        <f aca="false">IF(OR(S692="",L692=""),"",L692/(1-M692)-S692)</f>
        <v/>
      </c>
      <c r="U692" s="16" t="str">
        <f aca="false">IF(OR(L692="",P692=""),"",L692*(P692-1)-N692)</f>
        <v/>
      </c>
      <c r="V692" s="13"/>
      <c r="W692" s="17"/>
      <c r="X692" s="12"/>
      <c r="Y692" s="12"/>
      <c r="Z692" s="12"/>
      <c r="AA692" s="18" t="str">
        <f aca="false">IF(K692&lt;&gt;"ВИРТУАЛЬНЫЙ ВЫБОР","",IF(Z692="✅ ЗАШЛО",W692*(P692-1),IF(Z692="❌ НЕ ЗАШЛО",-W692,IF(Z692="½ ЗАШЛО",W692*(P692-1)/2,IF(Z692="½ НЕ ЗАШЛО",-W692/2,IF(Z692="ВОЗВРАТ",0,""))))))</f>
        <v/>
      </c>
      <c r="AB692" s="18" t="str">
        <f aca="false">IF(AND(K692="ВИРТУАЛЬНЫЙ ВЫБОР",OR(Z692="✅ ЗАШЛО",Z692="❌ НЕ ЗАШЛО",Z692="½ ЗАШЛО",Z692="½ НЕ ЗАШЛО",Z692="ВОЗВРАТ")),W692,"")</f>
        <v/>
      </c>
      <c r="AC692" s="15"/>
      <c r="AD692" s="16" t="str">
        <f aca="false">IF(OR(AC692="",P692=""),"",P692/AC692-1)</f>
        <v/>
      </c>
      <c r="AE692" s="19" t="str">
        <f aca="false">IF(AND(M692=0,OR(Z692="✅ ЗАШЛО",Z692="❌ НЕ ЗАШЛО"),L692&lt;&gt;""),(L692-IF(Z692="✅ ЗАШЛО",1,0))^2,"")</f>
        <v/>
      </c>
      <c r="AF692" s="15"/>
      <c r="AG692" s="15"/>
      <c r="AH692" s="13"/>
      <c r="AI692" s="13"/>
      <c r="AJ692" s="13"/>
      <c r="AK692" s="20" t="str">
        <f aca="false">IF(AH692="","",IF(ABS(AH692+AI692+AJ692-1)&lt;0.000001,"OK","ОШИБКА"))</f>
        <v/>
      </c>
      <c r="AL692" s="13"/>
      <c r="AM692" s="12"/>
      <c r="AN692" s="12"/>
      <c r="AO692" s="12"/>
      <c r="AP692" s="12"/>
      <c r="AQ692" s="18" t="str">
        <f aca="false">IF(A692="","",N(AQ691)+N(AA692))</f>
        <v/>
      </c>
      <c r="AR692" s="18" t="str">
        <f aca="false">IF(AQ692="","",MAX(0,MAX($AQ$8:AQ692))-AQ692)</f>
        <v/>
      </c>
    </row>
    <row r="693" customFormat="false" ht="15" hidden="false" customHeight="fals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3"/>
      <c r="M693" s="13"/>
      <c r="N693" s="13"/>
      <c r="O693" s="14" t="str">
        <f aca="false">IF(OR(L693="",L693=0),"",(1-M693)/L693)</f>
        <v/>
      </c>
      <c r="P693" s="15"/>
      <c r="Q693" s="12"/>
      <c r="R693" s="12"/>
      <c r="S693" s="13"/>
      <c r="T693" s="16" t="str">
        <f aca="false">IF(OR(S693="",L693=""),"",L693/(1-M693)-S693)</f>
        <v/>
      </c>
      <c r="U693" s="16" t="str">
        <f aca="false">IF(OR(L693="",P693=""),"",L693*(P693-1)-N693)</f>
        <v/>
      </c>
      <c r="V693" s="13"/>
      <c r="W693" s="17"/>
      <c r="X693" s="12"/>
      <c r="Y693" s="12"/>
      <c r="Z693" s="12"/>
      <c r="AA693" s="18" t="str">
        <f aca="false">IF(K693&lt;&gt;"ВИРТУАЛЬНЫЙ ВЫБОР","",IF(Z693="✅ ЗАШЛО",W693*(P693-1),IF(Z693="❌ НЕ ЗАШЛО",-W693,IF(Z693="½ ЗАШЛО",W693*(P693-1)/2,IF(Z693="½ НЕ ЗАШЛО",-W693/2,IF(Z693="ВОЗВРАТ",0,""))))))</f>
        <v/>
      </c>
      <c r="AB693" s="18" t="str">
        <f aca="false">IF(AND(K693="ВИРТУАЛЬНЫЙ ВЫБОР",OR(Z693="✅ ЗАШЛО",Z693="❌ НЕ ЗАШЛО",Z693="½ ЗАШЛО",Z693="½ НЕ ЗАШЛО",Z693="ВОЗВРАТ")),W693,"")</f>
        <v/>
      </c>
      <c r="AC693" s="15"/>
      <c r="AD693" s="16" t="str">
        <f aca="false">IF(OR(AC693="",P693=""),"",P693/AC693-1)</f>
        <v/>
      </c>
      <c r="AE693" s="19" t="str">
        <f aca="false">IF(AND(M693=0,OR(Z693="✅ ЗАШЛО",Z693="❌ НЕ ЗАШЛО"),L693&lt;&gt;""),(L693-IF(Z693="✅ ЗАШЛО",1,0))^2,"")</f>
        <v/>
      </c>
      <c r="AF693" s="15"/>
      <c r="AG693" s="15"/>
      <c r="AH693" s="13"/>
      <c r="AI693" s="13"/>
      <c r="AJ693" s="13"/>
      <c r="AK693" s="20" t="str">
        <f aca="false">IF(AH693="","",IF(ABS(AH693+AI693+AJ693-1)&lt;0.000001,"OK","ОШИБКА"))</f>
        <v/>
      </c>
      <c r="AL693" s="13"/>
      <c r="AM693" s="12"/>
      <c r="AN693" s="12"/>
      <c r="AO693" s="12"/>
      <c r="AP693" s="12"/>
      <c r="AQ693" s="18" t="str">
        <f aca="false">IF(A693="","",N(AQ692)+N(AA693))</f>
        <v/>
      </c>
      <c r="AR693" s="18" t="str">
        <f aca="false">IF(AQ693="","",MAX(0,MAX($AQ$8:AQ693))-AQ693)</f>
        <v/>
      </c>
    </row>
    <row r="694" customFormat="false" ht="15" hidden="false" customHeight="fals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3"/>
      <c r="M694" s="13"/>
      <c r="N694" s="13"/>
      <c r="O694" s="14" t="str">
        <f aca="false">IF(OR(L694="",L694=0),"",(1-M694)/L694)</f>
        <v/>
      </c>
      <c r="P694" s="15"/>
      <c r="Q694" s="12"/>
      <c r="R694" s="12"/>
      <c r="S694" s="13"/>
      <c r="T694" s="16" t="str">
        <f aca="false">IF(OR(S694="",L694=""),"",L694/(1-M694)-S694)</f>
        <v/>
      </c>
      <c r="U694" s="16" t="str">
        <f aca="false">IF(OR(L694="",P694=""),"",L694*(P694-1)-N694)</f>
        <v/>
      </c>
      <c r="V694" s="13"/>
      <c r="W694" s="17"/>
      <c r="X694" s="12"/>
      <c r="Y694" s="12"/>
      <c r="Z694" s="12"/>
      <c r="AA694" s="18" t="str">
        <f aca="false">IF(K694&lt;&gt;"ВИРТУАЛЬНЫЙ ВЫБОР","",IF(Z694="✅ ЗАШЛО",W694*(P694-1),IF(Z694="❌ НЕ ЗАШЛО",-W694,IF(Z694="½ ЗАШЛО",W694*(P694-1)/2,IF(Z694="½ НЕ ЗАШЛО",-W694/2,IF(Z694="ВОЗВРАТ",0,""))))))</f>
        <v/>
      </c>
      <c r="AB694" s="18" t="str">
        <f aca="false">IF(AND(K694="ВИРТУАЛЬНЫЙ ВЫБОР",OR(Z694="✅ ЗАШЛО",Z694="❌ НЕ ЗАШЛО",Z694="½ ЗАШЛО",Z694="½ НЕ ЗАШЛО",Z694="ВОЗВРАТ")),W694,"")</f>
        <v/>
      </c>
      <c r="AC694" s="15"/>
      <c r="AD694" s="16" t="str">
        <f aca="false">IF(OR(AC694="",P694=""),"",P694/AC694-1)</f>
        <v/>
      </c>
      <c r="AE694" s="19" t="str">
        <f aca="false">IF(AND(M694=0,OR(Z694="✅ ЗАШЛО",Z694="❌ НЕ ЗАШЛО"),L694&lt;&gt;""),(L694-IF(Z694="✅ ЗАШЛО",1,0))^2,"")</f>
        <v/>
      </c>
      <c r="AF694" s="15"/>
      <c r="AG694" s="15"/>
      <c r="AH694" s="13"/>
      <c r="AI694" s="13"/>
      <c r="AJ694" s="13"/>
      <c r="AK694" s="20" t="str">
        <f aca="false">IF(AH694="","",IF(ABS(AH694+AI694+AJ694-1)&lt;0.000001,"OK","ОШИБКА"))</f>
        <v/>
      </c>
      <c r="AL694" s="13"/>
      <c r="AM694" s="12"/>
      <c r="AN694" s="12"/>
      <c r="AO694" s="12"/>
      <c r="AP694" s="12"/>
      <c r="AQ694" s="18" t="str">
        <f aca="false">IF(A694="","",N(AQ693)+N(AA694))</f>
        <v/>
      </c>
      <c r="AR694" s="18" t="str">
        <f aca="false">IF(AQ694="","",MAX(0,MAX($AQ$8:AQ694))-AQ694)</f>
        <v/>
      </c>
    </row>
    <row r="695" customFormat="false" ht="15" hidden="false" customHeight="fals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3"/>
      <c r="M695" s="13"/>
      <c r="N695" s="13"/>
      <c r="O695" s="14" t="str">
        <f aca="false">IF(OR(L695="",L695=0),"",(1-M695)/L695)</f>
        <v/>
      </c>
      <c r="P695" s="15"/>
      <c r="Q695" s="12"/>
      <c r="R695" s="12"/>
      <c r="S695" s="13"/>
      <c r="T695" s="16" t="str">
        <f aca="false">IF(OR(S695="",L695=""),"",L695/(1-M695)-S695)</f>
        <v/>
      </c>
      <c r="U695" s="16" t="str">
        <f aca="false">IF(OR(L695="",P695=""),"",L695*(P695-1)-N695)</f>
        <v/>
      </c>
      <c r="V695" s="13"/>
      <c r="W695" s="17"/>
      <c r="X695" s="12"/>
      <c r="Y695" s="12"/>
      <c r="Z695" s="12"/>
      <c r="AA695" s="18" t="str">
        <f aca="false">IF(K695&lt;&gt;"ВИРТУАЛЬНЫЙ ВЫБОР","",IF(Z695="✅ ЗАШЛО",W695*(P695-1),IF(Z695="❌ НЕ ЗАШЛО",-W695,IF(Z695="½ ЗАШЛО",W695*(P695-1)/2,IF(Z695="½ НЕ ЗАШЛО",-W695/2,IF(Z695="ВОЗВРАТ",0,""))))))</f>
        <v/>
      </c>
      <c r="AB695" s="18" t="str">
        <f aca="false">IF(AND(K695="ВИРТУАЛЬНЫЙ ВЫБОР",OR(Z695="✅ ЗАШЛО",Z695="❌ НЕ ЗАШЛО",Z695="½ ЗАШЛО",Z695="½ НЕ ЗАШЛО",Z695="ВОЗВРАТ")),W695,"")</f>
        <v/>
      </c>
      <c r="AC695" s="15"/>
      <c r="AD695" s="16" t="str">
        <f aca="false">IF(OR(AC695="",P695=""),"",P695/AC695-1)</f>
        <v/>
      </c>
      <c r="AE695" s="19" t="str">
        <f aca="false">IF(AND(M695=0,OR(Z695="✅ ЗАШЛО",Z695="❌ НЕ ЗАШЛО"),L695&lt;&gt;""),(L695-IF(Z695="✅ ЗАШЛО",1,0))^2,"")</f>
        <v/>
      </c>
      <c r="AF695" s="15"/>
      <c r="AG695" s="15"/>
      <c r="AH695" s="13"/>
      <c r="AI695" s="13"/>
      <c r="AJ695" s="13"/>
      <c r="AK695" s="20" t="str">
        <f aca="false">IF(AH695="","",IF(ABS(AH695+AI695+AJ695-1)&lt;0.000001,"OK","ОШИБКА"))</f>
        <v/>
      </c>
      <c r="AL695" s="13"/>
      <c r="AM695" s="12"/>
      <c r="AN695" s="12"/>
      <c r="AO695" s="12"/>
      <c r="AP695" s="12"/>
      <c r="AQ695" s="18" t="str">
        <f aca="false">IF(A695="","",N(AQ694)+N(AA695))</f>
        <v/>
      </c>
      <c r="AR695" s="18" t="str">
        <f aca="false">IF(AQ695="","",MAX(0,MAX($AQ$8:AQ695))-AQ695)</f>
        <v/>
      </c>
    </row>
    <row r="696" customFormat="false" ht="15" hidden="false" customHeight="fals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3"/>
      <c r="M696" s="13"/>
      <c r="N696" s="13"/>
      <c r="O696" s="14" t="str">
        <f aca="false">IF(OR(L696="",L696=0),"",(1-M696)/L696)</f>
        <v/>
      </c>
      <c r="P696" s="15"/>
      <c r="Q696" s="12"/>
      <c r="R696" s="12"/>
      <c r="S696" s="13"/>
      <c r="T696" s="16" t="str">
        <f aca="false">IF(OR(S696="",L696=""),"",L696/(1-M696)-S696)</f>
        <v/>
      </c>
      <c r="U696" s="16" t="str">
        <f aca="false">IF(OR(L696="",P696=""),"",L696*(P696-1)-N696)</f>
        <v/>
      </c>
      <c r="V696" s="13"/>
      <c r="W696" s="17"/>
      <c r="X696" s="12"/>
      <c r="Y696" s="12"/>
      <c r="Z696" s="12"/>
      <c r="AA696" s="18" t="str">
        <f aca="false">IF(K696&lt;&gt;"ВИРТУАЛЬНЫЙ ВЫБОР","",IF(Z696="✅ ЗАШЛО",W696*(P696-1),IF(Z696="❌ НЕ ЗАШЛО",-W696,IF(Z696="½ ЗАШЛО",W696*(P696-1)/2,IF(Z696="½ НЕ ЗАШЛО",-W696/2,IF(Z696="ВОЗВРАТ",0,""))))))</f>
        <v/>
      </c>
      <c r="AB696" s="18" t="str">
        <f aca="false">IF(AND(K696="ВИРТУАЛЬНЫЙ ВЫБОР",OR(Z696="✅ ЗАШЛО",Z696="❌ НЕ ЗАШЛО",Z696="½ ЗАШЛО",Z696="½ НЕ ЗАШЛО",Z696="ВОЗВРАТ")),W696,"")</f>
        <v/>
      </c>
      <c r="AC696" s="15"/>
      <c r="AD696" s="16" t="str">
        <f aca="false">IF(OR(AC696="",P696=""),"",P696/AC696-1)</f>
        <v/>
      </c>
      <c r="AE696" s="19" t="str">
        <f aca="false">IF(AND(M696=0,OR(Z696="✅ ЗАШЛО",Z696="❌ НЕ ЗАШЛО"),L696&lt;&gt;""),(L696-IF(Z696="✅ ЗАШЛО",1,0))^2,"")</f>
        <v/>
      </c>
      <c r="AF696" s="15"/>
      <c r="AG696" s="15"/>
      <c r="AH696" s="13"/>
      <c r="AI696" s="13"/>
      <c r="AJ696" s="13"/>
      <c r="AK696" s="20" t="str">
        <f aca="false">IF(AH696="","",IF(ABS(AH696+AI696+AJ696-1)&lt;0.000001,"OK","ОШИБКА"))</f>
        <v/>
      </c>
      <c r="AL696" s="13"/>
      <c r="AM696" s="12"/>
      <c r="AN696" s="12"/>
      <c r="AO696" s="12"/>
      <c r="AP696" s="12"/>
      <c r="AQ696" s="18" t="str">
        <f aca="false">IF(A696="","",N(AQ695)+N(AA696))</f>
        <v/>
      </c>
      <c r="AR696" s="18" t="str">
        <f aca="false">IF(AQ696="","",MAX(0,MAX($AQ$8:AQ696))-AQ696)</f>
        <v/>
      </c>
    </row>
    <row r="697" customFormat="false" ht="15" hidden="false" customHeight="fals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3"/>
      <c r="M697" s="13"/>
      <c r="N697" s="13"/>
      <c r="O697" s="14" t="str">
        <f aca="false">IF(OR(L697="",L697=0),"",(1-M697)/L697)</f>
        <v/>
      </c>
      <c r="P697" s="15"/>
      <c r="Q697" s="12"/>
      <c r="R697" s="12"/>
      <c r="S697" s="13"/>
      <c r="T697" s="16" t="str">
        <f aca="false">IF(OR(S697="",L697=""),"",L697/(1-M697)-S697)</f>
        <v/>
      </c>
      <c r="U697" s="16" t="str">
        <f aca="false">IF(OR(L697="",P697=""),"",L697*(P697-1)-N697)</f>
        <v/>
      </c>
      <c r="V697" s="13"/>
      <c r="W697" s="17"/>
      <c r="X697" s="12"/>
      <c r="Y697" s="12"/>
      <c r="Z697" s="12"/>
      <c r="AA697" s="18" t="str">
        <f aca="false">IF(K697&lt;&gt;"ВИРТУАЛЬНЫЙ ВЫБОР","",IF(Z697="✅ ЗАШЛО",W697*(P697-1),IF(Z697="❌ НЕ ЗАШЛО",-W697,IF(Z697="½ ЗАШЛО",W697*(P697-1)/2,IF(Z697="½ НЕ ЗАШЛО",-W697/2,IF(Z697="ВОЗВРАТ",0,""))))))</f>
        <v/>
      </c>
      <c r="AB697" s="18" t="str">
        <f aca="false">IF(AND(K697="ВИРТУАЛЬНЫЙ ВЫБОР",OR(Z697="✅ ЗАШЛО",Z697="❌ НЕ ЗАШЛО",Z697="½ ЗАШЛО",Z697="½ НЕ ЗАШЛО",Z697="ВОЗВРАТ")),W697,"")</f>
        <v/>
      </c>
      <c r="AC697" s="15"/>
      <c r="AD697" s="16" t="str">
        <f aca="false">IF(OR(AC697="",P697=""),"",P697/AC697-1)</f>
        <v/>
      </c>
      <c r="AE697" s="19" t="str">
        <f aca="false">IF(AND(M697=0,OR(Z697="✅ ЗАШЛО",Z697="❌ НЕ ЗАШЛО"),L697&lt;&gt;""),(L697-IF(Z697="✅ ЗАШЛО",1,0))^2,"")</f>
        <v/>
      </c>
      <c r="AF697" s="15"/>
      <c r="AG697" s="15"/>
      <c r="AH697" s="13"/>
      <c r="AI697" s="13"/>
      <c r="AJ697" s="13"/>
      <c r="AK697" s="20" t="str">
        <f aca="false">IF(AH697="","",IF(ABS(AH697+AI697+AJ697-1)&lt;0.000001,"OK","ОШИБКА"))</f>
        <v/>
      </c>
      <c r="AL697" s="13"/>
      <c r="AM697" s="12"/>
      <c r="AN697" s="12"/>
      <c r="AO697" s="12"/>
      <c r="AP697" s="12"/>
      <c r="AQ697" s="18" t="str">
        <f aca="false">IF(A697="","",N(AQ696)+N(AA697))</f>
        <v/>
      </c>
      <c r="AR697" s="18" t="str">
        <f aca="false">IF(AQ697="","",MAX(0,MAX($AQ$8:AQ697))-AQ697)</f>
        <v/>
      </c>
    </row>
    <row r="698" customFormat="false" ht="15" hidden="false" customHeight="fals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3"/>
      <c r="M698" s="13"/>
      <c r="N698" s="13"/>
      <c r="O698" s="14" t="str">
        <f aca="false">IF(OR(L698="",L698=0),"",(1-M698)/L698)</f>
        <v/>
      </c>
      <c r="P698" s="15"/>
      <c r="Q698" s="12"/>
      <c r="R698" s="12"/>
      <c r="S698" s="13"/>
      <c r="T698" s="16" t="str">
        <f aca="false">IF(OR(S698="",L698=""),"",L698/(1-M698)-S698)</f>
        <v/>
      </c>
      <c r="U698" s="16" t="str">
        <f aca="false">IF(OR(L698="",P698=""),"",L698*(P698-1)-N698)</f>
        <v/>
      </c>
      <c r="V698" s="13"/>
      <c r="W698" s="17"/>
      <c r="X698" s="12"/>
      <c r="Y698" s="12"/>
      <c r="Z698" s="12"/>
      <c r="AA698" s="18" t="str">
        <f aca="false">IF(K698&lt;&gt;"ВИРТУАЛЬНЫЙ ВЫБОР","",IF(Z698="✅ ЗАШЛО",W698*(P698-1),IF(Z698="❌ НЕ ЗАШЛО",-W698,IF(Z698="½ ЗАШЛО",W698*(P698-1)/2,IF(Z698="½ НЕ ЗАШЛО",-W698/2,IF(Z698="ВОЗВРАТ",0,""))))))</f>
        <v/>
      </c>
      <c r="AB698" s="18" t="str">
        <f aca="false">IF(AND(K698="ВИРТУАЛЬНЫЙ ВЫБОР",OR(Z698="✅ ЗАШЛО",Z698="❌ НЕ ЗАШЛО",Z698="½ ЗАШЛО",Z698="½ НЕ ЗАШЛО",Z698="ВОЗВРАТ")),W698,"")</f>
        <v/>
      </c>
      <c r="AC698" s="15"/>
      <c r="AD698" s="16" t="str">
        <f aca="false">IF(OR(AC698="",P698=""),"",P698/AC698-1)</f>
        <v/>
      </c>
      <c r="AE698" s="19" t="str">
        <f aca="false">IF(AND(M698=0,OR(Z698="✅ ЗАШЛО",Z698="❌ НЕ ЗАШЛО"),L698&lt;&gt;""),(L698-IF(Z698="✅ ЗАШЛО",1,0))^2,"")</f>
        <v/>
      </c>
      <c r="AF698" s="15"/>
      <c r="AG698" s="15"/>
      <c r="AH698" s="13"/>
      <c r="AI698" s="13"/>
      <c r="AJ698" s="13"/>
      <c r="AK698" s="20" t="str">
        <f aca="false">IF(AH698="","",IF(ABS(AH698+AI698+AJ698-1)&lt;0.000001,"OK","ОШИБКА"))</f>
        <v/>
      </c>
      <c r="AL698" s="13"/>
      <c r="AM698" s="12"/>
      <c r="AN698" s="12"/>
      <c r="AO698" s="12"/>
      <c r="AP698" s="12"/>
      <c r="AQ698" s="18" t="str">
        <f aca="false">IF(A698="","",N(AQ697)+N(AA698))</f>
        <v/>
      </c>
      <c r="AR698" s="18" t="str">
        <f aca="false">IF(AQ698="","",MAX(0,MAX($AQ$8:AQ698))-AQ698)</f>
        <v/>
      </c>
    </row>
    <row r="699" customFormat="false" ht="15" hidden="false" customHeight="fals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3"/>
      <c r="M699" s="13"/>
      <c r="N699" s="13"/>
      <c r="O699" s="14" t="str">
        <f aca="false">IF(OR(L699="",L699=0),"",(1-M699)/L699)</f>
        <v/>
      </c>
      <c r="P699" s="15"/>
      <c r="Q699" s="12"/>
      <c r="R699" s="12"/>
      <c r="S699" s="13"/>
      <c r="T699" s="16" t="str">
        <f aca="false">IF(OR(S699="",L699=""),"",L699/(1-M699)-S699)</f>
        <v/>
      </c>
      <c r="U699" s="16" t="str">
        <f aca="false">IF(OR(L699="",P699=""),"",L699*(P699-1)-N699)</f>
        <v/>
      </c>
      <c r="V699" s="13"/>
      <c r="W699" s="17"/>
      <c r="X699" s="12"/>
      <c r="Y699" s="12"/>
      <c r="Z699" s="12"/>
      <c r="AA699" s="18" t="str">
        <f aca="false">IF(K699&lt;&gt;"ВИРТУАЛЬНЫЙ ВЫБОР","",IF(Z699="✅ ЗАШЛО",W699*(P699-1),IF(Z699="❌ НЕ ЗАШЛО",-W699,IF(Z699="½ ЗАШЛО",W699*(P699-1)/2,IF(Z699="½ НЕ ЗАШЛО",-W699/2,IF(Z699="ВОЗВРАТ",0,""))))))</f>
        <v/>
      </c>
      <c r="AB699" s="18" t="str">
        <f aca="false">IF(AND(K699="ВИРТУАЛЬНЫЙ ВЫБОР",OR(Z699="✅ ЗАШЛО",Z699="❌ НЕ ЗАШЛО",Z699="½ ЗАШЛО",Z699="½ НЕ ЗАШЛО",Z699="ВОЗВРАТ")),W699,"")</f>
        <v/>
      </c>
      <c r="AC699" s="15"/>
      <c r="AD699" s="16" t="str">
        <f aca="false">IF(OR(AC699="",P699=""),"",P699/AC699-1)</f>
        <v/>
      </c>
      <c r="AE699" s="19" t="str">
        <f aca="false">IF(AND(M699=0,OR(Z699="✅ ЗАШЛО",Z699="❌ НЕ ЗАШЛО"),L699&lt;&gt;""),(L699-IF(Z699="✅ ЗАШЛО",1,0))^2,"")</f>
        <v/>
      </c>
      <c r="AF699" s="15"/>
      <c r="AG699" s="15"/>
      <c r="AH699" s="13"/>
      <c r="AI699" s="13"/>
      <c r="AJ699" s="13"/>
      <c r="AK699" s="20" t="str">
        <f aca="false">IF(AH699="","",IF(ABS(AH699+AI699+AJ699-1)&lt;0.000001,"OK","ОШИБКА"))</f>
        <v/>
      </c>
      <c r="AL699" s="13"/>
      <c r="AM699" s="12"/>
      <c r="AN699" s="12"/>
      <c r="AO699" s="12"/>
      <c r="AP699" s="12"/>
      <c r="AQ699" s="18" t="str">
        <f aca="false">IF(A699="","",N(AQ698)+N(AA699))</f>
        <v/>
      </c>
      <c r="AR699" s="18" t="str">
        <f aca="false">IF(AQ699="","",MAX(0,MAX($AQ$8:AQ699))-AQ699)</f>
        <v/>
      </c>
    </row>
    <row r="700" customFormat="false" ht="15" hidden="false" customHeight="fals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3"/>
      <c r="M700" s="13"/>
      <c r="N700" s="13"/>
      <c r="O700" s="14" t="str">
        <f aca="false">IF(OR(L700="",L700=0),"",(1-M700)/L700)</f>
        <v/>
      </c>
      <c r="P700" s="15"/>
      <c r="Q700" s="12"/>
      <c r="R700" s="12"/>
      <c r="S700" s="13"/>
      <c r="T700" s="16" t="str">
        <f aca="false">IF(OR(S700="",L700=""),"",L700/(1-M700)-S700)</f>
        <v/>
      </c>
      <c r="U700" s="16" t="str">
        <f aca="false">IF(OR(L700="",P700=""),"",L700*(P700-1)-N700)</f>
        <v/>
      </c>
      <c r="V700" s="13"/>
      <c r="W700" s="17"/>
      <c r="X700" s="12"/>
      <c r="Y700" s="12"/>
      <c r="Z700" s="12"/>
      <c r="AA700" s="18" t="str">
        <f aca="false">IF(K700&lt;&gt;"ВИРТУАЛЬНЫЙ ВЫБОР","",IF(Z700="✅ ЗАШЛО",W700*(P700-1),IF(Z700="❌ НЕ ЗАШЛО",-W700,IF(Z700="½ ЗАШЛО",W700*(P700-1)/2,IF(Z700="½ НЕ ЗАШЛО",-W700/2,IF(Z700="ВОЗВРАТ",0,""))))))</f>
        <v/>
      </c>
      <c r="AB700" s="18" t="str">
        <f aca="false">IF(AND(K700="ВИРТУАЛЬНЫЙ ВЫБОР",OR(Z700="✅ ЗАШЛО",Z700="❌ НЕ ЗАШЛО",Z700="½ ЗАШЛО",Z700="½ НЕ ЗАШЛО",Z700="ВОЗВРАТ")),W700,"")</f>
        <v/>
      </c>
      <c r="AC700" s="15"/>
      <c r="AD700" s="16" t="str">
        <f aca="false">IF(OR(AC700="",P700=""),"",P700/AC700-1)</f>
        <v/>
      </c>
      <c r="AE700" s="19" t="str">
        <f aca="false">IF(AND(M700=0,OR(Z700="✅ ЗАШЛО",Z700="❌ НЕ ЗАШЛО"),L700&lt;&gt;""),(L700-IF(Z700="✅ ЗАШЛО",1,0))^2,"")</f>
        <v/>
      </c>
      <c r="AF700" s="15"/>
      <c r="AG700" s="15"/>
      <c r="AH700" s="13"/>
      <c r="AI700" s="13"/>
      <c r="AJ700" s="13"/>
      <c r="AK700" s="20" t="str">
        <f aca="false">IF(AH700="","",IF(ABS(AH700+AI700+AJ700-1)&lt;0.000001,"OK","ОШИБКА"))</f>
        <v/>
      </c>
      <c r="AL700" s="13"/>
      <c r="AM700" s="12"/>
      <c r="AN700" s="12"/>
      <c r="AO700" s="12"/>
      <c r="AP700" s="12"/>
      <c r="AQ700" s="18" t="str">
        <f aca="false">IF(A700="","",N(AQ699)+N(AA700))</f>
        <v/>
      </c>
      <c r="AR700" s="18" t="str">
        <f aca="false">IF(AQ700="","",MAX(0,MAX($AQ$8:AQ700))-AQ700)</f>
        <v/>
      </c>
    </row>
    <row r="701" customFormat="false" ht="15" hidden="false" customHeight="fals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3"/>
      <c r="M701" s="13"/>
      <c r="N701" s="13"/>
      <c r="O701" s="14" t="str">
        <f aca="false">IF(OR(L701="",L701=0),"",(1-M701)/L701)</f>
        <v/>
      </c>
      <c r="P701" s="15"/>
      <c r="Q701" s="12"/>
      <c r="R701" s="12"/>
      <c r="S701" s="13"/>
      <c r="T701" s="16" t="str">
        <f aca="false">IF(OR(S701="",L701=""),"",L701/(1-M701)-S701)</f>
        <v/>
      </c>
      <c r="U701" s="16" t="str">
        <f aca="false">IF(OR(L701="",P701=""),"",L701*(P701-1)-N701)</f>
        <v/>
      </c>
      <c r="V701" s="13"/>
      <c r="W701" s="17"/>
      <c r="X701" s="12"/>
      <c r="Y701" s="12"/>
      <c r="Z701" s="12"/>
      <c r="AA701" s="18" t="str">
        <f aca="false">IF(K701&lt;&gt;"ВИРТУАЛЬНЫЙ ВЫБОР","",IF(Z701="✅ ЗАШЛО",W701*(P701-1),IF(Z701="❌ НЕ ЗАШЛО",-W701,IF(Z701="½ ЗАШЛО",W701*(P701-1)/2,IF(Z701="½ НЕ ЗАШЛО",-W701/2,IF(Z701="ВОЗВРАТ",0,""))))))</f>
        <v/>
      </c>
      <c r="AB701" s="18" t="str">
        <f aca="false">IF(AND(K701="ВИРТУАЛЬНЫЙ ВЫБОР",OR(Z701="✅ ЗАШЛО",Z701="❌ НЕ ЗАШЛО",Z701="½ ЗАШЛО",Z701="½ НЕ ЗАШЛО",Z701="ВОЗВРАТ")),W701,"")</f>
        <v/>
      </c>
      <c r="AC701" s="15"/>
      <c r="AD701" s="16" t="str">
        <f aca="false">IF(OR(AC701="",P701=""),"",P701/AC701-1)</f>
        <v/>
      </c>
      <c r="AE701" s="19" t="str">
        <f aca="false">IF(AND(M701=0,OR(Z701="✅ ЗАШЛО",Z701="❌ НЕ ЗАШЛО"),L701&lt;&gt;""),(L701-IF(Z701="✅ ЗАШЛО",1,0))^2,"")</f>
        <v/>
      </c>
      <c r="AF701" s="15"/>
      <c r="AG701" s="15"/>
      <c r="AH701" s="13"/>
      <c r="AI701" s="13"/>
      <c r="AJ701" s="13"/>
      <c r="AK701" s="20" t="str">
        <f aca="false">IF(AH701="","",IF(ABS(AH701+AI701+AJ701-1)&lt;0.000001,"OK","ОШИБКА"))</f>
        <v/>
      </c>
      <c r="AL701" s="13"/>
      <c r="AM701" s="12"/>
      <c r="AN701" s="12"/>
      <c r="AO701" s="12"/>
      <c r="AP701" s="12"/>
      <c r="AQ701" s="18" t="str">
        <f aca="false">IF(A701="","",N(AQ700)+N(AA701))</f>
        <v/>
      </c>
      <c r="AR701" s="18" t="str">
        <f aca="false">IF(AQ701="","",MAX(0,MAX($AQ$8:AQ701))-AQ701)</f>
        <v/>
      </c>
    </row>
    <row r="702" customFormat="false" ht="15" hidden="false" customHeight="fals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3"/>
      <c r="M702" s="13"/>
      <c r="N702" s="13"/>
      <c r="O702" s="14" t="str">
        <f aca="false">IF(OR(L702="",L702=0),"",(1-M702)/L702)</f>
        <v/>
      </c>
      <c r="P702" s="15"/>
      <c r="Q702" s="12"/>
      <c r="R702" s="12"/>
      <c r="S702" s="13"/>
      <c r="T702" s="16" t="str">
        <f aca="false">IF(OR(S702="",L702=""),"",L702/(1-M702)-S702)</f>
        <v/>
      </c>
      <c r="U702" s="16" t="str">
        <f aca="false">IF(OR(L702="",P702=""),"",L702*(P702-1)-N702)</f>
        <v/>
      </c>
      <c r="V702" s="13"/>
      <c r="W702" s="17"/>
      <c r="X702" s="12"/>
      <c r="Y702" s="12"/>
      <c r="Z702" s="12"/>
      <c r="AA702" s="18" t="str">
        <f aca="false">IF(K702&lt;&gt;"ВИРТУАЛЬНЫЙ ВЫБОР","",IF(Z702="✅ ЗАШЛО",W702*(P702-1),IF(Z702="❌ НЕ ЗАШЛО",-W702,IF(Z702="½ ЗАШЛО",W702*(P702-1)/2,IF(Z702="½ НЕ ЗАШЛО",-W702/2,IF(Z702="ВОЗВРАТ",0,""))))))</f>
        <v/>
      </c>
      <c r="AB702" s="18" t="str">
        <f aca="false">IF(AND(K702="ВИРТУАЛЬНЫЙ ВЫБОР",OR(Z702="✅ ЗАШЛО",Z702="❌ НЕ ЗАШЛО",Z702="½ ЗАШЛО",Z702="½ НЕ ЗАШЛО",Z702="ВОЗВРАТ")),W702,"")</f>
        <v/>
      </c>
      <c r="AC702" s="15"/>
      <c r="AD702" s="16" t="str">
        <f aca="false">IF(OR(AC702="",P702=""),"",P702/AC702-1)</f>
        <v/>
      </c>
      <c r="AE702" s="19" t="str">
        <f aca="false">IF(AND(M702=0,OR(Z702="✅ ЗАШЛО",Z702="❌ НЕ ЗАШЛО"),L702&lt;&gt;""),(L702-IF(Z702="✅ ЗАШЛО",1,0))^2,"")</f>
        <v/>
      </c>
      <c r="AF702" s="15"/>
      <c r="AG702" s="15"/>
      <c r="AH702" s="13"/>
      <c r="AI702" s="13"/>
      <c r="AJ702" s="13"/>
      <c r="AK702" s="20" t="str">
        <f aca="false">IF(AH702="","",IF(ABS(AH702+AI702+AJ702-1)&lt;0.000001,"OK","ОШИБКА"))</f>
        <v/>
      </c>
      <c r="AL702" s="13"/>
      <c r="AM702" s="12"/>
      <c r="AN702" s="12"/>
      <c r="AO702" s="12"/>
      <c r="AP702" s="12"/>
      <c r="AQ702" s="18" t="str">
        <f aca="false">IF(A702="","",N(AQ701)+N(AA702))</f>
        <v/>
      </c>
      <c r="AR702" s="18" t="str">
        <f aca="false">IF(AQ702="","",MAX(0,MAX($AQ$8:AQ702))-AQ702)</f>
        <v/>
      </c>
    </row>
    <row r="703" customFormat="false" ht="15" hidden="false" customHeight="fals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3"/>
      <c r="M703" s="13"/>
      <c r="N703" s="13"/>
      <c r="O703" s="14" t="str">
        <f aca="false">IF(OR(L703="",L703=0),"",(1-M703)/L703)</f>
        <v/>
      </c>
      <c r="P703" s="15"/>
      <c r="Q703" s="12"/>
      <c r="R703" s="12"/>
      <c r="S703" s="13"/>
      <c r="T703" s="16" t="str">
        <f aca="false">IF(OR(S703="",L703=""),"",L703/(1-M703)-S703)</f>
        <v/>
      </c>
      <c r="U703" s="16" t="str">
        <f aca="false">IF(OR(L703="",P703=""),"",L703*(P703-1)-N703)</f>
        <v/>
      </c>
      <c r="V703" s="13"/>
      <c r="W703" s="17"/>
      <c r="X703" s="12"/>
      <c r="Y703" s="12"/>
      <c r="Z703" s="12"/>
      <c r="AA703" s="18" t="str">
        <f aca="false">IF(K703&lt;&gt;"ВИРТУАЛЬНЫЙ ВЫБОР","",IF(Z703="✅ ЗАШЛО",W703*(P703-1),IF(Z703="❌ НЕ ЗАШЛО",-W703,IF(Z703="½ ЗАШЛО",W703*(P703-1)/2,IF(Z703="½ НЕ ЗАШЛО",-W703/2,IF(Z703="ВОЗВРАТ",0,""))))))</f>
        <v/>
      </c>
      <c r="AB703" s="18" t="str">
        <f aca="false">IF(AND(K703="ВИРТУАЛЬНЫЙ ВЫБОР",OR(Z703="✅ ЗАШЛО",Z703="❌ НЕ ЗАШЛО",Z703="½ ЗАШЛО",Z703="½ НЕ ЗАШЛО",Z703="ВОЗВРАТ")),W703,"")</f>
        <v/>
      </c>
      <c r="AC703" s="15"/>
      <c r="AD703" s="16" t="str">
        <f aca="false">IF(OR(AC703="",P703=""),"",P703/AC703-1)</f>
        <v/>
      </c>
      <c r="AE703" s="19" t="str">
        <f aca="false">IF(AND(M703=0,OR(Z703="✅ ЗАШЛО",Z703="❌ НЕ ЗАШЛО"),L703&lt;&gt;""),(L703-IF(Z703="✅ ЗАШЛО",1,0))^2,"")</f>
        <v/>
      </c>
      <c r="AF703" s="15"/>
      <c r="AG703" s="15"/>
      <c r="AH703" s="13"/>
      <c r="AI703" s="13"/>
      <c r="AJ703" s="13"/>
      <c r="AK703" s="20" t="str">
        <f aca="false">IF(AH703="","",IF(ABS(AH703+AI703+AJ703-1)&lt;0.000001,"OK","ОШИБКА"))</f>
        <v/>
      </c>
      <c r="AL703" s="13"/>
      <c r="AM703" s="12"/>
      <c r="AN703" s="12"/>
      <c r="AO703" s="12"/>
      <c r="AP703" s="12"/>
      <c r="AQ703" s="18" t="str">
        <f aca="false">IF(A703="","",N(AQ702)+N(AA703))</f>
        <v/>
      </c>
      <c r="AR703" s="18" t="str">
        <f aca="false">IF(AQ703="","",MAX(0,MAX($AQ$8:AQ703))-AQ703)</f>
        <v/>
      </c>
    </row>
    <row r="704" customFormat="false" ht="15" hidden="false" customHeight="fals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3"/>
      <c r="M704" s="13"/>
      <c r="N704" s="13"/>
      <c r="O704" s="14" t="str">
        <f aca="false">IF(OR(L704="",L704=0),"",(1-M704)/L704)</f>
        <v/>
      </c>
      <c r="P704" s="15"/>
      <c r="Q704" s="12"/>
      <c r="R704" s="12"/>
      <c r="S704" s="13"/>
      <c r="T704" s="16" t="str">
        <f aca="false">IF(OR(S704="",L704=""),"",L704/(1-M704)-S704)</f>
        <v/>
      </c>
      <c r="U704" s="16" t="str">
        <f aca="false">IF(OR(L704="",P704=""),"",L704*(P704-1)-N704)</f>
        <v/>
      </c>
      <c r="V704" s="13"/>
      <c r="W704" s="17"/>
      <c r="X704" s="12"/>
      <c r="Y704" s="12"/>
      <c r="Z704" s="12"/>
      <c r="AA704" s="18" t="str">
        <f aca="false">IF(K704&lt;&gt;"ВИРТУАЛЬНЫЙ ВЫБОР","",IF(Z704="✅ ЗАШЛО",W704*(P704-1),IF(Z704="❌ НЕ ЗАШЛО",-W704,IF(Z704="½ ЗАШЛО",W704*(P704-1)/2,IF(Z704="½ НЕ ЗАШЛО",-W704/2,IF(Z704="ВОЗВРАТ",0,""))))))</f>
        <v/>
      </c>
      <c r="AB704" s="18" t="str">
        <f aca="false">IF(AND(K704="ВИРТУАЛЬНЫЙ ВЫБОР",OR(Z704="✅ ЗАШЛО",Z704="❌ НЕ ЗАШЛО",Z704="½ ЗАШЛО",Z704="½ НЕ ЗАШЛО",Z704="ВОЗВРАТ")),W704,"")</f>
        <v/>
      </c>
      <c r="AC704" s="15"/>
      <c r="AD704" s="16" t="str">
        <f aca="false">IF(OR(AC704="",P704=""),"",P704/AC704-1)</f>
        <v/>
      </c>
      <c r="AE704" s="19" t="str">
        <f aca="false">IF(AND(M704=0,OR(Z704="✅ ЗАШЛО",Z704="❌ НЕ ЗАШЛО"),L704&lt;&gt;""),(L704-IF(Z704="✅ ЗАШЛО",1,0))^2,"")</f>
        <v/>
      </c>
      <c r="AF704" s="15"/>
      <c r="AG704" s="15"/>
      <c r="AH704" s="13"/>
      <c r="AI704" s="13"/>
      <c r="AJ704" s="13"/>
      <c r="AK704" s="20" t="str">
        <f aca="false">IF(AH704="","",IF(ABS(AH704+AI704+AJ704-1)&lt;0.000001,"OK","ОШИБКА"))</f>
        <v/>
      </c>
      <c r="AL704" s="13"/>
      <c r="AM704" s="12"/>
      <c r="AN704" s="12"/>
      <c r="AO704" s="12"/>
      <c r="AP704" s="12"/>
      <c r="AQ704" s="18" t="str">
        <f aca="false">IF(A704="","",N(AQ703)+N(AA704))</f>
        <v/>
      </c>
      <c r="AR704" s="18" t="str">
        <f aca="false">IF(AQ704="","",MAX(0,MAX($AQ$8:AQ704))-AQ704)</f>
        <v/>
      </c>
    </row>
    <row r="705" customFormat="false" ht="15" hidden="false" customHeight="fals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3"/>
      <c r="M705" s="13"/>
      <c r="N705" s="13"/>
      <c r="O705" s="14" t="str">
        <f aca="false">IF(OR(L705="",L705=0),"",(1-M705)/L705)</f>
        <v/>
      </c>
      <c r="P705" s="15"/>
      <c r="Q705" s="12"/>
      <c r="R705" s="12"/>
      <c r="S705" s="13"/>
      <c r="T705" s="16" t="str">
        <f aca="false">IF(OR(S705="",L705=""),"",L705/(1-M705)-S705)</f>
        <v/>
      </c>
      <c r="U705" s="16" t="str">
        <f aca="false">IF(OR(L705="",P705=""),"",L705*(P705-1)-N705)</f>
        <v/>
      </c>
      <c r="V705" s="13"/>
      <c r="W705" s="17"/>
      <c r="X705" s="12"/>
      <c r="Y705" s="12"/>
      <c r="Z705" s="12"/>
      <c r="AA705" s="18" t="str">
        <f aca="false">IF(K705&lt;&gt;"ВИРТУАЛЬНЫЙ ВЫБОР","",IF(Z705="✅ ЗАШЛО",W705*(P705-1),IF(Z705="❌ НЕ ЗАШЛО",-W705,IF(Z705="½ ЗАШЛО",W705*(P705-1)/2,IF(Z705="½ НЕ ЗАШЛО",-W705/2,IF(Z705="ВОЗВРАТ",0,""))))))</f>
        <v/>
      </c>
      <c r="AB705" s="18" t="str">
        <f aca="false">IF(AND(K705="ВИРТУАЛЬНЫЙ ВЫБОР",OR(Z705="✅ ЗАШЛО",Z705="❌ НЕ ЗАШЛО",Z705="½ ЗАШЛО",Z705="½ НЕ ЗАШЛО",Z705="ВОЗВРАТ")),W705,"")</f>
        <v/>
      </c>
      <c r="AC705" s="15"/>
      <c r="AD705" s="16" t="str">
        <f aca="false">IF(OR(AC705="",P705=""),"",P705/AC705-1)</f>
        <v/>
      </c>
      <c r="AE705" s="19" t="str">
        <f aca="false">IF(AND(M705=0,OR(Z705="✅ ЗАШЛО",Z705="❌ НЕ ЗАШЛО"),L705&lt;&gt;""),(L705-IF(Z705="✅ ЗАШЛО",1,0))^2,"")</f>
        <v/>
      </c>
      <c r="AF705" s="15"/>
      <c r="AG705" s="15"/>
      <c r="AH705" s="13"/>
      <c r="AI705" s="13"/>
      <c r="AJ705" s="13"/>
      <c r="AK705" s="20" t="str">
        <f aca="false">IF(AH705="","",IF(ABS(AH705+AI705+AJ705-1)&lt;0.000001,"OK","ОШИБКА"))</f>
        <v/>
      </c>
      <c r="AL705" s="13"/>
      <c r="AM705" s="12"/>
      <c r="AN705" s="12"/>
      <c r="AO705" s="12"/>
      <c r="AP705" s="12"/>
      <c r="AQ705" s="18" t="str">
        <f aca="false">IF(A705="","",N(AQ704)+N(AA705))</f>
        <v/>
      </c>
      <c r="AR705" s="18" t="str">
        <f aca="false">IF(AQ705="","",MAX(0,MAX($AQ$8:AQ705))-AQ705)</f>
        <v/>
      </c>
    </row>
    <row r="706" customFormat="false" ht="15" hidden="false" customHeight="fals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3"/>
      <c r="M706" s="13"/>
      <c r="N706" s="13"/>
      <c r="O706" s="14" t="str">
        <f aca="false">IF(OR(L706="",L706=0),"",(1-M706)/L706)</f>
        <v/>
      </c>
      <c r="P706" s="15"/>
      <c r="Q706" s="12"/>
      <c r="R706" s="12"/>
      <c r="S706" s="13"/>
      <c r="T706" s="16" t="str">
        <f aca="false">IF(OR(S706="",L706=""),"",L706/(1-M706)-S706)</f>
        <v/>
      </c>
      <c r="U706" s="16" t="str">
        <f aca="false">IF(OR(L706="",P706=""),"",L706*(P706-1)-N706)</f>
        <v/>
      </c>
      <c r="V706" s="13"/>
      <c r="W706" s="17"/>
      <c r="X706" s="12"/>
      <c r="Y706" s="12"/>
      <c r="Z706" s="12"/>
      <c r="AA706" s="18" t="str">
        <f aca="false">IF(K706&lt;&gt;"ВИРТУАЛЬНЫЙ ВЫБОР","",IF(Z706="✅ ЗАШЛО",W706*(P706-1),IF(Z706="❌ НЕ ЗАШЛО",-W706,IF(Z706="½ ЗАШЛО",W706*(P706-1)/2,IF(Z706="½ НЕ ЗАШЛО",-W706/2,IF(Z706="ВОЗВРАТ",0,""))))))</f>
        <v/>
      </c>
      <c r="AB706" s="18" t="str">
        <f aca="false">IF(AND(K706="ВИРТУАЛЬНЫЙ ВЫБОР",OR(Z706="✅ ЗАШЛО",Z706="❌ НЕ ЗАШЛО",Z706="½ ЗАШЛО",Z706="½ НЕ ЗАШЛО",Z706="ВОЗВРАТ")),W706,"")</f>
        <v/>
      </c>
      <c r="AC706" s="15"/>
      <c r="AD706" s="16" t="str">
        <f aca="false">IF(OR(AC706="",P706=""),"",P706/AC706-1)</f>
        <v/>
      </c>
      <c r="AE706" s="19" t="str">
        <f aca="false">IF(AND(M706=0,OR(Z706="✅ ЗАШЛО",Z706="❌ НЕ ЗАШЛО"),L706&lt;&gt;""),(L706-IF(Z706="✅ ЗАШЛО",1,0))^2,"")</f>
        <v/>
      </c>
      <c r="AF706" s="15"/>
      <c r="AG706" s="15"/>
      <c r="AH706" s="13"/>
      <c r="AI706" s="13"/>
      <c r="AJ706" s="13"/>
      <c r="AK706" s="20" t="str">
        <f aca="false">IF(AH706="","",IF(ABS(AH706+AI706+AJ706-1)&lt;0.000001,"OK","ОШИБКА"))</f>
        <v/>
      </c>
      <c r="AL706" s="13"/>
      <c r="AM706" s="12"/>
      <c r="AN706" s="12"/>
      <c r="AO706" s="12"/>
      <c r="AP706" s="12"/>
      <c r="AQ706" s="18" t="str">
        <f aca="false">IF(A706="","",N(AQ705)+N(AA706))</f>
        <v/>
      </c>
      <c r="AR706" s="18" t="str">
        <f aca="false">IF(AQ706="","",MAX(0,MAX($AQ$8:AQ706))-AQ706)</f>
        <v/>
      </c>
    </row>
    <row r="707" customFormat="false" ht="15" hidden="false" customHeight="fals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3"/>
      <c r="M707" s="13"/>
      <c r="N707" s="13"/>
      <c r="O707" s="14" t="str">
        <f aca="false">IF(OR(L707="",L707=0),"",(1-M707)/L707)</f>
        <v/>
      </c>
      <c r="P707" s="15"/>
      <c r="Q707" s="12"/>
      <c r="R707" s="12"/>
      <c r="S707" s="13"/>
      <c r="T707" s="16" t="str">
        <f aca="false">IF(OR(S707="",L707=""),"",L707/(1-M707)-S707)</f>
        <v/>
      </c>
      <c r="U707" s="16" t="str">
        <f aca="false">IF(OR(L707="",P707=""),"",L707*(P707-1)-N707)</f>
        <v/>
      </c>
      <c r="V707" s="13"/>
      <c r="W707" s="17"/>
      <c r="X707" s="12"/>
      <c r="Y707" s="12"/>
      <c r="Z707" s="12"/>
      <c r="AA707" s="18" t="str">
        <f aca="false">IF(K707&lt;&gt;"ВИРТУАЛЬНЫЙ ВЫБОР","",IF(Z707="✅ ЗАШЛО",W707*(P707-1),IF(Z707="❌ НЕ ЗАШЛО",-W707,IF(Z707="½ ЗАШЛО",W707*(P707-1)/2,IF(Z707="½ НЕ ЗАШЛО",-W707/2,IF(Z707="ВОЗВРАТ",0,""))))))</f>
        <v/>
      </c>
      <c r="AB707" s="18" t="str">
        <f aca="false">IF(AND(K707="ВИРТУАЛЬНЫЙ ВЫБОР",OR(Z707="✅ ЗАШЛО",Z707="❌ НЕ ЗАШЛО",Z707="½ ЗАШЛО",Z707="½ НЕ ЗАШЛО",Z707="ВОЗВРАТ")),W707,"")</f>
        <v/>
      </c>
      <c r="AC707" s="15"/>
      <c r="AD707" s="16" t="str">
        <f aca="false">IF(OR(AC707="",P707=""),"",P707/AC707-1)</f>
        <v/>
      </c>
      <c r="AE707" s="19" t="str">
        <f aca="false">IF(AND(M707=0,OR(Z707="✅ ЗАШЛО",Z707="❌ НЕ ЗАШЛО"),L707&lt;&gt;""),(L707-IF(Z707="✅ ЗАШЛО",1,0))^2,"")</f>
        <v/>
      </c>
      <c r="AF707" s="15"/>
      <c r="AG707" s="15"/>
      <c r="AH707" s="13"/>
      <c r="AI707" s="13"/>
      <c r="AJ707" s="13"/>
      <c r="AK707" s="20" t="str">
        <f aca="false">IF(AH707="","",IF(ABS(AH707+AI707+AJ707-1)&lt;0.000001,"OK","ОШИБКА"))</f>
        <v/>
      </c>
      <c r="AL707" s="13"/>
      <c r="AM707" s="12"/>
      <c r="AN707" s="12"/>
      <c r="AO707" s="12"/>
      <c r="AP707" s="12"/>
      <c r="AQ707" s="18" t="str">
        <f aca="false">IF(A707="","",N(AQ706)+N(AA707))</f>
        <v/>
      </c>
      <c r="AR707" s="18" t="str">
        <f aca="false">IF(AQ707="","",MAX(0,MAX($AQ$8:AQ707))-AQ707)</f>
        <v/>
      </c>
    </row>
    <row r="708" customFormat="false" ht="15" hidden="false" customHeight="fals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3"/>
      <c r="M708" s="13"/>
      <c r="N708" s="13"/>
      <c r="O708" s="14" t="str">
        <f aca="false">IF(OR(L708="",L708=0),"",(1-M708)/L708)</f>
        <v/>
      </c>
      <c r="P708" s="15"/>
      <c r="Q708" s="12"/>
      <c r="R708" s="12"/>
      <c r="S708" s="13"/>
      <c r="T708" s="16" t="str">
        <f aca="false">IF(OR(S708="",L708=""),"",L708/(1-M708)-S708)</f>
        <v/>
      </c>
      <c r="U708" s="16" t="str">
        <f aca="false">IF(OR(L708="",P708=""),"",L708*(P708-1)-N708)</f>
        <v/>
      </c>
      <c r="V708" s="13"/>
      <c r="W708" s="17"/>
      <c r="X708" s="12"/>
      <c r="Y708" s="12"/>
      <c r="Z708" s="12"/>
      <c r="AA708" s="18" t="str">
        <f aca="false">IF(K708&lt;&gt;"ВИРТУАЛЬНЫЙ ВЫБОР","",IF(Z708="✅ ЗАШЛО",W708*(P708-1),IF(Z708="❌ НЕ ЗАШЛО",-W708,IF(Z708="½ ЗАШЛО",W708*(P708-1)/2,IF(Z708="½ НЕ ЗАШЛО",-W708/2,IF(Z708="ВОЗВРАТ",0,""))))))</f>
        <v/>
      </c>
      <c r="AB708" s="18" t="str">
        <f aca="false">IF(AND(K708="ВИРТУАЛЬНЫЙ ВЫБОР",OR(Z708="✅ ЗАШЛО",Z708="❌ НЕ ЗАШЛО",Z708="½ ЗАШЛО",Z708="½ НЕ ЗАШЛО",Z708="ВОЗВРАТ")),W708,"")</f>
        <v/>
      </c>
      <c r="AC708" s="15"/>
      <c r="AD708" s="16" t="str">
        <f aca="false">IF(OR(AC708="",P708=""),"",P708/AC708-1)</f>
        <v/>
      </c>
      <c r="AE708" s="19" t="str">
        <f aca="false">IF(AND(M708=0,OR(Z708="✅ ЗАШЛО",Z708="❌ НЕ ЗАШЛО"),L708&lt;&gt;""),(L708-IF(Z708="✅ ЗАШЛО",1,0))^2,"")</f>
        <v/>
      </c>
      <c r="AF708" s="15"/>
      <c r="AG708" s="15"/>
      <c r="AH708" s="13"/>
      <c r="AI708" s="13"/>
      <c r="AJ708" s="13"/>
      <c r="AK708" s="20" t="str">
        <f aca="false">IF(AH708="","",IF(ABS(AH708+AI708+AJ708-1)&lt;0.000001,"OK","ОШИБКА"))</f>
        <v/>
      </c>
      <c r="AL708" s="13"/>
      <c r="AM708" s="12"/>
      <c r="AN708" s="12"/>
      <c r="AO708" s="12"/>
      <c r="AP708" s="12"/>
      <c r="AQ708" s="18" t="str">
        <f aca="false">IF(A708="","",N(AQ707)+N(AA708))</f>
        <v/>
      </c>
      <c r="AR708" s="18" t="str">
        <f aca="false">IF(AQ708="","",MAX(0,MAX($AQ$8:AQ708))-AQ708)</f>
        <v/>
      </c>
    </row>
    <row r="709" customFormat="false" ht="15" hidden="false" customHeight="fals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3"/>
      <c r="M709" s="13"/>
      <c r="N709" s="13"/>
      <c r="O709" s="14" t="str">
        <f aca="false">IF(OR(L709="",L709=0),"",(1-M709)/L709)</f>
        <v/>
      </c>
      <c r="P709" s="15"/>
      <c r="Q709" s="12"/>
      <c r="R709" s="12"/>
      <c r="S709" s="13"/>
      <c r="T709" s="16" t="str">
        <f aca="false">IF(OR(S709="",L709=""),"",L709/(1-M709)-S709)</f>
        <v/>
      </c>
      <c r="U709" s="16" t="str">
        <f aca="false">IF(OR(L709="",P709=""),"",L709*(P709-1)-N709)</f>
        <v/>
      </c>
      <c r="V709" s="13"/>
      <c r="W709" s="17"/>
      <c r="X709" s="12"/>
      <c r="Y709" s="12"/>
      <c r="Z709" s="12"/>
      <c r="AA709" s="18" t="str">
        <f aca="false">IF(K709&lt;&gt;"ВИРТУАЛЬНЫЙ ВЫБОР","",IF(Z709="✅ ЗАШЛО",W709*(P709-1),IF(Z709="❌ НЕ ЗАШЛО",-W709,IF(Z709="½ ЗАШЛО",W709*(P709-1)/2,IF(Z709="½ НЕ ЗАШЛО",-W709/2,IF(Z709="ВОЗВРАТ",0,""))))))</f>
        <v/>
      </c>
      <c r="AB709" s="18" t="str">
        <f aca="false">IF(AND(K709="ВИРТУАЛЬНЫЙ ВЫБОР",OR(Z709="✅ ЗАШЛО",Z709="❌ НЕ ЗАШЛО",Z709="½ ЗАШЛО",Z709="½ НЕ ЗАШЛО",Z709="ВОЗВРАТ")),W709,"")</f>
        <v/>
      </c>
      <c r="AC709" s="15"/>
      <c r="AD709" s="16" t="str">
        <f aca="false">IF(OR(AC709="",P709=""),"",P709/AC709-1)</f>
        <v/>
      </c>
      <c r="AE709" s="19" t="str">
        <f aca="false">IF(AND(M709=0,OR(Z709="✅ ЗАШЛО",Z709="❌ НЕ ЗАШЛО"),L709&lt;&gt;""),(L709-IF(Z709="✅ ЗАШЛО",1,0))^2,"")</f>
        <v/>
      </c>
      <c r="AF709" s="15"/>
      <c r="AG709" s="15"/>
      <c r="AH709" s="13"/>
      <c r="AI709" s="13"/>
      <c r="AJ709" s="13"/>
      <c r="AK709" s="20" t="str">
        <f aca="false">IF(AH709="","",IF(ABS(AH709+AI709+AJ709-1)&lt;0.000001,"OK","ОШИБКА"))</f>
        <v/>
      </c>
      <c r="AL709" s="13"/>
      <c r="AM709" s="12"/>
      <c r="AN709" s="12"/>
      <c r="AO709" s="12"/>
      <c r="AP709" s="12"/>
      <c r="AQ709" s="18" t="str">
        <f aca="false">IF(A709="","",N(AQ708)+N(AA709))</f>
        <v/>
      </c>
      <c r="AR709" s="18" t="str">
        <f aca="false">IF(AQ709="","",MAX(0,MAX($AQ$8:AQ709))-AQ709)</f>
        <v/>
      </c>
    </row>
    <row r="710" customFormat="false" ht="15" hidden="false" customHeight="fals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3"/>
      <c r="M710" s="13"/>
      <c r="N710" s="13"/>
      <c r="O710" s="14" t="str">
        <f aca="false">IF(OR(L710="",L710=0),"",(1-M710)/L710)</f>
        <v/>
      </c>
      <c r="P710" s="15"/>
      <c r="Q710" s="12"/>
      <c r="R710" s="12"/>
      <c r="S710" s="13"/>
      <c r="T710" s="16" t="str">
        <f aca="false">IF(OR(S710="",L710=""),"",L710/(1-M710)-S710)</f>
        <v/>
      </c>
      <c r="U710" s="16" t="str">
        <f aca="false">IF(OR(L710="",P710=""),"",L710*(P710-1)-N710)</f>
        <v/>
      </c>
      <c r="V710" s="13"/>
      <c r="W710" s="17"/>
      <c r="X710" s="12"/>
      <c r="Y710" s="12"/>
      <c r="Z710" s="12"/>
      <c r="AA710" s="18" t="str">
        <f aca="false">IF(K710&lt;&gt;"ВИРТУАЛЬНЫЙ ВЫБОР","",IF(Z710="✅ ЗАШЛО",W710*(P710-1),IF(Z710="❌ НЕ ЗАШЛО",-W710,IF(Z710="½ ЗАШЛО",W710*(P710-1)/2,IF(Z710="½ НЕ ЗАШЛО",-W710/2,IF(Z710="ВОЗВРАТ",0,""))))))</f>
        <v/>
      </c>
      <c r="AB710" s="18" t="str">
        <f aca="false">IF(AND(K710="ВИРТУАЛЬНЫЙ ВЫБОР",OR(Z710="✅ ЗАШЛО",Z710="❌ НЕ ЗАШЛО",Z710="½ ЗАШЛО",Z710="½ НЕ ЗАШЛО",Z710="ВОЗВРАТ")),W710,"")</f>
        <v/>
      </c>
      <c r="AC710" s="15"/>
      <c r="AD710" s="16" t="str">
        <f aca="false">IF(OR(AC710="",P710=""),"",P710/AC710-1)</f>
        <v/>
      </c>
      <c r="AE710" s="19" t="str">
        <f aca="false">IF(AND(M710=0,OR(Z710="✅ ЗАШЛО",Z710="❌ НЕ ЗАШЛО"),L710&lt;&gt;""),(L710-IF(Z710="✅ ЗАШЛО",1,0))^2,"")</f>
        <v/>
      </c>
      <c r="AF710" s="15"/>
      <c r="AG710" s="15"/>
      <c r="AH710" s="13"/>
      <c r="AI710" s="13"/>
      <c r="AJ710" s="13"/>
      <c r="AK710" s="20" t="str">
        <f aca="false">IF(AH710="","",IF(ABS(AH710+AI710+AJ710-1)&lt;0.000001,"OK","ОШИБКА"))</f>
        <v/>
      </c>
      <c r="AL710" s="13"/>
      <c r="AM710" s="12"/>
      <c r="AN710" s="12"/>
      <c r="AO710" s="12"/>
      <c r="AP710" s="12"/>
      <c r="AQ710" s="18" t="str">
        <f aca="false">IF(A710="","",N(AQ709)+N(AA710))</f>
        <v/>
      </c>
      <c r="AR710" s="18" t="str">
        <f aca="false">IF(AQ710="","",MAX(0,MAX($AQ$8:AQ710))-AQ710)</f>
        <v/>
      </c>
    </row>
    <row r="711" customFormat="false" ht="15" hidden="false" customHeight="fals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3"/>
      <c r="M711" s="13"/>
      <c r="N711" s="13"/>
      <c r="O711" s="14" t="str">
        <f aca="false">IF(OR(L711="",L711=0),"",(1-M711)/L711)</f>
        <v/>
      </c>
      <c r="P711" s="15"/>
      <c r="Q711" s="12"/>
      <c r="R711" s="12"/>
      <c r="S711" s="13"/>
      <c r="T711" s="16" t="str">
        <f aca="false">IF(OR(S711="",L711=""),"",L711/(1-M711)-S711)</f>
        <v/>
      </c>
      <c r="U711" s="16" t="str">
        <f aca="false">IF(OR(L711="",P711=""),"",L711*(P711-1)-N711)</f>
        <v/>
      </c>
      <c r="V711" s="13"/>
      <c r="W711" s="17"/>
      <c r="X711" s="12"/>
      <c r="Y711" s="12"/>
      <c r="Z711" s="12"/>
      <c r="AA711" s="18" t="str">
        <f aca="false">IF(K711&lt;&gt;"ВИРТУАЛЬНЫЙ ВЫБОР","",IF(Z711="✅ ЗАШЛО",W711*(P711-1),IF(Z711="❌ НЕ ЗАШЛО",-W711,IF(Z711="½ ЗАШЛО",W711*(P711-1)/2,IF(Z711="½ НЕ ЗАШЛО",-W711/2,IF(Z711="ВОЗВРАТ",0,""))))))</f>
        <v/>
      </c>
      <c r="AB711" s="18" t="str">
        <f aca="false">IF(AND(K711="ВИРТУАЛЬНЫЙ ВЫБОР",OR(Z711="✅ ЗАШЛО",Z711="❌ НЕ ЗАШЛО",Z711="½ ЗАШЛО",Z711="½ НЕ ЗАШЛО",Z711="ВОЗВРАТ")),W711,"")</f>
        <v/>
      </c>
      <c r="AC711" s="15"/>
      <c r="AD711" s="16" t="str">
        <f aca="false">IF(OR(AC711="",P711=""),"",P711/AC711-1)</f>
        <v/>
      </c>
      <c r="AE711" s="19" t="str">
        <f aca="false">IF(AND(M711=0,OR(Z711="✅ ЗАШЛО",Z711="❌ НЕ ЗАШЛО"),L711&lt;&gt;""),(L711-IF(Z711="✅ ЗАШЛО",1,0))^2,"")</f>
        <v/>
      </c>
      <c r="AF711" s="15"/>
      <c r="AG711" s="15"/>
      <c r="AH711" s="13"/>
      <c r="AI711" s="13"/>
      <c r="AJ711" s="13"/>
      <c r="AK711" s="20" t="str">
        <f aca="false">IF(AH711="","",IF(ABS(AH711+AI711+AJ711-1)&lt;0.000001,"OK","ОШИБКА"))</f>
        <v/>
      </c>
      <c r="AL711" s="13"/>
      <c r="AM711" s="12"/>
      <c r="AN711" s="12"/>
      <c r="AO711" s="12"/>
      <c r="AP711" s="12"/>
      <c r="AQ711" s="18" t="str">
        <f aca="false">IF(A711="","",N(AQ710)+N(AA711))</f>
        <v/>
      </c>
      <c r="AR711" s="18" t="str">
        <f aca="false">IF(AQ711="","",MAX(0,MAX($AQ$8:AQ711))-AQ711)</f>
        <v/>
      </c>
    </row>
    <row r="712" customFormat="false" ht="15" hidden="false" customHeight="fals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3"/>
      <c r="M712" s="13"/>
      <c r="N712" s="13"/>
      <c r="O712" s="14" t="str">
        <f aca="false">IF(OR(L712="",L712=0),"",(1-M712)/L712)</f>
        <v/>
      </c>
      <c r="P712" s="15"/>
      <c r="Q712" s="12"/>
      <c r="R712" s="12"/>
      <c r="S712" s="13"/>
      <c r="T712" s="16" t="str">
        <f aca="false">IF(OR(S712="",L712=""),"",L712/(1-M712)-S712)</f>
        <v/>
      </c>
      <c r="U712" s="16" t="str">
        <f aca="false">IF(OR(L712="",P712=""),"",L712*(P712-1)-N712)</f>
        <v/>
      </c>
      <c r="V712" s="13"/>
      <c r="W712" s="17"/>
      <c r="X712" s="12"/>
      <c r="Y712" s="12"/>
      <c r="Z712" s="12"/>
      <c r="AA712" s="18" t="str">
        <f aca="false">IF(K712&lt;&gt;"ВИРТУАЛЬНЫЙ ВЫБОР","",IF(Z712="✅ ЗАШЛО",W712*(P712-1),IF(Z712="❌ НЕ ЗАШЛО",-W712,IF(Z712="½ ЗАШЛО",W712*(P712-1)/2,IF(Z712="½ НЕ ЗАШЛО",-W712/2,IF(Z712="ВОЗВРАТ",0,""))))))</f>
        <v/>
      </c>
      <c r="AB712" s="18" t="str">
        <f aca="false">IF(AND(K712="ВИРТУАЛЬНЫЙ ВЫБОР",OR(Z712="✅ ЗАШЛО",Z712="❌ НЕ ЗАШЛО",Z712="½ ЗАШЛО",Z712="½ НЕ ЗАШЛО",Z712="ВОЗВРАТ")),W712,"")</f>
        <v/>
      </c>
      <c r="AC712" s="15"/>
      <c r="AD712" s="16" t="str">
        <f aca="false">IF(OR(AC712="",P712=""),"",P712/AC712-1)</f>
        <v/>
      </c>
      <c r="AE712" s="19" t="str">
        <f aca="false">IF(AND(M712=0,OR(Z712="✅ ЗАШЛО",Z712="❌ НЕ ЗАШЛО"),L712&lt;&gt;""),(L712-IF(Z712="✅ ЗАШЛО",1,0))^2,"")</f>
        <v/>
      </c>
      <c r="AF712" s="15"/>
      <c r="AG712" s="15"/>
      <c r="AH712" s="13"/>
      <c r="AI712" s="13"/>
      <c r="AJ712" s="13"/>
      <c r="AK712" s="20" t="str">
        <f aca="false">IF(AH712="","",IF(ABS(AH712+AI712+AJ712-1)&lt;0.000001,"OK","ОШИБКА"))</f>
        <v/>
      </c>
      <c r="AL712" s="13"/>
      <c r="AM712" s="12"/>
      <c r="AN712" s="12"/>
      <c r="AO712" s="12"/>
      <c r="AP712" s="12"/>
      <c r="AQ712" s="18" t="str">
        <f aca="false">IF(A712="","",N(AQ711)+N(AA712))</f>
        <v/>
      </c>
      <c r="AR712" s="18" t="str">
        <f aca="false">IF(AQ712="","",MAX(0,MAX($AQ$8:AQ712))-AQ712)</f>
        <v/>
      </c>
    </row>
    <row r="713" customFormat="false" ht="15" hidden="false" customHeight="fals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3"/>
      <c r="M713" s="13"/>
      <c r="N713" s="13"/>
      <c r="O713" s="14" t="str">
        <f aca="false">IF(OR(L713="",L713=0),"",(1-M713)/L713)</f>
        <v/>
      </c>
      <c r="P713" s="15"/>
      <c r="Q713" s="12"/>
      <c r="R713" s="12"/>
      <c r="S713" s="13"/>
      <c r="T713" s="16" t="str">
        <f aca="false">IF(OR(S713="",L713=""),"",L713/(1-M713)-S713)</f>
        <v/>
      </c>
      <c r="U713" s="16" t="str">
        <f aca="false">IF(OR(L713="",P713=""),"",L713*(P713-1)-N713)</f>
        <v/>
      </c>
      <c r="V713" s="13"/>
      <c r="W713" s="17"/>
      <c r="X713" s="12"/>
      <c r="Y713" s="12"/>
      <c r="Z713" s="12"/>
      <c r="AA713" s="18" t="str">
        <f aca="false">IF(K713&lt;&gt;"ВИРТУАЛЬНЫЙ ВЫБОР","",IF(Z713="✅ ЗАШЛО",W713*(P713-1),IF(Z713="❌ НЕ ЗАШЛО",-W713,IF(Z713="½ ЗАШЛО",W713*(P713-1)/2,IF(Z713="½ НЕ ЗАШЛО",-W713/2,IF(Z713="ВОЗВРАТ",0,""))))))</f>
        <v/>
      </c>
      <c r="AB713" s="18" t="str">
        <f aca="false">IF(AND(K713="ВИРТУАЛЬНЫЙ ВЫБОР",OR(Z713="✅ ЗАШЛО",Z713="❌ НЕ ЗАШЛО",Z713="½ ЗАШЛО",Z713="½ НЕ ЗАШЛО",Z713="ВОЗВРАТ")),W713,"")</f>
        <v/>
      </c>
      <c r="AC713" s="15"/>
      <c r="AD713" s="16" t="str">
        <f aca="false">IF(OR(AC713="",P713=""),"",P713/AC713-1)</f>
        <v/>
      </c>
      <c r="AE713" s="19" t="str">
        <f aca="false">IF(AND(M713=0,OR(Z713="✅ ЗАШЛО",Z713="❌ НЕ ЗАШЛО"),L713&lt;&gt;""),(L713-IF(Z713="✅ ЗАШЛО",1,0))^2,"")</f>
        <v/>
      </c>
      <c r="AF713" s="15"/>
      <c r="AG713" s="15"/>
      <c r="AH713" s="13"/>
      <c r="AI713" s="13"/>
      <c r="AJ713" s="13"/>
      <c r="AK713" s="20" t="str">
        <f aca="false">IF(AH713="","",IF(ABS(AH713+AI713+AJ713-1)&lt;0.000001,"OK","ОШИБКА"))</f>
        <v/>
      </c>
      <c r="AL713" s="13"/>
      <c r="AM713" s="12"/>
      <c r="AN713" s="12"/>
      <c r="AO713" s="12"/>
      <c r="AP713" s="12"/>
      <c r="AQ713" s="18" t="str">
        <f aca="false">IF(A713="","",N(AQ712)+N(AA713))</f>
        <v/>
      </c>
      <c r="AR713" s="18" t="str">
        <f aca="false">IF(AQ713="","",MAX(0,MAX($AQ$8:AQ713))-AQ713)</f>
        <v/>
      </c>
    </row>
    <row r="714" customFormat="false" ht="15" hidden="false" customHeight="fals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3"/>
      <c r="M714" s="13"/>
      <c r="N714" s="13"/>
      <c r="O714" s="14" t="str">
        <f aca="false">IF(OR(L714="",L714=0),"",(1-M714)/L714)</f>
        <v/>
      </c>
      <c r="P714" s="15"/>
      <c r="Q714" s="12"/>
      <c r="R714" s="12"/>
      <c r="S714" s="13"/>
      <c r="T714" s="16" t="str">
        <f aca="false">IF(OR(S714="",L714=""),"",L714/(1-M714)-S714)</f>
        <v/>
      </c>
      <c r="U714" s="16" t="str">
        <f aca="false">IF(OR(L714="",P714=""),"",L714*(P714-1)-N714)</f>
        <v/>
      </c>
      <c r="V714" s="13"/>
      <c r="W714" s="17"/>
      <c r="X714" s="12"/>
      <c r="Y714" s="12"/>
      <c r="Z714" s="12"/>
      <c r="AA714" s="18" t="str">
        <f aca="false">IF(K714&lt;&gt;"ВИРТУАЛЬНЫЙ ВЫБОР","",IF(Z714="✅ ЗАШЛО",W714*(P714-1),IF(Z714="❌ НЕ ЗАШЛО",-W714,IF(Z714="½ ЗАШЛО",W714*(P714-1)/2,IF(Z714="½ НЕ ЗАШЛО",-W714/2,IF(Z714="ВОЗВРАТ",0,""))))))</f>
        <v/>
      </c>
      <c r="AB714" s="18" t="str">
        <f aca="false">IF(AND(K714="ВИРТУАЛЬНЫЙ ВЫБОР",OR(Z714="✅ ЗАШЛО",Z714="❌ НЕ ЗАШЛО",Z714="½ ЗАШЛО",Z714="½ НЕ ЗАШЛО",Z714="ВОЗВРАТ")),W714,"")</f>
        <v/>
      </c>
      <c r="AC714" s="15"/>
      <c r="AD714" s="16" t="str">
        <f aca="false">IF(OR(AC714="",P714=""),"",P714/AC714-1)</f>
        <v/>
      </c>
      <c r="AE714" s="19" t="str">
        <f aca="false">IF(AND(M714=0,OR(Z714="✅ ЗАШЛО",Z714="❌ НЕ ЗАШЛО"),L714&lt;&gt;""),(L714-IF(Z714="✅ ЗАШЛО",1,0))^2,"")</f>
        <v/>
      </c>
      <c r="AF714" s="15"/>
      <c r="AG714" s="15"/>
      <c r="AH714" s="13"/>
      <c r="AI714" s="13"/>
      <c r="AJ714" s="13"/>
      <c r="AK714" s="20" t="str">
        <f aca="false">IF(AH714="","",IF(ABS(AH714+AI714+AJ714-1)&lt;0.000001,"OK","ОШИБКА"))</f>
        <v/>
      </c>
      <c r="AL714" s="13"/>
      <c r="AM714" s="12"/>
      <c r="AN714" s="12"/>
      <c r="AO714" s="12"/>
      <c r="AP714" s="12"/>
      <c r="AQ714" s="18" t="str">
        <f aca="false">IF(A714="","",N(AQ713)+N(AA714))</f>
        <v/>
      </c>
      <c r="AR714" s="18" t="str">
        <f aca="false">IF(AQ714="","",MAX(0,MAX($AQ$8:AQ714))-AQ714)</f>
        <v/>
      </c>
    </row>
    <row r="715" customFormat="false" ht="15" hidden="false" customHeight="fals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3"/>
      <c r="M715" s="13"/>
      <c r="N715" s="13"/>
      <c r="O715" s="14" t="str">
        <f aca="false">IF(OR(L715="",L715=0),"",(1-M715)/L715)</f>
        <v/>
      </c>
      <c r="P715" s="15"/>
      <c r="Q715" s="12"/>
      <c r="R715" s="12"/>
      <c r="S715" s="13"/>
      <c r="T715" s="16" t="str">
        <f aca="false">IF(OR(S715="",L715=""),"",L715/(1-M715)-S715)</f>
        <v/>
      </c>
      <c r="U715" s="16" t="str">
        <f aca="false">IF(OR(L715="",P715=""),"",L715*(P715-1)-N715)</f>
        <v/>
      </c>
      <c r="V715" s="13"/>
      <c r="W715" s="17"/>
      <c r="X715" s="12"/>
      <c r="Y715" s="12"/>
      <c r="Z715" s="12"/>
      <c r="AA715" s="18" t="str">
        <f aca="false">IF(K715&lt;&gt;"ВИРТУАЛЬНЫЙ ВЫБОР","",IF(Z715="✅ ЗАШЛО",W715*(P715-1),IF(Z715="❌ НЕ ЗАШЛО",-W715,IF(Z715="½ ЗАШЛО",W715*(P715-1)/2,IF(Z715="½ НЕ ЗАШЛО",-W715/2,IF(Z715="ВОЗВРАТ",0,""))))))</f>
        <v/>
      </c>
      <c r="AB715" s="18" t="str">
        <f aca="false">IF(AND(K715="ВИРТУАЛЬНЫЙ ВЫБОР",OR(Z715="✅ ЗАШЛО",Z715="❌ НЕ ЗАШЛО",Z715="½ ЗАШЛО",Z715="½ НЕ ЗАШЛО",Z715="ВОЗВРАТ")),W715,"")</f>
        <v/>
      </c>
      <c r="AC715" s="15"/>
      <c r="AD715" s="16" t="str">
        <f aca="false">IF(OR(AC715="",P715=""),"",P715/AC715-1)</f>
        <v/>
      </c>
      <c r="AE715" s="19" t="str">
        <f aca="false">IF(AND(M715=0,OR(Z715="✅ ЗАШЛО",Z715="❌ НЕ ЗАШЛО"),L715&lt;&gt;""),(L715-IF(Z715="✅ ЗАШЛО",1,0))^2,"")</f>
        <v/>
      </c>
      <c r="AF715" s="15"/>
      <c r="AG715" s="15"/>
      <c r="AH715" s="13"/>
      <c r="AI715" s="13"/>
      <c r="AJ715" s="13"/>
      <c r="AK715" s="20" t="str">
        <f aca="false">IF(AH715="","",IF(ABS(AH715+AI715+AJ715-1)&lt;0.000001,"OK","ОШИБКА"))</f>
        <v/>
      </c>
      <c r="AL715" s="13"/>
      <c r="AM715" s="12"/>
      <c r="AN715" s="12"/>
      <c r="AO715" s="12"/>
      <c r="AP715" s="12"/>
      <c r="AQ715" s="18" t="str">
        <f aca="false">IF(A715="","",N(AQ714)+N(AA715))</f>
        <v/>
      </c>
      <c r="AR715" s="18" t="str">
        <f aca="false">IF(AQ715="","",MAX(0,MAX($AQ$8:AQ715))-AQ715)</f>
        <v/>
      </c>
    </row>
    <row r="716" customFormat="false" ht="15" hidden="false" customHeight="fals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3"/>
      <c r="M716" s="13"/>
      <c r="N716" s="13"/>
      <c r="O716" s="14" t="str">
        <f aca="false">IF(OR(L716="",L716=0),"",(1-M716)/L716)</f>
        <v/>
      </c>
      <c r="P716" s="15"/>
      <c r="Q716" s="12"/>
      <c r="R716" s="12"/>
      <c r="S716" s="13"/>
      <c r="T716" s="16" t="str">
        <f aca="false">IF(OR(S716="",L716=""),"",L716/(1-M716)-S716)</f>
        <v/>
      </c>
      <c r="U716" s="16" t="str">
        <f aca="false">IF(OR(L716="",P716=""),"",L716*(P716-1)-N716)</f>
        <v/>
      </c>
      <c r="V716" s="13"/>
      <c r="W716" s="17"/>
      <c r="X716" s="12"/>
      <c r="Y716" s="12"/>
      <c r="Z716" s="12"/>
      <c r="AA716" s="18" t="str">
        <f aca="false">IF(K716&lt;&gt;"ВИРТУАЛЬНЫЙ ВЫБОР","",IF(Z716="✅ ЗАШЛО",W716*(P716-1),IF(Z716="❌ НЕ ЗАШЛО",-W716,IF(Z716="½ ЗАШЛО",W716*(P716-1)/2,IF(Z716="½ НЕ ЗАШЛО",-W716/2,IF(Z716="ВОЗВРАТ",0,""))))))</f>
        <v/>
      </c>
      <c r="AB716" s="18" t="str">
        <f aca="false">IF(AND(K716="ВИРТУАЛЬНЫЙ ВЫБОР",OR(Z716="✅ ЗАШЛО",Z716="❌ НЕ ЗАШЛО",Z716="½ ЗАШЛО",Z716="½ НЕ ЗАШЛО",Z716="ВОЗВРАТ")),W716,"")</f>
        <v/>
      </c>
      <c r="AC716" s="15"/>
      <c r="AD716" s="16" t="str">
        <f aca="false">IF(OR(AC716="",P716=""),"",P716/AC716-1)</f>
        <v/>
      </c>
      <c r="AE716" s="19" t="str">
        <f aca="false">IF(AND(M716=0,OR(Z716="✅ ЗАШЛО",Z716="❌ НЕ ЗАШЛО"),L716&lt;&gt;""),(L716-IF(Z716="✅ ЗАШЛО",1,0))^2,"")</f>
        <v/>
      </c>
      <c r="AF716" s="15"/>
      <c r="AG716" s="15"/>
      <c r="AH716" s="13"/>
      <c r="AI716" s="13"/>
      <c r="AJ716" s="13"/>
      <c r="AK716" s="20" t="str">
        <f aca="false">IF(AH716="","",IF(ABS(AH716+AI716+AJ716-1)&lt;0.000001,"OK","ОШИБКА"))</f>
        <v/>
      </c>
      <c r="AL716" s="13"/>
      <c r="AM716" s="12"/>
      <c r="AN716" s="12"/>
      <c r="AO716" s="12"/>
      <c r="AP716" s="12"/>
      <c r="AQ716" s="18" t="str">
        <f aca="false">IF(A716="","",N(AQ715)+N(AA716))</f>
        <v/>
      </c>
      <c r="AR716" s="18" t="str">
        <f aca="false">IF(AQ716="","",MAX(0,MAX($AQ$8:AQ716))-AQ716)</f>
        <v/>
      </c>
    </row>
    <row r="717" customFormat="false" ht="15" hidden="false" customHeight="fals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3"/>
      <c r="M717" s="13"/>
      <c r="N717" s="13"/>
      <c r="O717" s="14" t="str">
        <f aca="false">IF(OR(L717="",L717=0),"",(1-M717)/L717)</f>
        <v/>
      </c>
      <c r="P717" s="15"/>
      <c r="Q717" s="12"/>
      <c r="R717" s="12"/>
      <c r="S717" s="13"/>
      <c r="T717" s="16" t="str">
        <f aca="false">IF(OR(S717="",L717=""),"",L717/(1-M717)-S717)</f>
        <v/>
      </c>
      <c r="U717" s="16" t="str">
        <f aca="false">IF(OR(L717="",P717=""),"",L717*(P717-1)-N717)</f>
        <v/>
      </c>
      <c r="V717" s="13"/>
      <c r="W717" s="17"/>
      <c r="X717" s="12"/>
      <c r="Y717" s="12"/>
      <c r="Z717" s="12"/>
      <c r="AA717" s="18" t="str">
        <f aca="false">IF(K717&lt;&gt;"ВИРТУАЛЬНЫЙ ВЫБОР","",IF(Z717="✅ ЗАШЛО",W717*(P717-1),IF(Z717="❌ НЕ ЗАШЛО",-W717,IF(Z717="½ ЗАШЛО",W717*(P717-1)/2,IF(Z717="½ НЕ ЗАШЛО",-W717/2,IF(Z717="ВОЗВРАТ",0,""))))))</f>
        <v/>
      </c>
      <c r="AB717" s="18" t="str">
        <f aca="false">IF(AND(K717="ВИРТУАЛЬНЫЙ ВЫБОР",OR(Z717="✅ ЗАШЛО",Z717="❌ НЕ ЗАШЛО",Z717="½ ЗАШЛО",Z717="½ НЕ ЗАШЛО",Z717="ВОЗВРАТ")),W717,"")</f>
        <v/>
      </c>
      <c r="AC717" s="15"/>
      <c r="AD717" s="16" t="str">
        <f aca="false">IF(OR(AC717="",P717=""),"",P717/AC717-1)</f>
        <v/>
      </c>
      <c r="AE717" s="19" t="str">
        <f aca="false">IF(AND(M717=0,OR(Z717="✅ ЗАШЛО",Z717="❌ НЕ ЗАШЛО"),L717&lt;&gt;""),(L717-IF(Z717="✅ ЗАШЛО",1,0))^2,"")</f>
        <v/>
      </c>
      <c r="AF717" s="15"/>
      <c r="AG717" s="15"/>
      <c r="AH717" s="13"/>
      <c r="AI717" s="13"/>
      <c r="AJ717" s="13"/>
      <c r="AK717" s="20" t="str">
        <f aca="false">IF(AH717="","",IF(ABS(AH717+AI717+AJ717-1)&lt;0.000001,"OK","ОШИБКА"))</f>
        <v/>
      </c>
      <c r="AL717" s="13"/>
      <c r="AM717" s="12"/>
      <c r="AN717" s="12"/>
      <c r="AO717" s="12"/>
      <c r="AP717" s="12"/>
      <c r="AQ717" s="18" t="str">
        <f aca="false">IF(A717="","",N(AQ716)+N(AA717))</f>
        <v/>
      </c>
      <c r="AR717" s="18" t="str">
        <f aca="false">IF(AQ717="","",MAX(0,MAX($AQ$8:AQ717))-AQ717)</f>
        <v/>
      </c>
    </row>
    <row r="718" customFormat="false" ht="15" hidden="false" customHeight="fals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3"/>
      <c r="M718" s="13"/>
      <c r="N718" s="13"/>
      <c r="O718" s="14" t="str">
        <f aca="false">IF(OR(L718="",L718=0),"",(1-M718)/L718)</f>
        <v/>
      </c>
      <c r="P718" s="15"/>
      <c r="Q718" s="12"/>
      <c r="R718" s="12"/>
      <c r="S718" s="13"/>
      <c r="T718" s="16" t="str">
        <f aca="false">IF(OR(S718="",L718=""),"",L718/(1-M718)-S718)</f>
        <v/>
      </c>
      <c r="U718" s="16" t="str">
        <f aca="false">IF(OR(L718="",P718=""),"",L718*(P718-1)-N718)</f>
        <v/>
      </c>
      <c r="V718" s="13"/>
      <c r="W718" s="17"/>
      <c r="X718" s="12"/>
      <c r="Y718" s="12"/>
      <c r="Z718" s="12"/>
      <c r="AA718" s="18" t="str">
        <f aca="false">IF(K718&lt;&gt;"ВИРТУАЛЬНЫЙ ВЫБОР","",IF(Z718="✅ ЗАШЛО",W718*(P718-1),IF(Z718="❌ НЕ ЗАШЛО",-W718,IF(Z718="½ ЗАШЛО",W718*(P718-1)/2,IF(Z718="½ НЕ ЗАШЛО",-W718/2,IF(Z718="ВОЗВРАТ",0,""))))))</f>
        <v/>
      </c>
      <c r="AB718" s="18" t="str">
        <f aca="false">IF(AND(K718="ВИРТУАЛЬНЫЙ ВЫБОР",OR(Z718="✅ ЗАШЛО",Z718="❌ НЕ ЗАШЛО",Z718="½ ЗАШЛО",Z718="½ НЕ ЗАШЛО",Z718="ВОЗВРАТ")),W718,"")</f>
        <v/>
      </c>
      <c r="AC718" s="15"/>
      <c r="AD718" s="16" t="str">
        <f aca="false">IF(OR(AC718="",P718=""),"",P718/AC718-1)</f>
        <v/>
      </c>
      <c r="AE718" s="19" t="str">
        <f aca="false">IF(AND(M718=0,OR(Z718="✅ ЗАШЛО",Z718="❌ НЕ ЗАШЛО"),L718&lt;&gt;""),(L718-IF(Z718="✅ ЗАШЛО",1,0))^2,"")</f>
        <v/>
      </c>
      <c r="AF718" s="15"/>
      <c r="AG718" s="15"/>
      <c r="AH718" s="13"/>
      <c r="AI718" s="13"/>
      <c r="AJ718" s="13"/>
      <c r="AK718" s="20" t="str">
        <f aca="false">IF(AH718="","",IF(ABS(AH718+AI718+AJ718-1)&lt;0.000001,"OK","ОШИБКА"))</f>
        <v/>
      </c>
      <c r="AL718" s="13"/>
      <c r="AM718" s="12"/>
      <c r="AN718" s="12"/>
      <c r="AO718" s="12"/>
      <c r="AP718" s="12"/>
      <c r="AQ718" s="18" t="str">
        <f aca="false">IF(A718="","",N(AQ717)+N(AA718))</f>
        <v/>
      </c>
      <c r="AR718" s="18" t="str">
        <f aca="false">IF(AQ718="","",MAX(0,MAX($AQ$8:AQ718))-AQ718)</f>
        <v/>
      </c>
    </row>
    <row r="719" customFormat="false" ht="15" hidden="false" customHeight="fals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3"/>
      <c r="M719" s="13"/>
      <c r="N719" s="13"/>
      <c r="O719" s="14" t="str">
        <f aca="false">IF(OR(L719="",L719=0),"",(1-M719)/L719)</f>
        <v/>
      </c>
      <c r="P719" s="15"/>
      <c r="Q719" s="12"/>
      <c r="R719" s="12"/>
      <c r="S719" s="13"/>
      <c r="T719" s="16" t="str">
        <f aca="false">IF(OR(S719="",L719=""),"",L719/(1-M719)-S719)</f>
        <v/>
      </c>
      <c r="U719" s="16" t="str">
        <f aca="false">IF(OR(L719="",P719=""),"",L719*(P719-1)-N719)</f>
        <v/>
      </c>
      <c r="V719" s="13"/>
      <c r="W719" s="17"/>
      <c r="X719" s="12"/>
      <c r="Y719" s="12"/>
      <c r="Z719" s="12"/>
      <c r="AA719" s="18" t="str">
        <f aca="false">IF(K719&lt;&gt;"ВИРТУАЛЬНЫЙ ВЫБОР","",IF(Z719="✅ ЗАШЛО",W719*(P719-1),IF(Z719="❌ НЕ ЗАШЛО",-W719,IF(Z719="½ ЗАШЛО",W719*(P719-1)/2,IF(Z719="½ НЕ ЗАШЛО",-W719/2,IF(Z719="ВОЗВРАТ",0,""))))))</f>
        <v/>
      </c>
      <c r="AB719" s="18" t="str">
        <f aca="false">IF(AND(K719="ВИРТУАЛЬНЫЙ ВЫБОР",OR(Z719="✅ ЗАШЛО",Z719="❌ НЕ ЗАШЛО",Z719="½ ЗАШЛО",Z719="½ НЕ ЗАШЛО",Z719="ВОЗВРАТ")),W719,"")</f>
        <v/>
      </c>
      <c r="AC719" s="15"/>
      <c r="AD719" s="16" t="str">
        <f aca="false">IF(OR(AC719="",P719=""),"",P719/AC719-1)</f>
        <v/>
      </c>
      <c r="AE719" s="19" t="str">
        <f aca="false">IF(AND(M719=0,OR(Z719="✅ ЗАШЛО",Z719="❌ НЕ ЗАШЛО"),L719&lt;&gt;""),(L719-IF(Z719="✅ ЗАШЛО",1,0))^2,"")</f>
        <v/>
      </c>
      <c r="AF719" s="15"/>
      <c r="AG719" s="15"/>
      <c r="AH719" s="13"/>
      <c r="AI719" s="13"/>
      <c r="AJ719" s="13"/>
      <c r="AK719" s="20" t="str">
        <f aca="false">IF(AH719="","",IF(ABS(AH719+AI719+AJ719-1)&lt;0.000001,"OK","ОШИБКА"))</f>
        <v/>
      </c>
      <c r="AL719" s="13"/>
      <c r="AM719" s="12"/>
      <c r="AN719" s="12"/>
      <c r="AO719" s="12"/>
      <c r="AP719" s="12"/>
      <c r="AQ719" s="18" t="str">
        <f aca="false">IF(A719="","",N(AQ718)+N(AA719))</f>
        <v/>
      </c>
      <c r="AR719" s="18" t="str">
        <f aca="false">IF(AQ719="","",MAX(0,MAX($AQ$8:AQ719))-AQ719)</f>
        <v/>
      </c>
    </row>
    <row r="720" customFormat="false" ht="15" hidden="false" customHeight="fals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3"/>
      <c r="M720" s="13"/>
      <c r="N720" s="13"/>
      <c r="O720" s="14" t="str">
        <f aca="false">IF(OR(L720="",L720=0),"",(1-M720)/L720)</f>
        <v/>
      </c>
      <c r="P720" s="15"/>
      <c r="Q720" s="12"/>
      <c r="R720" s="12"/>
      <c r="S720" s="13"/>
      <c r="T720" s="16" t="str">
        <f aca="false">IF(OR(S720="",L720=""),"",L720/(1-M720)-S720)</f>
        <v/>
      </c>
      <c r="U720" s="16" t="str">
        <f aca="false">IF(OR(L720="",P720=""),"",L720*(P720-1)-N720)</f>
        <v/>
      </c>
      <c r="V720" s="13"/>
      <c r="W720" s="17"/>
      <c r="X720" s="12"/>
      <c r="Y720" s="12"/>
      <c r="Z720" s="12"/>
      <c r="AA720" s="18" t="str">
        <f aca="false">IF(K720&lt;&gt;"ВИРТУАЛЬНЫЙ ВЫБОР","",IF(Z720="✅ ЗАШЛО",W720*(P720-1),IF(Z720="❌ НЕ ЗАШЛО",-W720,IF(Z720="½ ЗАШЛО",W720*(P720-1)/2,IF(Z720="½ НЕ ЗАШЛО",-W720/2,IF(Z720="ВОЗВРАТ",0,""))))))</f>
        <v/>
      </c>
      <c r="AB720" s="18" t="str">
        <f aca="false">IF(AND(K720="ВИРТУАЛЬНЫЙ ВЫБОР",OR(Z720="✅ ЗАШЛО",Z720="❌ НЕ ЗАШЛО",Z720="½ ЗАШЛО",Z720="½ НЕ ЗАШЛО",Z720="ВОЗВРАТ")),W720,"")</f>
        <v/>
      </c>
      <c r="AC720" s="15"/>
      <c r="AD720" s="16" t="str">
        <f aca="false">IF(OR(AC720="",P720=""),"",P720/AC720-1)</f>
        <v/>
      </c>
      <c r="AE720" s="19" t="str">
        <f aca="false">IF(AND(M720=0,OR(Z720="✅ ЗАШЛО",Z720="❌ НЕ ЗАШЛО"),L720&lt;&gt;""),(L720-IF(Z720="✅ ЗАШЛО",1,0))^2,"")</f>
        <v/>
      </c>
      <c r="AF720" s="15"/>
      <c r="AG720" s="15"/>
      <c r="AH720" s="13"/>
      <c r="AI720" s="13"/>
      <c r="AJ720" s="13"/>
      <c r="AK720" s="20" t="str">
        <f aca="false">IF(AH720="","",IF(ABS(AH720+AI720+AJ720-1)&lt;0.000001,"OK","ОШИБКА"))</f>
        <v/>
      </c>
      <c r="AL720" s="13"/>
      <c r="AM720" s="12"/>
      <c r="AN720" s="12"/>
      <c r="AO720" s="12"/>
      <c r="AP720" s="12"/>
      <c r="AQ720" s="18" t="str">
        <f aca="false">IF(A720="","",N(AQ719)+N(AA720))</f>
        <v/>
      </c>
      <c r="AR720" s="18" t="str">
        <f aca="false">IF(AQ720="","",MAX(0,MAX($AQ$8:AQ720))-AQ720)</f>
        <v/>
      </c>
    </row>
    <row r="721" customFormat="false" ht="15" hidden="false" customHeight="fals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3"/>
      <c r="M721" s="13"/>
      <c r="N721" s="13"/>
      <c r="O721" s="14" t="str">
        <f aca="false">IF(OR(L721="",L721=0),"",(1-M721)/L721)</f>
        <v/>
      </c>
      <c r="P721" s="15"/>
      <c r="Q721" s="12"/>
      <c r="R721" s="12"/>
      <c r="S721" s="13"/>
      <c r="T721" s="16" t="str">
        <f aca="false">IF(OR(S721="",L721=""),"",L721/(1-M721)-S721)</f>
        <v/>
      </c>
      <c r="U721" s="16" t="str">
        <f aca="false">IF(OR(L721="",P721=""),"",L721*(P721-1)-N721)</f>
        <v/>
      </c>
      <c r="V721" s="13"/>
      <c r="W721" s="17"/>
      <c r="X721" s="12"/>
      <c r="Y721" s="12"/>
      <c r="Z721" s="12"/>
      <c r="AA721" s="18" t="str">
        <f aca="false">IF(K721&lt;&gt;"ВИРТУАЛЬНЫЙ ВЫБОР","",IF(Z721="✅ ЗАШЛО",W721*(P721-1),IF(Z721="❌ НЕ ЗАШЛО",-W721,IF(Z721="½ ЗАШЛО",W721*(P721-1)/2,IF(Z721="½ НЕ ЗАШЛО",-W721/2,IF(Z721="ВОЗВРАТ",0,""))))))</f>
        <v/>
      </c>
      <c r="AB721" s="18" t="str">
        <f aca="false">IF(AND(K721="ВИРТУАЛЬНЫЙ ВЫБОР",OR(Z721="✅ ЗАШЛО",Z721="❌ НЕ ЗАШЛО",Z721="½ ЗАШЛО",Z721="½ НЕ ЗАШЛО",Z721="ВОЗВРАТ")),W721,"")</f>
        <v/>
      </c>
      <c r="AC721" s="15"/>
      <c r="AD721" s="16" t="str">
        <f aca="false">IF(OR(AC721="",P721=""),"",P721/AC721-1)</f>
        <v/>
      </c>
      <c r="AE721" s="19" t="str">
        <f aca="false">IF(AND(M721=0,OR(Z721="✅ ЗАШЛО",Z721="❌ НЕ ЗАШЛО"),L721&lt;&gt;""),(L721-IF(Z721="✅ ЗАШЛО",1,0))^2,"")</f>
        <v/>
      </c>
      <c r="AF721" s="15"/>
      <c r="AG721" s="15"/>
      <c r="AH721" s="13"/>
      <c r="AI721" s="13"/>
      <c r="AJ721" s="13"/>
      <c r="AK721" s="20" t="str">
        <f aca="false">IF(AH721="","",IF(ABS(AH721+AI721+AJ721-1)&lt;0.000001,"OK","ОШИБКА"))</f>
        <v/>
      </c>
      <c r="AL721" s="13"/>
      <c r="AM721" s="12"/>
      <c r="AN721" s="12"/>
      <c r="AO721" s="12"/>
      <c r="AP721" s="12"/>
      <c r="AQ721" s="18" t="str">
        <f aca="false">IF(A721="","",N(AQ720)+N(AA721))</f>
        <v/>
      </c>
      <c r="AR721" s="18" t="str">
        <f aca="false">IF(AQ721="","",MAX(0,MAX($AQ$8:AQ721))-AQ721)</f>
        <v/>
      </c>
    </row>
    <row r="722" customFormat="false" ht="15" hidden="false" customHeight="fals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3"/>
      <c r="M722" s="13"/>
      <c r="N722" s="13"/>
      <c r="O722" s="14" t="str">
        <f aca="false">IF(OR(L722="",L722=0),"",(1-M722)/L722)</f>
        <v/>
      </c>
      <c r="P722" s="15"/>
      <c r="Q722" s="12"/>
      <c r="R722" s="12"/>
      <c r="S722" s="13"/>
      <c r="T722" s="16" t="str">
        <f aca="false">IF(OR(S722="",L722=""),"",L722/(1-M722)-S722)</f>
        <v/>
      </c>
      <c r="U722" s="16" t="str">
        <f aca="false">IF(OR(L722="",P722=""),"",L722*(P722-1)-N722)</f>
        <v/>
      </c>
      <c r="V722" s="13"/>
      <c r="W722" s="17"/>
      <c r="X722" s="12"/>
      <c r="Y722" s="12"/>
      <c r="Z722" s="12"/>
      <c r="AA722" s="18" t="str">
        <f aca="false">IF(K722&lt;&gt;"ВИРТУАЛЬНЫЙ ВЫБОР","",IF(Z722="✅ ЗАШЛО",W722*(P722-1),IF(Z722="❌ НЕ ЗАШЛО",-W722,IF(Z722="½ ЗАШЛО",W722*(P722-1)/2,IF(Z722="½ НЕ ЗАШЛО",-W722/2,IF(Z722="ВОЗВРАТ",0,""))))))</f>
        <v/>
      </c>
      <c r="AB722" s="18" t="str">
        <f aca="false">IF(AND(K722="ВИРТУАЛЬНЫЙ ВЫБОР",OR(Z722="✅ ЗАШЛО",Z722="❌ НЕ ЗАШЛО",Z722="½ ЗАШЛО",Z722="½ НЕ ЗАШЛО",Z722="ВОЗВРАТ")),W722,"")</f>
        <v/>
      </c>
      <c r="AC722" s="15"/>
      <c r="AD722" s="16" t="str">
        <f aca="false">IF(OR(AC722="",P722=""),"",P722/AC722-1)</f>
        <v/>
      </c>
      <c r="AE722" s="19" t="str">
        <f aca="false">IF(AND(M722=0,OR(Z722="✅ ЗАШЛО",Z722="❌ НЕ ЗАШЛО"),L722&lt;&gt;""),(L722-IF(Z722="✅ ЗАШЛО",1,0))^2,"")</f>
        <v/>
      </c>
      <c r="AF722" s="15"/>
      <c r="AG722" s="15"/>
      <c r="AH722" s="13"/>
      <c r="AI722" s="13"/>
      <c r="AJ722" s="13"/>
      <c r="AK722" s="20" t="str">
        <f aca="false">IF(AH722="","",IF(ABS(AH722+AI722+AJ722-1)&lt;0.000001,"OK","ОШИБКА"))</f>
        <v/>
      </c>
      <c r="AL722" s="13"/>
      <c r="AM722" s="12"/>
      <c r="AN722" s="12"/>
      <c r="AO722" s="12"/>
      <c r="AP722" s="12"/>
      <c r="AQ722" s="18" t="str">
        <f aca="false">IF(A722="","",N(AQ721)+N(AA722))</f>
        <v/>
      </c>
      <c r="AR722" s="18" t="str">
        <f aca="false">IF(AQ722="","",MAX(0,MAX($AQ$8:AQ722))-AQ722)</f>
        <v/>
      </c>
    </row>
    <row r="723" customFormat="false" ht="15" hidden="false" customHeight="fals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3"/>
      <c r="M723" s="13"/>
      <c r="N723" s="13"/>
      <c r="O723" s="14" t="str">
        <f aca="false">IF(OR(L723="",L723=0),"",(1-M723)/L723)</f>
        <v/>
      </c>
      <c r="P723" s="15"/>
      <c r="Q723" s="12"/>
      <c r="R723" s="12"/>
      <c r="S723" s="13"/>
      <c r="T723" s="16" t="str">
        <f aca="false">IF(OR(S723="",L723=""),"",L723/(1-M723)-S723)</f>
        <v/>
      </c>
      <c r="U723" s="16" t="str">
        <f aca="false">IF(OR(L723="",P723=""),"",L723*(P723-1)-N723)</f>
        <v/>
      </c>
      <c r="V723" s="13"/>
      <c r="W723" s="17"/>
      <c r="X723" s="12"/>
      <c r="Y723" s="12"/>
      <c r="Z723" s="12"/>
      <c r="AA723" s="18" t="str">
        <f aca="false">IF(K723&lt;&gt;"ВИРТУАЛЬНЫЙ ВЫБОР","",IF(Z723="✅ ЗАШЛО",W723*(P723-1),IF(Z723="❌ НЕ ЗАШЛО",-W723,IF(Z723="½ ЗАШЛО",W723*(P723-1)/2,IF(Z723="½ НЕ ЗАШЛО",-W723/2,IF(Z723="ВОЗВРАТ",0,""))))))</f>
        <v/>
      </c>
      <c r="AB723" s="18" t="str">
        <f aca="false">IF(AND(K723="ВИРТУАЛЬНЫЙ ВЫБОР",OR(Z723="✅ ЗАШЛО",Z723="❌ НЕ ЗАШЛО",Z723="½ ЗАШЛО",Z723="½ НЕ ЗАШЛО",Z723="ВОЗВРАТ")),W723,"")</f>
        <v/>
      </c>
      <c r="AC723" s="15"/>
      <c r="AD723" s="16" t="str">
        <f aca="false">IF(OR(AC723="",P723=""),"",P723/AC723-1)</f>
        <v/>
      </c>
      <c r="AE723" s="19" t="str">
        <f aca="false">IF(AND(M723=0,OR(Z723="✅ ЗАШЛО",Z723="❌ НЕ ЗАШЛО"),L723&lt;&gt;""),(L723-IF(Z723="✅ ЗАШЛО",1,0))^2,"")</f>
        <v/>
      </c>
      <c r="AF723" s="15"/>
      <c r="AG723" s="15"/>
      <c r="AH723" s="13"/>
      <c r="AI723" s="13"/>
      <c r="AJ723" s="13"/>
      <c r="AK723" s="20" t="str">
        <f aca="false">IF(AH723="","",IF(ABS(AH723+AI723+AJ723-1)&lt;0.000001,"OK","ОШИБКА"))</f>
        <v/>
      </c>
      <c r="AL723" s="13"/>
      <c r="AM723" s="12"/>
      <c r="AN723" s="12"/>
      <c r="AO723" s="12"/>
      <c r="AP723" s="12"/>
      <c r="AQ723" s="18" t="str">
        <f aca="false">IF(A723="","",N(AQ722)+N(AA723))</f>
        <v/>
      </c>
      <c r="AR723" s="18" t="str">
        <f aca="false">IF(AQ723="","",MAX(0,MAX($AQ$8:AQ723))-AQ723)</f>
        <v/>
      </c>
    </row>
    <row r="724" customFormat="false" ht="15" hidden="false" customHeight="fals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3"/>
      <c r="M724" s="13"/>
      <c r="N724" s="13"/>
      <c r="O724" s="14" t="str">
        <f aca="false">IF(OR(L724="",L724=0),"",(1-M724)/L724)</f>
        <v/>
      </c>
      <c r="P724" s="15"/>
      <c r="Q724" s="12"/>
      <c r="R724" s="12"/>
      <c r="S724" s="13"/>
      <c r="T724" s="16" t="str">
        <f aca="false">IF(OR(S724="",L724=""),"",L724/(1-M724)-S724)</f>
        <v/>
      </c>
      <c r="U724" s="16" t="str">
        <f aca="false">IF(OR(L724="",P724=""),"",L724*(P724-1)-N724)</f>
        <v/>
      </c>
      <c r="V724" s="13"/>
      <c r="W724" s="17"/>
      <c r="X724" s="12"/>
      <c r="Y724" s="12"/>
      <c r="Z724" s="12"/>
      <c r="AA724" s="18" t="str">
        <f aca="false">IF(K724&lt;&gt;"ВИРТУАЛЬНЫЙ ВЫБОР","",IF(Z724="✅ ЗАШЛО",W724*(P724-1),IF(Z724="❌ НЕ ЗАШЛО",-W724,IF(Z724="½ ЗАШЛО",W724*(P724-1)/2,IF(Z724="½ НЕ ЗАШЛО",-W724/2,IF(Z724="ВОЗВРАТ",0,""))))))</f>
        <v/>
      </c>
      <c r="AB724" s="18" t="str">
        <f aca="false">IF(AND(K724="ВИРТУАЛЬНЫЙ ВЫБОР",OR(Z724="✅ ЗАШЛО",Z724="❌ НЕ ЗАШЛО",Z724="½ ЗАШЛО",Z724="½ НЕ ЗАШЛО",Z724="ВОЗВРАТ")),W724,"")</f>
        <v/>
      </c>
      <c r="AC724" s="15"/>
      <c r="AD724" s="16" t="str">
        <f aca="false">IF(OR(AC724="",P724=""),"",P724/AC724-1)</f>
        <v/>
      </c>
      <c r="AE724" s="19" t="str">
        <f aca="false">IF(AND(M724=0,OR(Z724="✅ ЗАШЛО",Z724="❌ НЕ ЗАШЛО"),L724&lt;&gt;""),(L724-IF(Z724="✅ ЗАШЛО",1,0))^2,"")</f>
        <v/>
      </c>
      <c r="AF724" s="15"/>
      <c r="AG724" s="15"/>
      <c r="AH724" s="13"/>
      <c r="AI724" s="13"/>
      <c r="AJ724" s="13"/>
      <c r="AK724" s="20" t="str">
        <f aca="false">IF(AH724="","",IF(ABS(AH724+AI724+AJ724-1)&lt;0.000001,"OK","ОШИБКА"))</f>
        <v/>
      </c>
      <c r="AL724" s="13"/>
      <c r="AM724" s="12"/>
      <c r="AN724" s="12"/>
      <c r="AO724" s="12"/>
      <c r="AP724" s="12"/>
      <c r="AQ724" s="18" t="str">
        <f aca="false">IF(A724="","",N(AQ723)+N(AA724))</f>
        <v/>
      </c>
      <c r="AR724" s="18" t="str">
        <f aca="false">IF(AQ724="","",MAX(0,MAX($AQ$8:AQ724))-AQ724)</f>
        <v/>
      </c>
    </row>
    <row r="725" customFormat="false" ht="15" hidden="false" customHeight="fals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3"/>
      <c r="M725" s="13"/>
      <c r="N725" s="13"/>
      <c r="O725" s="14" t="str">
        <f aca="false">IF(OR(L725="",L725=0),"",(1-M725)/L725)</f>
        <v/>
      </c>
      <c r="P725" s="15"/>
      <c r="Q725" s="12"/>
      <c r="R725" s="12"/>
      <c r="S725" s="13"/>
      <c r="T725" s="16" t="str">
        <f aca="false">IF(OR(S725="",L725=""),"",L725/(1-M725)-S725)</f>
        <v/>
      </c>
      <c r="U725" s="16" t="str">
        <f aca="false">IF(OR(L725="",P725=""),"",L725*(P725-1)-N725)</f>
        <v/>
      </c>
      <c r="V725" s="13"/>
      <c r="W725" s="17"/>
      <c r="X725" s="12"/>
      <c r="Y725" s="12"/>
      <c r="Z725" s="12"/>
      <c r="AA725" s="18" t="str">
        <f aca="false">IF(K725&lt;&gt;"ВИРТУАЛЬНЫЙ ВЫБОР","",IF(Z725="✅ ЗАШЛО",W725*(P725-1),IF(Z725="❌ НЕ ЗАШЛО",-W725,IF(Z725="½ ЗАШЛО",W725*(P725-1)/2,IF(Z725="½ НЕ ЗАШЛО",-W725/2,IF(Z725="ВОЗВРАТ",0,""))))))</f>
        <v/>
      </c>
      <c r="AB725" s="18" t="str">
        <f aca="false">IF(AND(K725="ВИРТУАЛЬНЫЙ ВЫБОР",OR(Z725="✅ ЗАШЛО",Z725="❌ НЕ ЗАШЛО",Z725="½ ЗАШЛО",Z725="½ НЕ ЗАШЛО",Z725="ВОЗВРАТ")),W725,"")</f>
        <v/>
      </c>
      <c r="AC725" s="15"/>
      <c r="AD725" s="16" t="str">
        <f aca="false">IF(OR(AC725="",P725=""),"",P725/AC725-1)</f>
        <v/>
      </c>
      <c r="AE725" s="19" t="str">
        <f aca="false">IF(AND(M725=0,OR(Z725="✅ ЗАШЛО",Z725="❌ НЕ ЗАШЛО"),L725&lt;&gt;""),(L725-IF(Z725="✅ ЗАШЛО",1,0))^2,"")</f>
        <v/>
      </c>
      <c r="AF725" s="15"/>
      <c r="AG725" s="15"/>
      <c r="AH725" s="13"/>
      <c r="AI725" s="13"/>
      <c r="AJ725" s="13"/>
      <c r="AK725" s="20" t="str">
        <f aca="false">IF(AH725="","",IF(ABS(AH725+AI725+AJ725-1)&lt;0.000001,"OK","ОШИБКА"))</f>
        <v/>
      </c>
      <c r="AL725" s="13"/>
      <c r="AM725" s="12"/>
      <c r="AN725" s="12"/>
      <c r="AO725" s="12"/>
      <c r="AP725" s="12"/>
      <c r="AQ725" s="18" t="str">
        <f aca="false">IF(A725="","",N(AQ724)+N(AA725))</f>
        <v/>
      </c>
      <c r="AR725" s="18" t="str">
        <f aca="false">IF(AQ725="","",MAX(0,MAX($AQ$8:AQ725))-AQ725)</f>
        <v/>
      </c>
    </row>
    <row r="726" customFormat="false" ht="15" hidden="false" customHeight="fals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3"/>
      <c r="M726" s="13"/>
      <c r="N726" s="13"/>
      <c r="O726" s="14" t="str">
        <f aca="false">IF(OR(L726="",L726=0),"",(1-M726)/L726)</f>
        <v/>
      </c>
      <c r="P726" s="15"/>
      <c r="Q726" s="12"/>
      <c r="R726" s="12"/>
      <c r="S726" s="13"/>
      <c r="T726" s="16" t="str">
        <f aca="false">IF(OR(S726="",L726=""),"",L726/(1-M726)-S726)</f>
        <v/>
      </c>
      <c r="U726" s="16" t="str">
        <f aca="false">IF(OR(L726="",P726=""),"",L726*(P726-1)-N726)</f>
        <v/>
      </c>
      <c r="V726" s="13"/>
      <c r="W726" s="17"/>
      <c r="X726" s="12"/>
      <c r="Y726" s="12"/>
      <c r="Z726" s="12"/>
      <c r="AA726" s="18" t="str">
        <f aca="false">IF(K726&lt;&gt;"ВИРТУАЛЬНЫЙ ВЫБОР","",IF(Z726="✅ ЗАШЛО",W726*(P726-1),IF(Z726="❌ НЕ ЗАШЛО",-W726,IF(Z726="½ ЗАШЛО",W726*(P726-1)/2,IF(Z726="½ НЕ ЗАШЛО",-W726/2,IF(Z726="ВОЗВРАТ",0,""))))))</f>
        <v/>
      </c>
      <c r="AB726" s="18" t="str">
        <f aca="false">IF(AND(K726="ВИРТУАЛЬНЫЙ ВЫБОР",OR(Z726="✅ ЗАШЛО",Z726="❌ НЕ ЗАШЛО",Z726="½ ЗАШЛО",Z726="½ НЕ ЗАШЛО",Z726="ВОЗВРАТ")),W726,"")</f>
        <v/>
      </c>
      <c r="AC726" s="15"/>
      <c r="AD726" s="16" t="str">
        <f aca="false">IF(OR(AC726="",P726=""),"",P726/AC726-1)</f>
        <v/>
      </c>
      <c r="AE726" s="19" t="str">
        <f aca="false">IF(AND(M726=0,OR(Z726="✅ ЗАШЛО",Z726="❌ НЕ ЗАШЛО"),L726&lt;&gt;""),(L726-IF(Z726="✅ ЗАШЛО",1,0))^2,"")</f>
        <v/>
      </c>
      <c r="AF726" s="15"/>
      <c r="AG726" s="15"/>
      <c r="AH726" s="13"/>
      <c r="AI726" s="13"/>
      <c r="AJ726" s="13"/>
      <c r="AK726" s="20" t="str">
        <f aca="false">IF(AH726="","",IF(ABS(AH726+AI726+AJ726-1)&lt;0.000001,"OK","ОШИБКА"))</f>
        <v/>
      </c>
      <c r="AL726" s="13"/>
      <c r="AM726" s="12"/>
      <c r="AN726" s="12"/>
      <c r="AO726" s="12"/>
      <c r="AP726" s="12"/>
      <c r="AQ726" s="18" t="str">
        <f aca="false">IF(A726="","",N(AQ725)+N(AA726))</f>
        <v/>
      </c>
      <c r="AR726" s="18" t="str">
        <f aca="false">IF(AQ726="","",MAX(0,MAX($AQ$8:AQ726))-AQ726)</f>
        <v/>
      </c>
    </row>
    <row r="727" customFormat="false" ht="15" hidden="false" customHeight="fals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3"/>
      <c r="M727" s="13"/>
      <c r="N727" s="13"/>
      <c r="O727" s="14" t="str">
        <f aca="false">IF(OR(L727="",L727=0),"",(1-M727)/L727)</f>
        <v/>
      </c>
      <c r="P727" s="15"/>
      <c r="Q727" s="12"/>
      <c r="R727" s="12"/>
      <c r="S727" s="13"/>
      <c r="T727" s="16" t="str">
        <f aca="false">IF(OR(S727="",L727=""),"",L727/(1-M727)-S727)</f>
        <v/>
      </c>
      <c r="U727" s="16" t="str">
        <f aca="false">IF(OR(L727="",P727=""),"",L727*(P727-1)-N727)</f>
        <v/>
      </c>
      <c r="V727" s="13"/>
      <c r="W727" s="17"/>
      <c r="X727" s="12"/>
      <c r="Y727" s="12"/>
      <c r="Z727" s="12"/>
      <c r="AA727" s="18" t="str">
        <f aca="false">IF(K727&lt;&gt;"ВИРТУАЛЬНЫЙ ВЫБОР","",IF(Z727="✅ ЗАШЛО",W727*(P727-1),IF(Z727="❌ НЕ ЗАШЛО",-W727,IF(Z727="½ ЗАШЛО",W727*(P727-1)/2,IF(Z727="½ НЕ ЗАШЛО",-W727/2,IF(Z727="ВОЗВРАТ",0,""))))))</f>
        <v/>
      </c>
      <c r="AB727" s="18" t="str">
        <f aca="false">IF(AND(K727="ВИРТУАЛЬНЫЙ ВЫБОР",OR(Z727="✅ ЗАШЛО",Z727="❌ НЕ ЗАШЛО",Z727="½ ЗАШЛО",Z727="½ НЕ ЗАШЛО",Z727="ВОЗВРАТ")),W727,"")</f>
        <v/>
      </c>
      <c r="AC727" s="15"/>
      <c r="AD727" s="16" t="str">
        <f aca="false">IF(OR(AC727="",P727=""),"",P727/AC727-1)</f>
        <v/>
      </c>
      <c r="AE727" s="19" t="str">
        <f aca="false">IF(AND(M727=0,OR(Z727="✅ ЗАШЛО",Z727="❌ НЕ ЗАШЛО"),L727&lt;&gt;""),(L727-IF(Z727="✅ ЗАШЛО",1,0))^2,"")</f>
        <v/>
      </c>
      <c r="AF727" s="15"/>
      <c r="AG727" s="15"/>
      <c r="AH727" s="13"/>
      <c r="AI727" s="13"/>
      <c r="AJ727" s="13"/>
      <c r="AK727" s="20" t="str">
        <f aca="false">IF(AH727="","",IF(ABS(AH727+AI727+AJ727-1)&lt;0.000001,"OK","ОШИБКА"))</f>
        <v/>
      </c>
      <c r="AL727" s="13"/>
      <c r="AM727" s="12"/>
      <c r="AN727" s="12"/>
      <c r="AO727" s="12"/>
      <c r="AP727" s="12"/>
      <c r="AQ727" s="18" t="str">
        <f aca="false">IF(A727="","",N(AQ726)+N(AA727))</f>
        <v/>
      </c>
      <c r="AR727" s="18" t="str">
        <f aca="false">IF(AQ727="","",MAX(0,MAX($AQ$8:AQ727))-AQ727)</f>
        <v/>
      </c>
    </row>
    <row r="728" customFormat="false" ht="15" hidden="false" customHeight="fals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3"/>
      <c r="M728" s="13"/>
      <c r="N728" s="13"/>
      <c r="O728" s="14" t="str">
        <f aca="false">IF(OR(L728="",L728=0),"",(1-M728)/L728)</f>
        <v/>
      </c>
      <c r="P728" s="15"/>
      <c r="Q728" s="12"/>
      <c r="R728" s="12"/>
      <c r="S728" s="13"/>
      <c r="T728" s="16" t="str">
        <f aca="false">IF(OR(S728="",L728=""),"",L728/(1-M728)-S728)</f>
        <v/>
      </c>
      <c r="U728" s="16" t="str">
        <f aca="false">IF(OR(L728="",P728=""),"",L728*(P728-1)-N728)</f>
        <v/>
      </c>
      <c r="V728" s="13"/>
      <c r="W728" s="17"/>
      <c r="X728" s="12"/>
      <c r="Y728" s="12"/>
      <c r="Z728" s="12"/>
      <c r="AA728" s="18" t="str">
        <f aca="false">IF(K728&lt;&gt;"ВИРТУАЛЬНЫЙ ВЫБОР","",IF(Z728="✅ ЗАШЛО",W728*(P728-1),IF(Z728="❌ НЕ ЗАШЛО",-W728,IF(Z728="½ ЗАШЛО",W728*(P728-1)/2,IF(Z728="½ НЕ ЗАШЛО",-W728/2,IF(Z728="ВОЗВРАТ",0,""))))))</f>
        <v/>
      </c>
      <c r="AB728" s="18" t="str">
        <f aca="false">IF(AND(K728="ВИРТУАЛЬНЫЙ ВЫБОР",OR(Z728="✅ ЗАШЛО",Z728="❌ НЕ ЗАШЛО",Z728="½ ЗАШЛО",Z728="½ НЕ ЗАШЛО",Z728="ВОЗВРАТ")),W728,"")</f>
        <v/>
      </c>
      <c r="AC728" s="15"/>
      <c r="AD728" s="16" t="str">
        <f aca="false">IF(OR(AC728="",P728=""),"",P728/AC728-1)</f>
        <v/>
      </c>
      <c r="AE728" s="19" t="str">
        <f aca="false">IF(AND(M728=0,OR(Z728="✅ ЗАШЛО",Z728="❌ НЕ ЗАШЛО"),L728&lt;&gt;""),(L728-IF(Z728="✅ ЗАШЛО",1,0))^2,"")</f>
        <v/>
      </c>
      <c r="AF728" s="15"/>
      <c r="AG728" s="15"/>
      <c r="AH728" s="13"/>
      <c r="AI728" s="13"/>
      <c r="AJ728" s="13"/>
      <c r="AK728" s="20" t="str">
        <f aca="false">IF(AH728="","",IF(ABS(AH728+AI728+AJ728-1)&lt;0.000001,"OK","ОШИБКА"))</f>
        <v/>
      </c>
      <c r="AL728" s="13"/>
      <c r="AM728" s="12"/>
      <c r="AN728" s="12"/>
      <c r="AO728" s="12"/>
      <c r="AP728" s="12"/>
      <c r="AQ728" s="18" t="str">
        <f aca="false">IF(A728="","",N(AQ727)+N(AA728))</f>
        <v/>
      </c>
      <c r="AR728" s="18" t="str">
        <f aca="false">IF(AQ728="","",MAX(0,MAX($AQ$8:AQ728))-AQ728)</f>
        <v/>
      </c>
    </row>
    <row r="729" customFormat="false" ht="15" hidden="false" customHeight="fals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3"/>
      <c r="M729" s="13"/>
      <c r="N729" s="13"/>
      <c r="O729" s="14" t="str">
        <f aca="false">IF(OR(L729="",L729=0),"",(1-M729)/L729)</f>
        <v/>
      </c>
      <c r="P729" s="15"/>
      <c r="Q729" s="12"/>
      <c r="R729" s="12"/>
      <c r="S729" s="13"/>
      <c r="T729" s="16" t="str">
        <f aca="false">IF(OR(S729="",L729=""),"",L729/(1-M729)-S729)</f>
        <v/>
      </c>
      <c r="U729" s="16" t="str">
        <f aca="false">IF(OR(L729="",P729=""),"",L729*(P729-1)-N729)</f>
        <v/>
      </c>
      <c r="V729" s="13"/>
      <c r="W729" s="17"/>
      <c r="X729" s="12"/>
      <c r="Y729" s="12"/>
      <c r="Z729" s="12"/>
      <c r="AA729" s="18" t="str">
        <f aca="false">IF(K729&lt;&gt;"ВИРТУАЛЬНЫЙ ВЫБОР","",IF(Z729="✅ ЗАШЛО",W729*(P729-1),IF(Z729="❌ НЕ ЗАШЛО",-W729,IF(Z729="½ ЗАШЛО",W729*(P729-1)/2,IF(Z729="½ НЕ ЗАШЛО",-W729/2,IF(Z729="ВОЗВРАТ",0,""))))))</f>
        <v/>
      </c>
      <c r="AB729" s="18" t="str">
        <f aca="false">IF(AND(K729="ВИРТУАЛЬНЫЙ ВЫБОР",OR(Z729="✅ ЗАШЛО",Z729="❌ НЕ ЗАШЛО",Z729="½ ЗАШЛО",Z729="½ НЕ ЗАШЛО",Z729="ВОЗВРАТ")),W729,"")</f>
        <v/>
      </c>
      <c r="AC729" s="15"/>
      <c r="AD729" s="16" t="str">
        <f aca="false">IF(OR(AC729="",P729=""),"",P729/AC729-1)</f>
        <v/>
      </c>
      <c r="AE729" s="19" t="str">
        <f aca="false">IF(AND(M729=0,OR(Z729="✅ ЗАШЛО",Z729="❌ НЕ ЗАШЛО"),L729&lt;&gt;""),(L729-IF(Z729="✅ ЗАШЛО",1,0))^2,"")</f>
        <v/>
      </c>
      <c r="AF729" s="15"/>
      <c r="AG729" s="15"/>
      <c r="AH729" s="13"/>
      <c r="AI729" s="13"/>
      <c r="AJ729" s="13"/>
      <c r="AK729" s="20" t="str">
        <f aca="false">IF(AH729="","",IF(ABS(AH729+AI729+AJ729-1)&lt;0.000001,"OK","ОШИБКА"))</f>
        <v/>
      </c>
      <c r="AL729" s="13"/>
      <c r="AM729" s="12"/>
      <c r="AN729" s="12"/>
      <c r="AO729" s="12"/>
      <c r="AP729" s="12"/>
      <c r="AQ729" s="18" t="str">
        <f aca="false">IF(A729="","",N(AQ728)+N(AA729))</f>
        <v/>
      </c>
      <c r="AR729" s="18" t="str">
        <f aca="false">IF(AQ729="","",MAX(0,MAX($AQ$8:AQ729))-AQ729)</f>
        <v/>
      </c>
    </row>
    <row r="730" customFormat="false" ht="15" hidden="false" customHeight="fals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3"/>
      <c r="M730" s="13"/>
      <c r="N730" s="13"/>
      <c r="O730" s="14" t="str">
        <f aca="false">IF(OR(L730="",L730=0),"",(1-M730)/L730)</f>
        <v/>
      </c>
      <c r="P730" s="15"/>
      <c r="Q730" s="12"/>
      <c r="R730" s="12"/>
      <c r="S730" s="13"/>
      <c r="T730" s="16" t="str">
        <f aca="false">IF(OR(S730="",L730=""),"",L730/(1-M730)-S730)</f>
        <v/>
      </c>
      <c r="U730" s="16" t="str">
        <f aca="false">IF(OR(L730="",P730=""),"",L730*(P730-1)-N730)</f>
        <v/>
      </c>
      <c r="V730" s="13"/>
      <c r="W730" s="17"/>
      <c r="X730" s="12"/>
      <c r="Y730" s="12"/>
      <c r="Z730" s="12"/>
      <c r="AA730" s="18" t="str">
        <f aca="false">IF(K730&lt;&gt;"ВИРТУАЛЬНЫЙ ВЫБОР","",IF(Z730="✅ ЗАШЛО",W730*(P730-1),IF(Z730="❌ НЕ ЗАШЛО",-W730,IF(Z730="½ ЗАШЛО",W730*(P730-1)/2,IF(Z730="½ НЕ ЗАШЛО",-W730/2,IF(Z730="ВОЗВРАТ",0,""))))))</f>
        <v/>
      </c>
      <c r="AB730" s="18" t="str">
        <f aca="false">IF(AND(K730="ВИРТУАЛЬНЫЙ ВЫБОР",OR(Z730="✅ ЗАШЛО",Z730="❌ НЕ ЗАШЛО",Z730="½ ЗАШЛО",Z730="½ НЕ ЗАШЛО",Z730="ВОЗВРАТ")),W730,"")</f>
        <v/>
      </c>
      <c r="AC730" s="15"/>
      <c r="AD730" s="16" t="str">
        <f aca="false">IF(OR(AC730="",P730=""),"",P730/AC730-1)</f>
        <v/>
      </c>
      <c r="AE730" s="19" t="str">
        <f aca="false">IF(AND(M730=0,OR(Z730="✅ ЗАШЛО",Z730="❌ НЕ ЗАШЛО"),L730&lt;&gt;""),(L730-IF(Z730="✅ ЗАШЛО",1,0))^2,"")</f>
        <v/>
      </c>
      <c r="AF730" s="15"/>
      <c r="AG730" s="15"/>
      <c r="AH730" s="13"/>
      <c r="AI730" s="13"/>
      <c r="AJ730" s="13"/>
      <c r="AK730" s="20" t="str">
        <f aca="false">IF(AH730="","",IF(ABS(AH730+AI730+AJ730-1)&lt;0.000001,"OK","ОШИБКА"))</f>
        <v/>
      </c>
      <c r="AL730" s="13"/>
      <c r="AM730" s="12"/>
      <c r="AN730" s="12"/>
      <c r="AO730" s="12"/>
      <c r="AP730" s="12"/>
      <c r="AQ730" s="18" t="str">
        <f aca="false">IF(A730="","",N(AQ729)+N(AA730))</f>
        <v/>
      </c>
      <c r="AR730" s="18" t="str">
        <f aca="false">IF(AQ730="","",MAX(0,MAX($AQ$8:AQ730))-AQ730)</f>
        <v/>
      </c>
    </row>
    <row r="731" customFormat="false" ht="15" hidden="false" customHeight="fals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3"/>
      <c r="M731" s="13"/>
      <c r="N731" s="13"/>
      <c r="O731" s="14" t="str">
        <f aca="false">IF(OR(L731="",L731=0),"",(1-M731)/L731)</f>
        <v/>
      </c>
      <c r="P731" s="15"/>
      <c r="Q731" s="12"/>
      <c r="R731" s="12"/>
      <c r="S731" s="13"/>
      <c r="T731" s="16" t="str">
        <f aca="false">IF(OR(S731="",L731=""),"",L731/(1-M731)-S731)</f>
        <v/>
      </c>
      <c r="U731" s="16" t="str">
        <f aca="false">IF(OR(L731="",P731=""),"",L731*(P731-1)-N731)</f>
        <v/>
      </c>
      <c r="V731" s="13"/>
      <c r="W731" s="17"/>
      <c r="X731" s="12"/>
      <c r="Y731" s="12"/>
      <c r="Z731" s="12"/>
      <c r="AA731" s="18" t="str">
        <f aca="false">IF(K731&lt;&gt;"ВИРТУАЛЬНЫЙ ВЫБОР","",IF(Z731="✅ ЗАШЛО",W731*(P731-1),IF(Z731="❌ НЕ ЗАШЛО",-W731,IF(Z731="½ ЗАШЛО",W731*(P731-1)/2,IF(Z731="½ НЕ ЗАШЛО",-W731/2,IF(Z731="ВОЗВРАТ",0,""))))))</f>
        <v/>
      </c>
      <c r="AB731" s="18" t="str">
        <f aca="false">IF(AND(K731="ВИРТУАЛЬНЫЙ ВЫБОР",OR(Z731="✅ ЗАШЛО",Z731="❌ НЕ ЗАШЛО",Z731="½ ЗАШЛО",Z731="½ НЕ ЗАШЛО",Z731="ВОЗВРАТ")),W731,"")</f>
        <v/>
      </c>
      <c r="AC731" s="15"/>
      <c r="AD731" s="16" t="str">
        <f aca="false">IF(OR(AC731="",P731=""),"",P731/AC731-1)</f>
        <v/>
      </c>
      <c r="AE731" s="19" t="str">
        <f aca="false">IF(AND(M731=0,OR(Z731="✅ ЗАШЛО",Z731="❌ НЕ ЗАШЛО"),L731&lt;&gt;""),(L731-IF(Z731="✅ ЗАШЛО",1,0))^2,"")</f>
        <v/>
      </c>
      <c r="AF731" s="15"/>
      <c r="AG731" s="15"/>
      <c r="AH731" s="13"/>
      <c r="AI731" s="13"/>
      <c r="AJ731" s="13"/>
      <c r="AK731" s="20" t="str">
        <f aca="false">IF(AH731="","",IF(ABS(AH731+AI731+AJ731-1)&lt;0.000001,"OK","ОШИБКА"))</f>
        <v/>
      </c>
      <c r="AL731" s="13"/>
      <c r="AM731" s="12"/>
      <c r="AN731" s="12"/>
      <c r="AO731" s="12"/>
      <c r="AP731" s="12"/>
      <c r="AQ731" s="18" t="str">
        <f aca="false">IF(A731="","",N(AQ730)+N(AA731))</f>
        <v/>
      </c>
      <c r="AR731" s="18" t="str">
        <f aca="false">IF(AQ731="","",MAX(0,MAX($AQ$8:AQ731))-AQ731)</f>
        <v/>
      </c>
    </row>
    <row r="732" customFormat="false" ht="15" hidden="false" customHeight="fals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3"/>
      <c r="M732" s="13"/>
      <c r="N732" s="13"/>
      <c r="O732" s="14" t="str">
        <f aca="false">IF(OR(L732="",L732=0),"",(1-M732)/L732)</f>
        <v/>
      </c>
      <c r="P732" s="15"/>
      <c r="Q732" s="12"/>
      <c r="R732" s="12"/>
      <c r="S732" s="13"/>
      <c r="T732" s="16" t="str">
        <f aca="false">IF(OR(S732="",L732=""),"",L732/(1-M732)-S732)</f>
        <v/>
      </c>
      <c r="U732" s="16" t="str">
        <f aca="false">IF(OR(L732="",P732=""),"",L732*(P732-1)-N732)</f>
        <v/>
      </c>
      <c r="V732" s="13"/>
      <c r="W732" s="17"/>
      <c r="X732" s="12"/>
      <c r="Y732" s="12"/>
      <c r="Z732" s="12"/>
      <c r="AA732" s="18" t="str">
        <f aca="false">IF(K732&lt;&gt;"ВИРТУАЛЬНЫЙ ВЫБОР","",IF(Z732="✅ ЗАШЛО",W732*(P732-1),IF(Z732="❌ НЕ ЗАШЛО",-W732,IF(Z732="½ ЗАШЛО",W732*(P732-1)/2,IF(Z732="½ НЕ ЗАШЛО",-W732/2,IF(Z732="ВОЗВРАТ",0,""))))))</f>
        <v/>
      </c>
      <c r="AB732" s="18" t="str">
        <f aca="false">IF(AND(K732="ВИРТУАЛЬНЫЙ ВЫБОР",OR(Z732="✅ ЗАШЛО",Z732="❌ НЕ ЗАШЛО",Z732="½ ЗАШЛО",Z732="½ НЕ ЗАШЛО",Z732="ВОЗВРАТ")),W732,"")</f>
        <v/>
      </c>
      <c r="AC732" s="15"/>
      <c r="AD732" s="16" t="str">
        <f aca="false">IF(OR(AC732="",P732=""),"",P732/AC732-1)</f>
        <v/>
      </c>
      <c r="AE732" s="19" t="str">
        <f aca="false">IF(AND(M732=0,OR(Z732="✅ ЗАШЛО",Z732="❌ НЕ ЗАШЛО"),L732&lt;&gt;""),(L732-IF(Z732="✅ ЗАШЛО",1,0))^2,"")</f>
        <v/>
      </c>
      <c r="AF732" s="15"/>
      <c r="AG732" s="15"/>
      <c r="AH732" s="13"/>
      <c r="AI732" s="13"/>
      <c r="AJ732" s="13"/>
      <c r="AK732" s="20" t="str">
        <f aca="false">IF(AH732="","",IF(ABS(AH732+AI732+AJ732-1)&lt;0.000001,"OK","ОШИБКА"))</f>
        <v/>
      </c>
      <c r="AL732" s="13"/>
      <c r="AM732" s="12"/>
      <c r="AN732" s="12"/>
      <c r="AO732" s="12"/>
      <c r="AP732" s="12"/>
      <c r="AQ732" s="18" t="str">
        <f aca="false">IF(A732="","",N(AQ731)+N(AA732))</f>
        <v/>
      </c>
      <c r="AR732" s="18" t="str">
        <f aca="false">IF(AQ732="","",MAX(0,MAX($AQ$8:AQ732))-AQ732)</f>
        <v/>
      </c>
    </row>
    <row r="733" customFormat="false" ht="15" hidden="false" customHeight="fals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3"/>
      <c r="M733" s="13"/>
      <c r="N733" s="13"/>
      <c r="O733" s="14" t="str">
        <f aca="false">IF(OR(L733="",L733=0),"",(1-M733)/L733)</f>
        <v/>
      </c>
      <c r="P733" s="15"/>
      <c r="Q733" s="12"/>
      <c r="R733" s="12"/>
      <c r="S733" s="13"/>
      <c r="T733" s="16" t="str">
        <f aca="false">IF(OR(S733="",L733=""),"",L733/(1-M733)-S733)</f>
        <v/>
      </c>
      <c r="U733" s="16" t="str">
        <f aca="false">IF(OR(L733="",P733=""),"",L733*(P733-1)-N733)</f>
        <v/>
      </c>
      <c r="V733" s="13"/>
      <c r="W733" s="17"/>
      <c r="X733" s="12"/>
      <c r="Y733" s="12"/>
      <c r="Z733" s="12"/>
      <c r="AA733" s="18" t="str">
        <f aca="false">IF(K733&lt;&gt;"ВИРТУАЛЬНЫЙ ВЫБОР","",IF(Z733="✅ ЗАШЛО",W733*(P733-1),IF(Z733="❌ НЕ ЗАШЛО",-W733,IF(Z733="½ ЗАШЛО",W733*(P733-1)/2,IF(Z733="½ НЕ ЗАШЛО",-W733/2,IF(Z733="ВОЗВРАТ",0,""))))))</f>
        <v/>
      </c>
      <c r="AB733" s="18" t="str">
        <f aca="false">IF(AND(K733="ВИРТУАЛЬНЫЙ ВЫБОР",OR(Z733="✅ ЗАШЛО",Z733="❌ НЕ ЗАШЛО",Z733="½ ЗАШЛО",Z733="½ НЕ ЗАШЛО",Z733="ВОЗВРАТ")),W733,"")</f>
        <v/>
      </c>
      <c r="AC733" s="15"/>
      <c r="AD733" s="16" t="str">
        <f aca="false">IF(OR(AC733="",P733=""),"",P733/AC733-1)</f>
        <v/>
      </c>
      <c r="AE733" s="19" t="str">
        <f aca="false">IF(AND(M733=0,OR(Z733="✅ ЗАШЛО",Z733="❌ НЕ ЗАШЛО"),L733&lt;&gt;""),(L733-IF(Z733="✅ ЗАШЛО",1,0))^2,"")</f>
        <v/>
      </c>
      <c r="AF733" s="15"/>
      <c r="AG733" s="15"/>
      <c r="AH733" s="13"/>
      <c r="AI733" s="13"/>
      <c r="AJ733" s="13"/>
      <c r="AK733" s="20" t="str">
        <f aca="false">IF(AH733="","",IF(ABS(AH733+AI733+AJ733-1)&lt;0.000001,"OK","ОШИБКА"))</f>
        <v/>
      </c>
      <c r="AL733" s="13"/>
      <c r="AM733" s="12"/>
      <c r="AN733" s="12"/>
      <c r="AO733" s="12"/>
      <c r="AP733" s="12"/>
      <c r="AQ733" s="18" t="str">
        <f aca="false">IF(A733="","",N(AQ732)+N(AA733))</f>
        <v/>
      </c>
      <c r="AR733" s="18" t="str">
        <f aca="false">IF(AQ733="","",MAX(0,MAX($AQ$8:AQ733))-AQ733)</f>
        <v/>
      </c>
    </row>
    <row r="734" customFormat="false" ht="15" hidden="false" customHeight="fals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3"/>
      <c r="M734" s="13"/>
      <c r="N734" s="13"/>
      <c r="O734" s="14" t="str">
        <f aca="false">IF(OR(L734="",L734=0),"",(1-M734)/L734)</f>
        <v/>
      </c>
      <c r="P734" s="15"/>
      <c r="Q734" s="12"/>
      <c r="R734" s="12"/>
      <c r="S734" s="13"/>
      <c r="T734" s="16" t="str">
        <f aca="false">IF(OR(S734="",L734=""),"",L734/(1-M734)-S734)</f>
        <v/>
      </c>
      <c r="U734" s="16" t="str">
        <f aca="false">IF(OR(L734="",P734=""),"",L734*(P734-1)-N734)</f>
        <v/>
      </c>
      <c r="V734" s="13"/>
      <c r="W734" s="17"/>
      <c r="X734" s="12"/>
      <c r="Y734" s="12"/>
      <c r="Z734" s="12"/>
      <c r="AA734" s="18" t="str">
        <f aca="false">IF(K734&lt;&gt;"ВИРТУАЛЬНЫЙ ВЫБОР","",IF(Z734="✅ ЗАШЛО",W734*(P734-1),IF(Z734="❌ НЕ ЗАШЛО",-W734,IF(Z734="½ ЗАШЛО",W734*(P734-1)/2,IF(Z734="½ НЕ ЗАШЛО",-W734/2,IF(Z734="ВОЗВРАТ",0,""))))))</f>
        <v/>
      </c>
      <c r="AB734" s="18" t="str">
        <f aca="false">IF(AND(K734="ВИРТУАЛЬНЫЙ ВЫБОР",OR(Z734="✅ ЗАШЛО",Z734="❌ НЕ ЗАШЛО",Z734="½ ЗАШЛО",Z734="½ НЕ ЗАШЛО",Z734="ВОЗВРАТ")),W734,"")</f>
        <v/>
      </c>
      <c r="AC734" s="15"/>
      <c r="AD734" s="16" t="str">
        <f aca="false">IF(OR(AC734="",P734=""),"",P734/AC734-1)</f>
        <v/>
      </c>
      <c r="AE734" s="19" t="str">
        <f aca="false">IF(AND(M734=0,OR(Z734="✅ ЗАШЛО",Z734="❌ НЕ ЗАШЛО"),L734&lt;&gt;""),(L734-IF(Z734="✅ ЗАШЛО",1,0))^2,"")</f>
        <v/>
      </c>
      <c r="AF734" s="15"/>
      <c r="AG734" s="15"/>
      <c r="AH734" s="13"/>
      <c r="AI734" s="13"/>
      <c r="AJ734" s="13"/>
      <c r="AK734" s="20" t="str">
        <f aca="false">IF(AH734="","",IF(ABS(AH734+AI734+AJ734-1)&lt;0.000001,"OK","ОШИБКА"))</f>
        <v/>
      </c>
      <c r="AL734" s="13"/>
      <c r="AM734" s="12"/>
      <c r="AN734" s="12"/>
      <c r="AO734" s="12"/>
      <c r="AP734" s="12"/>
      <c r="AQ734" s="18" t="str">
        <f aca="false">IF(A734="","",N(AQ733)+N(AA734))</f>
        <v/>
      </c>
      <c r="AR734" s="18" t="str">
        <f aca="false">IF(AQ734="","",MAX(0,MAX($AQ$8:AQ734))-AQ734)</f>
        <v/>
      </c>
    </row>
    <row r="735" customFormat="false" ht="15" hidden="false" customHeight="fals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3"/>
      <c r="M735" s="13"/>
      <c r="N735" s="13"/>
      <c r="O735" s="14" t="str">
        <f aca="false">IF(OR(L735="",L735=0),"",(1-M735)/L735)</f>
        <v/>
      </c>
      <c r="P735" s="15"/>
      <c r="Q735" s="12"/>
      <c r="R735" s="12"/>
      <c r="S735" s="13"/>
      <c r="T735" s="16" t="str">
        <f aca="false">IF(OR(S735="",L735=""),"",L735/(1-M735)-S735)</f>
        <v/>
      </c>
      <c r="U735" s="16" t="str">
        <f aca="false">IF(OR(L735="",P735=""),"",L735*(P735-1)-N735)</f>
        <v/>
      </c>
      <c r="V735" s="13"/>
      <c r="W735" s="17"/>
      <c r="X735" s="12"/>
      <c r="Y735" s="12"/>
      <c r="Z735" s="12"/>
      <c r="AA735" s="18" t="str">
        <f aca="false">IF(K735&lt;&gt;"ВИРТУАЛЬНЫЙ ВЫБОР","",IF(Z735="✅ ЗАШЛО",W735*(P735-1),IF(Z735="❌ НЕ ЗАШЛО",-W735,IF(Z735="½ ЗАШЛО",W735*(P735-1)/2,IF(Z735="½ НЕ ЗАШЛО",-W735/2,IF(Z735="ВОЗВРАТ",0,""))))))</f>
        <v/>
      </c>
      <c r="AB735" s="18" t="str">
        <f aca="false">IF(AND(K735="ВИРТУАЛЬНЫЙ ВЫБОР",OR(Z735="✅ ЗАШЛО",Z735="❌ НЕ ЗАШЛО",Z735="½ ЗАШЛО",Z735="½ НЕ ЗАШЛО",Z735="ВОЗВРАТ")),W735,"")</f>
        <v/>
      </c>
      <c r="AC735" s="15"/>
      <c r="AD735" s="16" t="str">
        <f aca="false">IF(OR(AC735="",P735=""),"",P735/AC735-1)</f>
        <v/>
      </c>
      <c r="AE735" s="19" t="str">
        <f aca="false">IF(AND(M735=0,OR(Z735="✅ ЗАШЛО",Z735="❌ НЕ ЗАШЛО"),L735&lt;&gt;""),(L735-IF(Z735="✅ ЗАШЛО",1,0))^2,"")</f>
        <v/>
      </c>
      <c r="AF735" s="15"/>
      <c r="AG735" s="15"/>
      <c r="AH735" s="13"/>
      <c r="AI735" s="13"/>
      <c r="AJ735" s="13"/>
      <c r="AK735" s="20" t="str">
        <f aca="false">IF(AH735="","",IF(ABS(AH735+AI735+AJ735-1)&lt;0.000001,"OK","ОШИБКА"))</f>
        <v/>
      </c>
      <c r="AL735" s="13"/>
      <c r="AM735" s="12"/>
      <c r="AN735" s="12"/>
      <c r="AO735" s="12"/>
      <c r="AP735" s="12"/>
      <c r="AQ735" s="18" t="str">
        <f aca="false">IF(A735="","",N(AQ734)+N(AA735))</f>
        <v/>
      </c>
      <c r="AR735" s="18" t="str">
        <f aca="false">IF(AQ735="","",MAX(0,MAX($AQ$8:AQ735))-AQ735)</f>
        <v/>
      </c>
    </row>
    <row r="736" customFormat="false" ht="15" hidden="false" customHeight="fals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3"/>
      <c r="M736" s="13"/>
      <c r="N736" s="13"/>
      <c r="O736" s="14" t="str">
        <f aca="false">IF(OR(L736="",L736=0),"",(1-M736)/L736)</f>
        <v/>
      </c>
      <c r="P736" s="15"/>
      <c r="Q736" s="12"/>
      <c r="R736" s="12"/>
      <c r="S736" s="13"/>
      <c r="T736" s="16" t="str">
        <f aca="false">IF(OR(S736="",L736=""),"",L736/(1-M736)-S736)</f>
        <v/>
      </c>
      <c r="U736" s="16" t="str">
        <f aca="false">IF(OR(L736="",P736=""),"",L736*(P736-1)-N736)</f>
        <v/>
      </c>
      <c r="V736" s="13"/>
      <c r="W736" s="17"/>
      <c r="X736" s="12"/>
      <c r="Y736" s="12"/>
      <c r="Z736" s="12"/>
      <c r="AA736" s="18" t="str">
        <f aca="false">IF(K736&lt;&gt;"ВИРТУАЛЬНЫЙ ВЫБОР","",IF(Z736="✅ ЗАШЛО",W736*(P736-1),IF(Z736="❌ НЕ ЗАШЛО",-W736,IF(Z736="½ ЗАШЛО",W736*(P736-1)/2,IF(Z736="½ НЕ ЗАШЛО",-W736/2,IF(Z736="ВОЗВРАТ",0,""))))))</f>
        <v/>
      </c>
      <c r="AB736" s="18" t="str">
        <f aca="false">IF(AND(K736="ВИРТУАЛЬНЫЙ ВЫБОР",OR(Z736="✅ ЗАШЛО",Z736="❌ НЕ ЗАШЛО",Z736="½ ЗАШЛО",Z736="½ НЕ ЗАШЛО",Z736="ВОЗВРАТ")),W736,"")</f>
        <v/>
      </c>
      <c r="AC736" s="15"/>
      <c r="AD736" s="16" t="str">
        <f aca="false">IF(OR(AC736="",P736=""),"",P736/AC736-1)</f>
        <v/>
      </c>
      <c r="AE736" s="19" t="str">
        <f aca="false">IF(AND(M736=0,OR(Z736="✅ ЗАШЛО",Z736="❌ НЕ ЗАШЛО"),L736&lt;&gt;""),(L736-IF(Z736="✅ ЗАШЛО",1,0))^2,"")</f>
        <v/>
      </c>
      <c r="AF736" s="15"/>
      <c r="AG736" s="15"/>
      <c r="AH736" s="13"/>
      <c r="AI736" s="13"/>
      <c r="AJ736" s="13"/>
      <c r="AK736" s="20" t="str">
        <f aca="false">IF(AH736="","",IF(ABS(AH736+AI736+AJ736-1)&lt;0.000001,"OK","ОШИБКА"))</f>
        <v/>
      </c>
      <c r="AL736" s="13"/>
      <c r="AM736" s="12"/>
      <c r="AN736" s="12"/>
      <c r="AO736" s="12"/>
      <c r="AP736" s="12"/>
      <c r="AQ736" s="18" t="str">
        <f aca="false">IF(A736="","",N(AQ735)+N(AA736))</f>
        <v/>
      </c>
      <c r="AR736" s="18" t="str">
        <f aca="false">IF(AQ736="","",MAX(0,MAX($AQ$8:AQ736))-AQ736)</f>
        <v/>
      </c>
    </row>
    <row r="737" customFormat="false" ht="15" hidden="false" customHeight="fals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3"/>
      <c r="M737" s="13"/>
      <c r="N737" s="13"/>
      <c r="O737" s="14" t="str">
        <f aca="false">IF(OR(L737="",L737=0),"",(1-M737)/L737)</f>
        <v/>
      </c>
      <c r="P737" s="15"/>
      <c r="Q737" s="12"/>
      <c r="R737" s="12"/>
      <c r="S737" s="13"/>
      <c r="T737" s="16" t="str">
        <f aca="false">IF(OR(S737="",L737=""),"",L737/(1-M737)-S737)</f>
        <v/>
      </c>
      <c r="U737" s="16" t="str">
        <f aca="false">IF(OR(L737="",P737=""),"",L737*(P737-1)-N737)</f>
        <v/>
      </c>
      <c r="V737" s="13"/>
      <c r="W737" s="17"/>
      <c r="X737" s="12"/>
      <c r="Y737" s="12"/>
      <c r="Z737" s="12"/>
      <c r="AA737" s="18" t="str">
        <f aca="false">IF(K737&lt;&gt;"ВИРТУАЛЬНЫЙ ВЫБОР","",IF(Z737="✅ ЗАШЛО",W737*(P737-1),IF(Z737="❌ НЕ ЗАШЛО",-W737,IF(Z737="½ ЗАШЛО",W737*(P737-1)/2,IF(Z737="½ НЕ ЗАШЛО",-W737/2,IF(Z737="ВОЗВРАТ",0,""))))))</f>
        <v/>
      </c>
      <c r="AB737" s="18" t="str">
        <f aca="false">IF(AND(K737="ВИРТУАЛЬНЫЙ ВЫБОР",OR(Z737="✅ ЗАШЛО",Z737="❌ НЕ ЗАШЛО",Z737="½ ЗАШЛО",Z737="½ НЕ ЗАШЛО",Z737="ВОЗВРАТ")),W737,"")</f>
        <v/>
      </c>
      <c r="AC737" s="15"/>
      <c r="AD737" s="16" t="str">
        <f aca="false">IF(OR(AC737="",P737=""),"",P737/AC737-1)</f>
        <v/>
      </c>
      <c r="AE737" s="19" t="str">
        <f aca="false">IF(AND(M737=0,OR(Z737="✅ ЗАШЛО",Z737="❌ НЕ ЗАШЛО"),L737&lt;&gt;""),(L737-IF(Z737="✅ ЗАШЛО",1,0))^2,"")</f>
        <v/>
      </c>
      <c r="AF737" s="15"/>
      <c r="AG737" s="15"/>
      <c r="AH737" s="13"/>
      <c r="AI737" s="13"/>
      <c r="AJ737" s="13"/>
      <c r="AK737" s="20" t="str">
        <f aca="false">IF(AH737="","",IF(ABS(AH737+AI737+AJ737-1)&lt;0.000001,"OK","ОШИБКА"))</f>
        <v/>
      </c>
      <c r="AL737" s="13"/>
      <c r="AM737" s="12"/>
      <c r="AN737" s="12"/>
      <c r="AO737" s="12"/>
      <c r="AP737" s="12"/>
      <c r="AQ737" s="18" t="str">
        <f aca="false">IF(A737="","",N(AQ736)+N(AA737))</f>
        <v/>
      </c>
      <c r="AR737" s="18" t="str">
        <f aca="false">IF(AQ737="","",MAX(0,MAX($AQ$8:AQ737))-AQ737)</f>
        <v/>
      </c>
    </row>
    <row r="738" customFormat="false" ht="15" hidden="false" customHeight="fals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3"/>
      <c r="M738" s="13"/>
      <c r="N738" s="13"/>
      <c r="O738" s="14" t="str">
        <f aca="false">IF(OR(L738="",L738=0),"",(1-M738)/L738)</f>
        <v/>
      </c>
      <c r="P738" s="15"/>
      <c r="Q738" s="12"/>
      <c r="R738" s="12"/>
      <c r="S738" s="13"/>
      <c r="T738" s="16" t="str">
        <f aca="false">IF(OR(S738="",L738=""),"",L738/(1-M738)-S738)</f>
        <v/>
      </c>
      <c r="U738" s="16" t="str">
        <f aca="false">IF(OR(L738="",P738=""),"",L738*(P738-1)-N738)</f>
        <v/>
      </c>
      <c r="V738" s="13"/>
      <c r="W738" s="17"/>
      <c r="X738" s="12"/>
      <c r="Y738" s="12"/>
      <c r="Z738" s="12"/>
      <c r="AA738" s="18" t="str">
        <f aca="false">IF(K738&lt;&gt;"ВИРТУАЛЬНЫЙ ВЫБОР","",IF(Z738="✅ ЗАШЛО",W738*(P738-1),IF(Z738="❌ НЕ ЗАШЛО",-W738,IF(Z738="½ ЗАШЛО",W738*(P738-1)/2,IF(Z738="½ НЕ ЗАШЛО",-W738/2,IF(Z738="ВОЗВРАТ",0,""))))))</f>
        <v/>
      </c>
      <c r="AB738" s="18" t="str">
        <f aca="false">IF(AND(K738="ВИРТУАЛЬНЫЙ ВЫБОР",OR(Z738="✅ ЗАШЛО",Z738="❌ НЕ ЗАШЛО",Z738="½ ЗАШЛО",Z738="½ НЕ ЗАШЛО",Z738="ВОЗВРАТ")),W738,"")</f>
        <v/>
      </c>
      <c r="AC738" s="15"/>
      <c r="AD738" s="16" t="str">
        <f aca="false">IF(OR(AC738="",P738=""),"",P738/AC738-1)</f>
        <v/>
      </c>
      <c r="AE738" s="19" t="str">
        <f aca="false">IF(AND(M738=0,OR(Z738="✅ ЗАШЛО",Z738="❌ НЕ ЗАШЛО"),L738&lt;&gt;""),(L738-IF(Z738="✅ ЗАШЛО",1,0))^2,"")</f>
        <v/>
      </c>
      <c r="AF738" s="15"/>
      <c r="AG738" s="15"/>
      <c r="AH738" s="13"/>
      <c r="AI738" s="13"/>
      <c r="AJ738" s="13"/>
      <c r="AK738" s="20" t="str">
        <f aca="false">IF(AH738="","",IF(ABS(AH738+AI738+AJ738-1)&lt;0.000001,"OK","ОШИБКА"))</f>
        <v/>
      </c>
      <c r="AL738" s="13"/>
      <c r="AM738" s="12"/>
      <c r="AN738" s="12"/>
      <c r="AO738" s="12"/>
      <c r="AP738" s="12"/>
      <c r="AQ738" s="18" t="str">
        <f aca="false">IF(A738="","",N(AQ737)+N(AA738))</f>
        <v/>
      </c>
      <c r="AR738" s="18" t="str">
        <f aca="false">IF(AQ738="","",MAX(0,MAX($AQ$8:AQ738))-AQ738)</f>
        <v/>
      </c>
    </row>
    <row r="739" customFormat="false" ht="15" hidden="false" customHeight="fals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3"/>
      <c r="M739" s="13"/>
      <c r="N739" s="13"/>
      <c r="O739" s="14" t="str">
        <f aca="false">IF(OR(L739="",L739=0),"",(1-M739)/L739)</f>
        <v/>
      </c>
      <c r="P739" s="15"/>
      <c r="Q739" s="12"/>
      <c r="R739" s="12"/>
      <c r="S739" s="13"/>
      <c r="T739" s="16" t="str">
        <f aca="false">IF(OR(S739="",L739=""),"",L739/(1-M739)-S739)</f>
        <v/>
      </c>
      <c r="U739" s="16" t="str">
        <f aca="false">IF(OR(L739="",P739=""),"",L739*(P739-1)-N739)</f>
        <v/>
      </c>
      <c r="V739" s="13"/>
      <c r="W739" s="17"/>
      <c r="X739" s="12"/>
      <c r="Y739" s="12"/>
      <c r="Z739" s="12"/>
      <c r="AA739" s="18" t="str">
        <f aca="false">IF(K739&lt;&gt;"ВИРТУАЛЬНЫЙ ВЫБОР","",IF(Z739="✅ ЗАШЛО",W739*(P739-1),IF(Z739="❌ НЕ ЗАШЛО",-W739,IF(Z739="½ ЗАШЛО",W739*(P739-1)/2,IF(Z739="½ НЕ ЗАШЛО",-W739/2,IF(Z739="ВОЗВРАТ",0,""))))))</f>
        <v/>
      </c>
      <c r="AB739" s="18" t="str">
        <f aca="false">IF(AND(K739="ВИРТУАЛЬНЫЙ ВЫБОР",OR(Z739="✅ ЗАШЛО",Z739="❌ НЕ ЗАШЛО",Z739="½ ЗАШЛО",Z739="½ НЕ ЗАШЛО",Z739="ВОЗВРАТ")),W739,"")</f>
        <v/>
      </c>
      <c r="AC739" s="15"/>
      <c r="AD739" s="16" t="str">
        <f aca="false">IF(OR(AC739="",P739=""),"",P739/AC739-1)</f>
        <v/>
      </c>
      <c r="AE739" s="19" t="str">
        <f aca="false">IF(AND(M739=0,OR(Z739="✅ ЗАШЛО",Z739="❌ НЕ ЗАШЛО"),L739&lt;&gt;""),(L739-IF(Z739="✅ ЗАШЛО",1,0))^2,"")</f>
        <v/>
      </c>
      <c r="AF739" s="15"/>
      <c r="AG739" s="15"/>
      <c r="AH739" s="13"/>
      <c r="AI739" s="13"/>
      <c r="AJ739" s="13"/>
      <c r="AK739" s="20" t="str">
        <f aca="false">IF(AH739="","",IF(ABS(AH739+AI739+AJ739-1)&lt;0.000001,"OK","ОШИБКА"))</f>
        <v/>
      </c>
      <c r="AL739" s="13"/>
      <c r="AM739" s="12"/>
      <c r="AN739" s="12"/>
      <c r="AO739" s="12"/>
      <c r="AP739" s="12"/>
      <c r="AQ739" s="18" t="str">
        <f aca="false">IF(A739="","",N(AQ738)+N(AA739))</f>
        <v/>
      </c>
      <c r="AR739" s="18" t="str">
        <f aca="false">IF(AQ739="","",MAX(0,MAX($AQ$8:AQ739))-AQ739)</f>
        <v/>
      </c>
    </row>
    <row r="740" customFormat="false" ht="15" hidden="false" customHeight="fals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3"/>
      <c r="M740" s="13"/>
      <c r="N740" s="13"/>
      <c r="O740" s="14" t="str">
        <f aca="false">IF(OR(L740="",L740=0),"",(1-M740)/L740)</f>
        <v/>
      </c>
      <c r="P740" s="15"/>
      <c r="Q740" s="12"/>
      <c r="R740" s="12"/>
      <c r="S740" s="13"/>
      <c r="T740" s="16" t="str">
        <f aca="false">IF(OR(S740="",L740=""),"",L740/(1-M740)-S740)</f>
        <v/>
      </c>
      <c r="U740" s="16" t="str">
        <f aca="false">IF(OR(L740="",P740=""),"",L740*(P740-1)-N740)</f>
        <v/>
      </c>
      <c r="V740" s="13"/>
      <c r="W740" s="17"/>
      <c r="X740" s="12"/>
      <c r="Y740" s="12"/>
      <c r="Z740" s="12"/>
      <c r="AA740" s="18" t="str">
        <f aca="false">IF(K740&lt;&gt;"ВИРТУАЛЬНЫЙ ВЫБОР","",IF(Z740="✅ ЗАШЛО",W740*(P740-1),IF(Z740="❌ НЕ ЗАШЛО",-W740,IF(Z740="½ ЗАШЛО",W740*(P740-1)/2,IF(Z740="½ НЕ ЗАШЛО",-W740/2,IF(Z740="ВОЗВРАТ",0,""))))))</f>
        <v/>
      </c>
      <c r="AB740" s="18" t="str">
        <f aca="false">IF(AND(K740="ВИРТУАЛЬНЫЙ ВЫБОР",OR(Z740="✅ ЗАШЛО",Z740="❌ НЕ ЗАШЛО",Z740="½ ЗАШЛО",Z740="½ НЕ ЗАШЛО",Z740="ВОЗВРАТ")),W740,"")</f>
        <v/>
      </c>
      <c r="AC740" s="15"/>
      <c r="AD740" s="16" t="str">
        <f aca="false">IF(OR(AC740="",P740=""),"",P740/AC740-1)</f>
        <v/>
      </c>
      <c r="AE740" s="19" t="str">
        <f aca="false">IF(AND(M740=0,OR(Z740="✅ ЗАШЛО",Z740="❌ НЕ ЗАШЛО"),L740&lt;&gt;""),(L740-IF(Z740="✅ ЗАШЛО",1,0))^2,"")</f>
        <v/>
      </c>
      <c r="AF740" s="15"/>
      <c r="AG740" s="15"/>
      <c r="AH740" s="13"/>
      <c r="AI740" s="13"/>
      <c r="AJ740" s="13"/>
      <c r="AK740" s="20" t="str">
        <f aca="false">IF(AH740="","",IF(ABS(AH740+AI740+AJ740-1)&lt;0.000001,"OK","ОШИБКА"))</f>
        <v/>
      </c>
      <c r="AL740" s="13"/>
      <c r="AM740" s="12"/>
      <c r="AN740" s="12"/>
      <c r="AO740" s="12"/>
      <c r="AP740" s="12"/>
      <c r="AQ740" s="18" t="str">
        <f aca="false">IF(A740="","",N(AQ739)+N(AA740))</f>
        <v/>
      </c>
      <c r="AR740" s="18" t="str">
        <f aca="false">IF(AQ740="","",MAX(0,MAX($AQ$8:AQ740))-AQ740)</f>
        <v/>
      </c>
    </row>
    <row r="741" customFormat="false" ht="15" hidden="false" customHeight="fals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3"/>
      <c r="M741" s="13"/>
      <c r="N741" s="13"/>
      <c r="O741" s="14" t="str">
        <f aca="false">IF(OR(L741="",L741=0),"",(1-M741)/L741)</f>
        <v/>
      </c>
      <c r="P741" s="15"/>
      <c r="Q741" s="12"/>
      <c r="R741" s="12"/>
      <c r="S741" s="13"/>
      <c r="T741" s="16" t="str">
        <f aca="false">IF(OR(S741="",L741=""),"",L741/(1-M741)-S741)</f>
        <v/>
      </c>
      <c r="U741" s="16" t="str">
        <f aca="false">IF(OR(L741="",P741=""),"",L741*(P741-1)-N741)</f>
        <v/>
      </c>
      <c r="V741" s="13"/>
      <c r="W741" s="17"/>
      <c r="X741" s="12"/>
      <c r="Y741" s="12"/>
      <c r="Z741" s="12"/>
      <c r="AA741" s="18" t="str">
        <f aca="false">IF(K741&lt;&gt;"ВИРТУАЛЬНЫЙ ВЫБОР","",IF(Z741="✅ ЗАШЛО",W741*(P741-1),IF(Z741="❌ НЕ ЗАШЛО",-W741,IF(Z741="½ ЗАШЛО",W741*(P741-1)/2,IF(Z741="½ НЕ ЗАШЛО",-W741/2,IF(Z741="ВОЗВРАТ",0,""))))))</f>
        <v/>
      </c>
      <c r="AB741" s="18" t="str">
        <f aca="false">IF(AND(K741="ВИРТУАЛЬНЫЙ ВЫБОР",OR(Z741="✅ ЗАШЛО",Z741="❌ НЕ ЗАШЛО",Z741="½ ЗАШЛО",Z741="½ НЕ ЗАШЛО",Z741="ВОЗВРАТ")),W741,"")</f>
        <v/>
      </c>
      <c r="AC741" s="15"/>
      <c r="AD741" s="16" t="str">
        <f aca="false">IF(OR(AC741="",P741=""),"",P741/AC741-1)</f>
        <v/>
      </c>
      <c r="AE741" s="19" t="str">
        <f aca="false">IF(AND(M741=0,OR(Z741="✅ ЗАШЛО",Z741="❌ НЕ ЗАШЛО"),L741&lt;&gt;""),(L741-IF(Z741="✅ ЗАШЛО",1,0))^2,"")</f>
        <v/>
      </c>
      <c r="AF741" s="15"/>
      <c r="AG741" s="15"/>
      <c r="AH741" s="13"/>
      <c r="AI741" s="13"/>
      <c r="AJ741" s="13"/>
      <c r="AK741" s="20" t="str">
        <f aca="false">IF(AH741="","",IF(ABS(AH741+AI741+AJ741-1)&lt;0.000001,"OK","ОШИБКА"))</f>
        <v/>
      </c>
      <c r="AL741" s="13"/>
      <c r="AM741" s="12"/>
      <c r="AN741" s="12"/>
      <c r="AO741" s="12"/>
      <c r="AP741" s="12"/>
      <c r="AQ741" s="18" t="str">
        <f aca="false">IF(A741="","",N(AQ740)+N(AA741))</f>
        <v/>
      </c>
      <c r="AR741" s="18" t="str">
        <f aca="false">IF(AQ741="","",MAX(0,MAX($AQ$8:AQ741))-AQ741)</f>
        <v/>
      </c>
    </row>
    <row r="742" customFormat="false" ht="15" hidden="false" customHeight="fals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3"/>
      <c r="M742" s="13"/>
      <c r="N742" s="13"/>
      <c r="O742" s="14" t="str">
        <f aca="false">IF(OR(L742="",L742=0),"",(1-M742)/L742)</f>
        <v/>
      </c>
      <c r="P742" s="15"/>
      <c r="Q742" s="12"/>
      <c r="R742" s="12"/>
      <c r="S742" s="13"/>
      <c r="T742" s="16" t="str">
        <f aca="false">IF(OR(S742="",L742=""),"",L742/(1-M742)-S742)</f>
        <v/>
      </c>
      <c r="U742" s="16" t="str">
        <f aca="false">IF(OR(L742="",P742=""),"",L742*(P742-1)-N742)</f>
        <v/>
      </c>
      <c r="V742" s="13"/>
      <c r="W742" s="17"/>
      <c r="X742" s="12"/>
      <c r="Y742" s="12"/>
      <c r="Z742" s="12"/>
      <c r="AA742" s="18" t="str">
        <f aca="false">IF(K742&lt;&gt;"ВИРТУАЛЬНЫЙ ВЫБОР","",IF(Z742="✅ ЗАШЛО",W742*(P742-1),IF(Z742="❌ НЕ ЗАШЛО",-W742,IF(Z742="½ ЗАШЛО",W742*(P742-1)/2,IF(Z742="½ НЕ ЗАШЛО",-W742/2,IF(Z742="ВОЗВРАТ",0,""))))))</f>
        <v/>
      </c>
      <c r="AB742" s="18" t="str">
        <f aca="false">IF(AND(K742="ВИРТУАЛЬНЫЙ ВЫБОР",OR(Z742="✅ ЗАШЛО",Z742="❌ НЕ ЗАШЛО",Z742="½ ЗАШЛО",Z742="½ НЕ ЗАШЛО",Z742="ВОЗВРАТ")),W742,"")</f>
        <v/>
      </c>
      <c r="AC742" s="15"/>
      <c r="AD742" s="16" t="str">
        <f aca="false">IF(OR(AC742="",P742=""),"",P742/AC742-1)</f>
        <v/>
      </c>
      <c r="AE742" s="19" t="str">
        <f aca="false">IF(AND(M742=0,OR(Z742="✅ ЗАШЛО",Z742="❌ НЕ ЗАШЛО"),L742&lt;&gt;""),(L742-IF(Z742="✅ ЗАШЛО",1,0))^2,"")</f>
        <v/>
      </c>
      <c r="AF742" s="15"/>
      <c r="AG742" s="15"/>
      <c r="AH742" s="13"/>
      <c r="AI742" s="13"/>
      <c r="AJ742" s="13"/>
      <c r="AK742" s="20" t="str">
        <f aca="false">IF(AH742="","",IF(ABS(AH742+AI742+AJ742-1)&lt;0.000001,"OK","ОШИБКА"))</f>
        <v/>
      </c>
      <c r="AL742" s="13"/>
      <c r="AM742" s="12"/>
      <c r="AN742" s="12"/>
      <c r="AO742" s="12"/>
      <c r="AP742" s="12"/>
      <c r="AQ742" s="18" t="str">
        <f aca="false">IF(A742="","",N(AQ741)+N(AA742))</f>
        <v/>
      </c>
      <c r="AR742" s="18" t="str">
        <f aca="false">IF(AQ742="","",MAX(0,MAX($AQ$8:AQ742))-AQ742)</f>
        <v/>
      </c>
    </row>
    <row r="743" customFormat="false" ht="15" hidden="false" customHeight="fals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3"/>
      <c r="M743" s="13"/>
      <c r="N743" s="13"/>
      <c r="O743" s="14" t="str">
        <f aca="false">IF(OR(L743="",L743=0),"",(1-M743)/L743)</f>
        <v/>
      </c>
      <c r="P743" s="15"/>
      <c r="Q743" s="12"/>
      <c r="R743" s="12"/>
      <c r="S743" s="13"/>
      <c r="T743" s="16" t="str">
        <f aca="false">IF(OR(S743="",L743=""),"",L743/(1-M743)-S743)</f>
        <v/>
      </c>
      <c r="U743" s="16" t="str">
        <f aca="false">IF(OR(L743="",P743=""),"",L743*(P743-1)-N743)</f>
        <v/>
      </c>
      <c r="V743" s="13"/>
      <c r="W743" s="17"/>
      <c r="X743" s="12"/>
      <c r="Y743" s="12"/>
      <c r="Z743" s="12"/>
      <c r="AA743" s="18" t="str">
        <f aca="false">IF(K743&lt;&gt;"ВИРТУАЛЬНЫЙ ВЫБОР","",IF(Z743="✅ ЗАШЛО",W743*(P743-1),IF(Z743="❌ НЕ ЗАШЛО",-W743,IF(Z743="½ ЗАШЛО",W743*(P743-1)/2,IF(Z743="½ НЕ ЗАШЛО",-W743/2,IF(Z743="ВОЗВРАТ",0,""))))))</f>
        <v/>
      </c>
      <c r="AB743" s="18" t="str">
        <f aca="false">IF(AND(K743="ВИРТУАЛЬНЫЙ ВЫБОР",OR(Z743="✅ ЗАШЛО",Z743="❌ НЕ ЗАШЛО",Z743="½ ЗАШЛО",Z743="½ НЕ ЗАШЛО",Z743="ВОЗВРАТ")),W743,"")</f>
        <v/>
      </c>
      <c r="AC743" s="15"/>
      <c r="AD743" s="16" t="str">
        <f aca="false">IF(OR(AC743="",P743=""),"",P743/AC743-1)</f>
        <v/>
      </c>
      <c r="AE743" s="19" t="str">
        <f aca="false">IF(AND(M743=0,OR(Z743="✅ ЗАШЛО",Z743="❌ НЕ ЗАШЛО"),L743&lt;&gt;""),(L743-IF(Z743="✅ ЗАШЛО",1,0))^2,"")</f>
        <v/>
      </c>
      <c r="AF743" s="15"/>
      <c r="AG743" s="15"/>
      <c r="AH743" s="13"/>
      <c r="AI743" s="13"/>
      <c r="AJ743" s="13"/>
      <c r="AK743" s="20" t="str">
        <f aca="false">IF(AH743="","",IF(ABS(AH743+AI743+AJ743-1)&lt;0.000001,"OK","ОШИБКА"))</f>
        <v/>
      </c>
      <c r="AL743" s="13"/>
      <c r="AM743" s="12"/>
      <c r="AN743" s="12"/>
      <c r="AO743" s="12"/>
      <c r="AP743" s="12"/>
      <c r="AQ743" s="18" t="str">
        <f aca="false">IF(A743="","",N(AQ742)+N(AA743))</f>
        <v/>
      </c>
      <c r="AR743" s="18" t="str">
        <f aca="false">IF(AQ743="","",MAX(0,MAX($AQ$8:AQ743))-AQ743)</f>
        <v/>
      </c>
    </row>
    <row r="744" customFormat="false" ht="15" hidden="false" customHeight="fals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3"/>
      <c r="M744" s="13"/>
      <c r="N744" s="13"/>
      <c r="O744" s="14" t="str">
        <f aca="false">IF(OR(L744="",L744=0),"",(1-M744)/L744)</f>
        <v/>
      </c>
      <c r="P744" s="15"/>
      <c r="Q744" s="12"/>
      <c r="R744" s="12"/>
      <c r="S744" s="13"/>
      <c r="T744" s="16" t="str">
        <f aca="false">IF(OR(S744="",L744=""),"",L744/(1-M744)-S744)</f>
        <v/>
      </c>
      <c r="U744" s="16" t="str">
        <f aca="false">IF(OR(L744="",P744=""),"",L744*(P744-1)-N744)</f>
        <v/>
      </c>
      <c r="V744" s="13"/>
      <c r="W744" s="17"/>
      <c r="X744" s="12"/>
      <c r="Y744" s="12"/>
      <c r="Z744" s="12"/>
      <c r="AA744" s="18" t="str">
        <f aca="false">IF(K744&lt;&gt;"ВИРТУАЛЬНЫЙ ВЫБОР","",IF(Z744="✅ ЗАШЛО",W744*(P744-1),IF(Z744="❌ НЕ ЗАШЛО",-W744,IF(Z744="½ ЗАШЛО",W744*(P744-1)/2,IF(Z744="½ НЕ ЗАШЛО",-W744/2,IF(Z744="ВОЗВРАТ",0,""))))))</f>
        <v/>
      </c>
      <c r="AB744" s="18" t="str">
        <f aca="false">IF(AND(K744="ВИРТУАЛЬНЫЙ ВЫБОР",OR(Z744="✅ ЗАШЛО",Z744="❌ НЕ ЗАШЛО",Z744="½ ЗАШЛО",Z744="½ НЕ ЗАШЛО",Z744="ВОЗВРАТ")),W744,"")</f>
        <v/>
      </c>
      <c r="AC744" s="15"/>
      <c r="AD744" s="16" t="str">
        <f aca="false">IF(OR(AC744="",P744=""),"",P744/AC744-1)</f>
        <v/>
      </c>
      <c r="AE744" s="19" t="str">
        <f aca="false">IF(AND(M744=0,OR(Z744="✅ ЗАШЛО",Z744="❌ НЕ ЗАШЛО"),L744&lt;&gt;""),(L744-IF(Z744="✅ ЗАШЛО",1,0))^2,"")</f>
        <v/>
      </c>
      <c r="AF744" s="15"/>
      <c r="AG744" s="15"/>
      <c r="AH744" s="13"/>
      <c r="AI744" s="13"/>
      <c r="AJ744" s="13"/>
      <c r="AK744" s="20" t="str">
        <f aca="false">IF(AH744="","",IF(ABS(AH744+AI744+AJ744-1)&lt;0.000001,"OK","ОШИБКА"))</f>
        <v/>
      </c>
      <c r="AL744" s="13"/>
      <c r="AM744" s="12"/>
      <c r="AN744" s="12"/>
      <c r="AO744" s="12"/>
      <c r="AP744" s="12"/>
      <c r="AQ744" s="18" t="str">
        <f aca="false">IF(A744="","",N(AQ743)+N(AA744))</f>
        <v/>
      </c>
      <c r="AR744" s="18" t="str">
        <f aca="false">IF(AQ744="","",MAX(0,MAX($AQ$8:AQ744))-AQ744)</f>
        <v/>
      </c>
    </row>
    <row r="745" customFormat="false" ht="15" hidden="false" customHeight="fals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3"/>
      <c r="M745" s="13"/>
      <c r="N745" s="13"/>
      <c r="O745" s="14" t="str">
        <f aca="false">IF(OR(L745="",L745=0),"",(1-M745)/L745)</f>
        <v/>
      </c>
      <c r="P745" s="15"/>
      <c r="Q745" s="12"/>
      <c r="R745" s="12"/>
      <c r="S745" s="13"/>
      <c r="T745" s="16" t="str">
        <f aca="false">IF(OR(S745="",L745=""),"",L745/(1-M745)-S745)</f>
        <v/>
      </c>
      <c r="U745" s="16" t="str">
        <f aca="false">IF(OR(L745="",P745=""),"",L745*(P745-1)-N745)</f>
        <v/>
      </c>
      <c r="V745" s="13"/>
      <c r="W745" s="17"/>
      <c r="X745" s="12"/>
      <c r="Y745" s="12"/>
      <c r="Z745" s="12"/>
      <c r="AA745" s="18" t="str">
        <f aca="false">IF(K745&lt;&gt;"ВИРТУАЛЬНЫЙ ВЫБОР","",IF(Z745="✅ ЗАШЛО",W745*(P745-1),IF(Z745="❌ НЕ ЗАШЛО",-W745,IF(Z745="½ ЗАШЛО",W745*(P745-1)/2,IF(Z745="½ НЕ ЗАШЛО",-W745/2,IF(Z745="ВОЗВРАТ",0,""))))))</f>
        <v/>
      </c>
      <c r="AB745" s="18" t="str">
        <f aca="false">IF(AND(K745="ВИРТУАЛЬНЫЙ ВЫБОР",OR(Z745="✅ ЗАШЛО",Z745="❌ НЕ ЗАШЛО",Z745="½ ЗАШЛО",Z745="½ НЕ ЗАШЛО",Z745="ВОЗВРАТ")),W745,"")</f>
        <v/>
      </c>
      <c r="AC745" s="15"/>
      <c r="AD745" s="16" t="str">
        <f aca="false">IF(OR(AC745="",P745=""),"",P745/AC745-1)</f>
        <v/>
      </c>
      <c r="AE745" s="19" t="str">
        <f aca="false">IF(AND(M745=0,OR(Z745="✅ ЗАШЛО",Z745="❌ НЕ ЗАШЛО"),L745&lt;&gt;""),(L745-IF(Z745="✅ ЗАШЛО",1,0))^2,"")</f>
        <v/>
      </c>
      <c r="AF745" s="15"/>
      <c r="AG745" s="15"/>
      <c r="AH745" s="13"/>
      <c r="AI745" s="13"/>
      <c r="AJ745" s="13"/>
      <c r="AK745" s="20" t="str">
        <f aca="false">IF(AH745="","",IF(ABS(AH745+AI745+AJ745-1)&lt;0.000001,"OK","ОШИБКА"))</f>
        <v/>
      </c>
      <c r="AL745" s="13"/>
      <c r="AM745" s="12"/>
      <c r="AN745" s="12"/>
      <c r="AO745" s="12"/>
      <c r="AP745" s="12"/>
      <c r="AQ745" s="18" t="str">
        <f aca="false">IF(A745="","",N(AQ744)+N(AA745))</f>
        <v/>
      </c>
      <c r="AR745" s="18" t="str">
        <f aca="false">IF(AQ745="","",MAX(0,MAX($AQ$8:AQ745))-AQ745)</f>
        <v/>
      </c>
    </row>
    <row r="746" customFormat="false" ht="15" hidden="false" customHeight="fals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3"/>
      <c r="M746" s="13"/>
      <c r="N746" s="13"/>
      <c r="O746" s="14" t="str">
        <f aca="false">IF(OR(L746="",L746=0),"",(1-M746)/L746)</f>
        <v/>
      </c>
      <c r="P746" s="15"/>
      <c r="Q746" s="12"/>
      <c r="R746" s="12"/>
      <c r="S746" s="13"/>
      <c r="T746" s="16" t="str">
        <f aca="false">IF(OR(S746="",L746=""),"",L746/(1-M746)-S746)</f>
        <v/>
      </c>
      <c r="U746" s="16" t="str">
        <f aca="false">IF(OR(L746="",P746=""),"",L746*(P746-1)-N746)</f>
        <v/>
      </c>
      <c r="V746" s="13"/>
      <c r="W746" s="17"/>
      <c r="X746" s="12"/>
      <c r="Y746" s="12"/>
      <c r="Z746" s="12"/>
      <c r="AA746" s="18" t="str">
        <f aca="false">IF(K746&lt;&gt;"ВИРТУАЛЬНЫЙ ВЫБОР","",IF(Z746="✅ ЗАШЛО",W746*(P746-1),IF(Z746="❌ НЕ ЗАШЛО",-W746,IF(Z746="½ ЗАШЛО",W746*(P746-1)/2,IF(Z746="½ НЕ ЗАШЛО",-W746/2,IF(Z746="ВОЗВРАТ",0,""))))))</f>
        <v/>
      </c>
      <c r="AB746" s="18" t="str">
        <f aca="false">IF(AND(K746="ВИРТУАЛЬНЫЙ ВЫБОР",OR(Z746="✅ ЗАШЛО",Z746="❌ НЕ ЗАШЛО",Z746="½ ЗАШЛО",Z746="½ НЕ ЗАШЛО",Z746="ВОЗВРАТ")),W746,"")</f>
        <v/>
      </c>
      <c r="AC746" s="15"/>
      <c r="AD746" s="16" t="str">
        <f aca="false">IF(OR(AC746="",P746=""),"",P746/AC746-1)</f>
        <v/>
      </c>
      <c r="AE746" s="19" t="str">
        <f aca="false">IF(AND(M746=0,OR(Z746="✅ ЗАШЛО",Z746="❌ НЕ ЗАШЛО"),L746&lt;&gt;""),(L746-IF(Z746="✅ ЗАШЛО",1,0))^2,"")</f>
        <v/>
      </c>
      <c r="AF746" s="15"/>
      <c r="AG746" s="15"/>
      <c r="AH746" s="13"/>
      <c r="AI746" s="13"/>
      <c r="AJ746" s="13"/>
      <c r="AK746" s="20" t="str">
        <f aca="false">IF(AH746="","",IF(ABS(AH746+AI746+AJ746-1)&lt;0.000001,"OK","ОШИБКА"))</f>
        <v/>
      </c>
      <c r="AL746" s="13"/>
      <c r="AM746" s="12"/>
      <c r="AN746" s="12"/>
      <c r="AO746" s="12"/>
      <c r="AP746" s="12"/>
      <c r="AQ746" s="18" t="str">
        <f aca="false">IF(A746="","",N(AQ745)+N(AA746))</f>
        <v/>
      </c>
      <c r="AR746" s="18" t="str">
        <f aca="false">IF(AQ746="","",MAX(0,MAX($AQ$8:AQ746))-AQ746)</f>
        <v/>
      </c>
    </row>
    <row r="747" customFormat="false" ht="15" hidden="false" customHeight="fals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3"/>
      <c r="M747" s="13"/>
      <c r="N747" s="13"/>
      <c r="O747" s="14" t="str">
        <f aca="false">IF(OR(L747="",L747=0),"",(1-M747)/L747)</f>
        <v/>
      </c>
      <c r="P747" s="15"/>
      <c r="Q747" s="12"/>
      <c r="R747" s="12"/>
      <c r="S747" s="13"/>
      <c r="T747" s="16" t="str">
        <f aca="false">IF(OR(S747="",L747=""),"",L747/(1-M747)-S747)</f>
        <v/>
      </c>
      <c r="U747" s="16" t="str">
        <f aca="false">IF(OR(L747="",P747=""),"",L747*(P747-1)-N747)</f>
        <v/>
      </c>
      <c r="V747" s="13"/>
      <c r="W747" s="17"/>
      <c r="X747" s="12"/>
      <c r="Y747" s="12"/>
      <c r="Z747" s="12"/>
      <c r="AA747" s="18" t="str">
        <f aca="false">IF(K747&lt;&gt;"ВИРТУАЛЬНЫЙ ВЫБОР","",IF(Z747="✅ ЗАШЛО",W747*(P747-1),IF(Z747="❌ НЕ ЗАШЛО",-W747,IF(Z747="½ ЗАШЛО",W747*(P747-1)/2,IF(Z747="½ НЕ ЗАШЛО",-W747/2,IF(Z747="ВОЗВРАТ",0,""))))))</f>
        <v/>
      </c>
      <c r="AB747" s="18" t="str">
        <f aca="false">IF(AND(K747="ВИРТУАЛЬНЫЙ ВЫБОР",OR(Z747="✅ ЗАШЛО",Z747="❌ НЕ ЗАШЛО",Z747="½ ЗАШЛО",Z747="½ НЕ ЗАШЛО",Z747="ВОЗВРАТ")),W747,"")</f>
        <v/>
      </c>
      <c r="AC747" s="15"/>
      <c r="AD747" s="16" t="str">
        <f aca="false">IF(OR(AC747="",P747=""),"",P747/AC747-1)</f>
        <v/>
      </c>
      <c r="AE747" s="19" t="str">
        <f aca="false">IF(AND(M747=0,OR(Z747="✅ ЗАШЛО",Z747="❌ НЕ ЗАШЛО"),L747&lt;&gt;""),(L747-IF(Z747="✅ ЗАШЛО",1,0))^2,"")</f>
        <v/>
      </c>
      <c r="AF747" s="15"/>
      <c r="AG747" s="15"/>
      <c r="AH747" s="13"/>
      <c r="AI747" s="13"/>
      <c r="AJ747" s="13"/>
      <c r="AK747" s="20" t="str">
        <f aca="false">IF(AH747="","",IF(ABS(AH747+AI747+AJ747-1)&lt;0.000001,"OK","ОШИБКА"))</f>
        <v/>
      </c>
      <c r="AL747" s="13"/>
      <c r="AM747" s="12"/>
      <c r="AN747" s="12"/>
      <c r="AO747" s="12"/>
      <c r="AP747" s="12"/>
      <c r="AQ747" s="18" t="str">
        <f aca="false">IF(A747="","",N(AQ746)+N(AA747))</f>
        <v/>
      </c>
      <c r="AR747" s="18" t="str">
        <f aca="false">IF(AQ747="","",MAX(0,MAX($AQ$8:AQ747))-AQ747)</f>
        <v/>
      </c>
    </row>
    <row r="748" customFormat="false" ht="15" hidden="false" customHeight="fals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3"/>
      <c r="M748" s="13"/>
      <c r="N748" s="13"/>
      <c r="O748" s="14" t="str">
        <f aca="false">IF(OR(L748="",L748=0),"",(1-M748)/L748)</f>
        <v/>
      </c>
      <c r="P748" s="15"/>
      <c r="Q748" s="12"/>
      <c r="R748" s="12"/>
      <c r="S748" s="13"/>
      <c r="T748" s="16" t="str">
        <f aca="false">IF(OR(S748="",L748=""),"",L748/(1-M748)-S748)</f>
        <v/>
      </c>
      <c r="U748" s="16" t="str">
        <f aca="false">IF(OR(L748="",P748=""),"",L748*(P748-1)-N748)</f>
        <v/>
      </c>
      <c r="V748" s="13"/>
      <c r="W748" s="17"/>
      <c r="X748" s="12"/>
      <c r="Y748" s="12"/>
      <c r="Z748" s="12"/>
      <c r="AA748" s="18" t="str">
        <f aca="false">IF(K748&lt;&gt;"ВИРТУАЛЬНЫЙ ВЫБОР","",IF(Z748="✅ ЗАШЛО",W748*(P748-1),IF(Z748="❌ НЕ ЗАШЛО",-W748,IF(Z748="½ ЗАШЛО",W748*(P748-1)/2,IF(Z748="½ НЕ ЗАШЛО",-W748/2,IF(Z748="ВОЗВРАТ",0,""))))))</f>
        <v/>
      </c>
      <c r="AB748" s="18" t="str">
        <f aca="false">IF(AND(K748="ВИРТУАЛЬНЫЙ ВЫБОР",OR(Z748="✅ ЗАШЛО",Z748="❌ НЕ ЗАШЛО",Z748="½ ЗАШЛО",Z748="½ НЕ ЗАШЛО",Z748="ВОЗВРАТ")),W748,"")</f>
        <v/>
      </c>
      <c r="AC748" s="15"/>
      <c r="AD748" s="16" t="str">
        <f aca="false">IF(OR(AC748="",P748=""),"",P748/AC748-1)</f>
        <v/>
      </c>
      <c r="AE748" s="19" t="str">
        <f aca="false">IF(AND(M748=0,OR(Z748="✅ ЗАШЛО",Z748="❌ НЕ ЗАШЛО"),L748&lt;&gt;""),(L748-IF(Z748="✅ ЗАШЛО",1,0))^2,"")</f>
        <v/>
      </c>
      <c r="AF748" s="15"/>
      <c r="AG748" s="15"/>
      <c r="AH748" s="13"/>
      <c r="AI748" s="13"/>
      <c r="AJ748" s="13"/>
      <c r="AK748" s="20" t="str">
        <f aca="false">IF(AH748="","",IF(ABS(AH748+AI748+AJ748-1)&lt;0.000001,"OK","ОШИБКА"))</f>
        <v/>
      </c>
      <c r="AL748" s="13"/>
      <c r="AM748" s="12"/>
      <c r="AN748" s="12"/>
      <c r="AO748" s="12"/>
      <c r="AP748" s="12"/>
      <c r="AQ748" s="18" t="str">
        <f aca="false">IF(A748="","",N(AQ747)+N(AA748))</f>
        <v/>
      </c>
      <c r="AR748" s="18" t="str">
        <f aca="false">IF(AQ748="","",MAX(0,MAX($AQ$8:AQ748))-AQ748)</f>
        <v/>
      </c>
    </row>
    <row r="749" customFormat="false" ht="15" hidden="false" customHeight="fals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3"/>
      <c r="M749" s="13"/>
      <c r="N749" s="13"/>
      <c r="O749" s="14" t="str">
        <f aca="false">IF(OR(L749="",L749=0),"",(1-M749)/L749)</f>
        <v/>
      </c>
      <c r="P749" s="15"/>
      <c r="Q749" s="12"/>
      <c r="R749" s="12"/>
      <c r="S749" s="13"/>
      <c r="T749" s="16" t="str">
        <f aca="false">IF(OR(S749="",L749=""),"",L749/(1-M749)-S749)</f>
        <v/>
      </c>
      <c r="U749" s="16" t="str">
        <f aca="false">IF(OR(L749="",P749=""),"",L749*(P749-1)-N749)</f>
        <v/>
      </c>
      <c r="V749" s="13"/>
      <c r="W749" s="17"/>
      <c r="X749" s="12"/>
      <c r="Y749" s="12"/>
      <c r="Z749" s="12"/>
      <c r="AA749" s="18" t="str">
        <f aca="false">IF(K749&lt;&gt;"ВИРТУАЛЬНЫЙ ВЫБОР","",IF(Z749="✅ ЗАШЛО",W749*(P749-1),IF(Z749="❌ НЕ ЗАШЛО",-W749,IF(Z749="½ ЗАШЛО",W749*(P749-1)/2,IF(Z749="½ НЕ ЗАШЛО",-W749/2,IF(Z749="ВОЗВРАТ",0,""))))))</f>
        <v/>
      </c>
      <c r="AB749" s="18" t="str">
        <f aca="false">IF(AND(K749="ВИРТУАЛЬНЫЙ ВЫБОР",OR(Z749="✅ ЗАШЛО",Z749="❌ НЕ ЗАШЛО",Z749="½ ЗАШЛО",Z749="½ НЕ ЗАШЛО",Z749="ВОЗВРАТ")),W749,"")</f>
        <v/>
      </c>
      <c r="AC749" s="15"/>
      <c r="AD749" s="16" t="str">
        <f aca="false">IF(OR(AC749="",P749=""),"",P749/AC749-1)</f>
        <v/>
      </c>
      <c r="AE749" s="19" t="str">
        <f aca="false">IF(AND(M749=0,OR(Z749="✅ ЗАШЛО",Z749="❌ НЕ ЗАШЛО"),L749&lt;&gt;""),(L749-IF(Z749="✅ ЗАШЛО",1,0))^2,"")</f>
        <v/>
      </c>
      <c r="AF749" s="15"/>
      <c r="AG749" s="15"/>
      <c r="AH749" s="13"/>
      <c r="AI749" s="13"/>
      <c r="AJ749" s="13"/>
      <c r="AK749" s="20" t="str">
        <f aca="false">IF(AH749="","",IF(ABS(AH749+AI749+AJ749-1)&lt;0.000001,"OK","ОШИБКА"))</f>
        <v/>
      </c>
      <c r="AL749" s="13"/>
      <c r="AM749" s="12"/>
      <c r="AN749" s="12"/>
      <c r="AO749" s="12"/>
      <c r="AP749" s="12"/>
      <c r="AQ749" s="18" t="str">
        <f aca="false">IF(A749="","",N(AQ748)+N(AA749))</f>
        <v/>
      </c>
      <c r="AR749" s="18" t="str">
        <f aca="false">IF(AQ749="","",MAX(0,MAX($AQ$8:AQ749))-AQ749)</f>
        <v/>
      </c>
    </row>
    <row r="750" customFormat="false" ht="15" hidden="false" customHeight="fals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3"/>
      <c r="M750" s="13"/>
      <c r="N750" s="13"/>
      <c r="O750" s="14" t="str">
        <f aca="false">IF(OR(L750="",L750=0),"",(1-M750)/L750)</f>
        <v/>
      </c>
      <c r="P750" s="15"/>
      <c r="Q750" s="12"/>
      <c r="R750" s="12"/>
      <c r="S750" s="13"/>
      <c r="T750" s="16" t="str">
        <f aca="false">IF(OR(S750="",L750=""),"",L750/(1-M750)-S750)</f>
        <v/>
      </c>
      <c r="U750" s="16" t="str">
        <f aca="false">IF(OR(L750="",P750=""),"",L750*(P750-1)-N750)</f>
        <v/>
      </c>
      <c r="V750" s="13"/>
      <c r="W750" s="17"/>
      <c r="X750" s="12"/>
      <c r="Y750" s="12"/>
      <c r="Z750" s="12"/>
      <c r="AA750" s="18" t="str">
        <f aca="false">IF(K750&lt;&gt;"ВИРТУАЛЬНЫЙ ВЫБОР","",IF(Z750="✅ ЗАШЛО",W750*(P750-1),IF(Z750="❌ НЕ ЗАШЛО",-W750,IF(Z750="½ ЗАШЛО",W750*(P750-1)/2,IF(Z750="½ НЕ ЗАШЛО",-W750/2,IF(Z750="ВОЗВРАТ",0,""))))))</f>
        <v/>
      </c>
      <c r="AB750" s="18" t="str">
        <f aca="false">IF(AND(K750="ВИРТУАЛЬНЫЙ ВЫБОР",OR(Z750="✅ ЗАШЛО",Z750="❌ НЕ ЗАШЛО",Z750="½ ЗАШЛО",Z750="½ НЕ ЗАШЛО",Z750="ВОЗВРАТ")),W750,"")</f>
        <v/>
      </c>
      <c r="AC750" s="15"/>
      <c r="AD750" s="16" t="str">
        <f aca="false">IF(OR(AC750="",P750=""),"",P750/AC750-1)</f>
        <v/>
      </c>
      <c r="AE750" s="19" t="str">
        <f aca="false">IF(AND(M750=0,OR(Z750="✅ ЗАШЛО",Z750="❌ НЕ ЗАШЛО"),L750&lt;&gt;""),(L750-IF(Z750="✅ ЗАШЛО",1,0))^2,"")</f>
        <v/>
      </c>
      <c r="AF750" s="15"/>
      <c r="AG750" s="15"/>
      <c r="AH750" s="13"/>
      <c r="AI750" s="13"/>
      <c r="AJ750" s="13"/>
      <c r="AK750" s="20" t="str">
        <f aca="false">IF(AH750="","",IF(ABS(AH750+AI750+AJ750-1)&lt;0.000001,"OK","ОШИБКА"))</f>
        <v/>
      </c>
      <c r="AL750" s="13"/>
      <c r="AM750" s="12"/>
      <c r="AN750" s="12"/>
      <c r="AO750" s="12"/>
      <c r="AP750" s="12"/>
      <c r="AQ750" s="18" t="str">
        <f aca="false">IF(A750="","",N(AQ749)+N(AA750))</f>
        <v/>
      </c>
      <c r="AR750" s="18" t="str">
        <f aca="false">IF(AQ750="","",MAX(0,MAX($AQ$8:AQ750))-AQ750)</f>
        <v/>
      </c>
    </row>
    <row r="751" customFormat="false" ht="15" hidden="false" customHeight="fals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3"/>
      <c r="M751" s="13"/>
      <c r="N751" s="13"/>
      <c r="O751" s="14" t="str">
        <f aca="false">IF(OR(L751="",L751=0),"",(1-M751)/L751)</f>
        <v/>
      </c>
      <c r="P751" s="15"/>
      <c r="Q751" s="12"/>
      <c r="R751" s="12"/>
      <c r="S751" s="13"/>
      <c r="T751" s="16" t="str">
        <f aca="false">IF(OR(S751="",L751=""),"",L751/(1-M751)-S751)</f>
        <v/>
      </c>
      <c r="U751" s="16" t="str">
        <f aca="false">IF(OR(L751="",P751=""),"",L751*(P751-1)-N751)</f>
        <v/>
      </c>
      <c r="V751" s="13"/>
      <c r="W751" s="17"/>
      <c r="X751" s="12"/>
      <c r="Y751" s="12"/>
      <c r="Z751" s="12"/>
      <c r="AA751" s="18" t="str">
        <f aca="false">IF(K751&lt;&gt;"ВИРТУАЛЬНЫЙ ВЫБОР","",IF(Z751="✅ ЗАШЛО",W751*(P751-1),IF(Z751="❌ НЕ ЗАШЛО",-W751,IF(Z751="½ ЗАШЛО",W751*(P751-1)/2,IF(Z751="½ НЕ ЗАШЛО",-W751/2,IF(Z751="ВОЗВРАТ",0,""))))))</f>
        <v/>
      </c>
      <c r="AB751" s="18" t="str">
        <f aca="false">IF(AND(K751="ВИРТУАЛЬНЫЙ ВЫБОР",OR(Z751="✅ ЗАШЛО",Z751="❌ НЕ ЗАШЛО",Z751="½ ЗАШЛО",Z751="½ НЕ ЗАШЛО",Z751="ВОЗВРАТ")),W751,"")</f>
        <v/>
      </c>
      <c r="AC751" s="15"/>
      <c r="AD751" s="16" t="str">
        <f aca="false">IF(OR(AC751="",P751=""),"",P751/AC751-1)</f>
        <v/>
      </c>
      <c r="AE751" s="19" t="str">
        <f aca="false">IF(AND(M751=0,OR(Z751="✅ ЗАШЛО",Z751="❌ НЕ ЗАШЛО"),L751&lt;&gt;""),(L751-IF(Z751="✅ ЗАШЛО",1,0))^2,"")</f>
        <v/>
      </c>
      <c r="AF751" s="15"/>
      <c r="AG751" s="15"/>
      <c r="AH751" s="13"/>
      <c r="AI751" s="13"/>
      <c r="AJ751" s="13"/>
      <c r="AK751" s="20" t="str">
        <f aca="false">IF(AH751="","",IF(ABS(AH751+AI751+AJ751-1)&lt;0.000001,"OK","ОШИБКА"))</f>
        <v/>
      </c>
      <c r="AL751" s="13"/>
      <c r="AM751" s="12"/>
      <c r="AN751" s="12"/>
      <c r="AO751" s="12"/>
      <c r="AP751" s="12"/>
      <c r="AQ751" s="18" t="str">
        <f aca="false">IF(A751="","",N(AQ750)+N(AA751))</f>
        <v/>
      </c>
      <c r="AR751" s="18" t="str">
        <f aca="false">IF(AQ751="","",MAX(0,MAX($AQ$8:AQ751))-AQ751)</f>
        <v/>
      </c>
    </row>
    <row r="752" customFormat="false" ht="15" hidden="false" customHeight="fals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3"/>
      <c r="M752" s="13"/>
      <c r="N752" s="13"/>
      <c r="O752" s="14" t="str">
        <f aca="false">IF(OR(L752="",L752=0),"",(1-M752)/L752)</f>
        <v/>
      </c>
      <c r="P752" s="15"/>
      <c r="Q752" s="12"/>
      <c r="R752" s="12"/>
      <c r="S752" s="13"/>
      <c r="T752" s="16" t="str">
        <f aca="false">IF(OR(S752="",L752=""),"",L752/(1-M752)-S752)</f>
        <v/>
      </c>
      <c r="U752" s="16" t="str">
        <f aca="false">IF(OR(L752="",P752=""),"",L752*(P752-1)-N752)</f>
        <v/>
      </c>
      <c r="V752" s="13"/>
      <c r="W752" s="17"/>
      <c r="X752" s="12"/>
      <c r="Y752" s="12"/>
      <c r="Z752" s="12"/>
      <c r="AA752" s="18" t="str">
        <f aca="false">IF(K752&lt;&gt;"ВИРТУАЛЬНЫЙ ВЫБОР","",IF(Z752="✅ ЗАШЛО",W752*(P752-1),IF(Z752="❌ НЕ ЗАШЛО",-W752,IF(Z752="½ ЗАШЛО",W752*(P752-1)/2,IF(Z752="½ НЕ ЗАШЛО",-W752/2,IF(Z752="ВОЗВРАТ",0,""))))))</f>
        <v/>
      </c>
      <c r="AB752" s="18" t="str">
        <f aca="false">IF(AND(K752="ВИРТУАЛЬНЫЙ ВЫБОР",OR(Z752="✅ ЗАШЛО",Z752="❌ НЕ ЗАШЛО",Z752="½ ЗАШЛО",Z752="½ НЕ ЗАШЛО",Z752="ВОЗВРАТ")),W752,"")</f>
        <v/>
      </c>
      <c r="AC752" s="15"/>
      <c r="AD752" s="16" t="str">
        <f aca="false">IF(OR(AC752="",P752=""),"",P752/AC752-1)</f>
        <v/>
      </c>
      <c r="AE752" s="19" t="str">
        <f aca="false">IF(AND(M752=0,OR(Z752="✅ ЗАШЛО",Z752="❌ НЕ ЗАШЛО"),L752&lt;&gt;""),(L752-IF(Z752="✅ ЗАШЛО",1,0))^2,"")</f>
        <v/>
      </c>
      <c r="AF752" s="15"/>
      <c r="AG752" s="15"/>
      <c r="AH752" s="13"/>
      <c r="AI752" s="13"/>
      <c r="AJ752" s="13"/>
      <c r="AK752" s="20" t="str">
        <f aca="false">IF(AH752="","",IF(ABS(AH752+AI752+AJ752-1)&lt;0.000001,"OK","ОШИБКА"))</f>
        <v/>
      </c>
      <c r="AL752" s="13"/>
      <c r="AM752" s="12"/>
      <c r="AN752" s="12"/>
      <c r="AO752" s="12"/>
      <c r="AP752" s="12"/>
      <c r="AQ752" s="18" t="str">
        <f aca="false">IF(A752="","",N(AQ751)+N(AA752))</f>
        <v/>
      </c>
      <c r="AR752" s="18" t="str">
        <f aca="false">IF(AQ752="","",MAX(0,MAX($AQ$8:AQ752))-AQ752)</f>
        <v/>
      </c>
    </row>
    <row r="753" customFormat="false" ht="15" hidden="false" customHeight="fals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3"/>
      <c r="M753" s="13"/>
      <c r="N753" s="13"/>
      <c r="O753" s="14" t="str">
        <f aca="false">IF(OR(L753="",L753=0),"",(1-M753)/L753)</f>
        <v/>
      </c>
      <c r="P753" s="15"/>
      <c r="Q753" s="12"/>
      <c r="R753" s="12"/>
      <c r="S753" s="13"/>
      <c r="T753" s="16" t="str">
        <f aca="false">IF(OR(S753="",L753=""),"",L753/(1-M753)-S753)</f>
        <v/>
      </c>
      <c r="U753" s="16" t="str">
        <f aca="false">IF(OR(L753="",P753=""),"",L753*(P753-1)-N753)</f>
        <v/>
      </c>
      <c r="V753" s="13"/>
      <c r="W753" s="17"/>
      <c r="X753" s="12"/>
      <c r="Y753" s="12"/>
      <c r="Z753" s="12"/>
      <c r="AA753" s="18" t="str">
        <f aca="false">IF(K753&lt;&gt;"ВИРТУАЛЬНЫЙ ВЫБОР","",IF(Z753="✅ ЗАШЛО",W753*(P753-1),IF(Z753="❌ НЕ ЗАШЛО",-W753,IF(Z753="½ ЗАШЛО",W753*(P753-1)/2,IF(Z753="½ НЕ ЗАШЛО",-W753/2,IF(Z753="ВОЗВРАТ",0,""))))))</f>
        <v/>
      </c>
      <c r="AB753" s="18" t="str">
        <f aca="false">IF(AND(K753="ВИРТУАЛЬНЫЙ ВЫБОР",OR(Z753="✅ ЗАШЛО",Z753="❌ НЕ ЗАШЛО",Z753="½ ЗАШЛО",Z753="½ НЕ ЗАШЛО",Z753="ВОЗВРАТ")),W753,"")</f>
        <v/>
      </c>
      <c r="AC753" s="15"/>
      <c r="AD753" s="16" t="str">
        <f aca="false">IF(OR(AC753="",P753=""),"",P753/AC753-1)</f>
        <v/>
      </c>
      <c r="AE753" s="19" t="str">
        <f aca="false">IF(AND(M753=0,OR(Z753="✅ ЗАШЛО",Z753="❌ НЕ ЗАШЛО"),L753&lt;&gt;""),(L753-IF(Z753="✅ ЗАШЛО",1,0))^2,"")</f>
        <v/>
      </c>
      <c r="AF753" s="15"/>
      <c r="AG753" s="15"/>
      <c r="AH753" s="13"/>
      <c r="AI753" s="13"/>
      <c r="AJ753" s="13"/>
      <c r="AK753" s="20" t="str">
        <f aca="false">IF(AH753="","",IF(ABS(AH753+AI753+AJ753-1)&lt;0.000001,"OK","ОШИБКА"))</f>
        <v/>
      </c>
      <c r="AL753" s="13"/>
      <c r="AM753" s="12"/>
      <c r="AN753" s="12"/>
      <c r="AO753" s="12"/>
      <c r="AP753" s="12"/>
      <c r="AQ753" s="18" t="str">
        <f aca="false">IF(A753="","",N(AQ752)+N(AA753))</f>
        <v/>
      </c>
      <c r="AR753" s="18" t="str">
        <f aca="false">IF(AQ753="","",MAX(0,MAX($AQ$8:AQ753))-AQ753)</f>
        <v/>
      </c>
    </row>
    <row r="754" customFormat="false" ht="15" hidden="false" customHeight="fals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3"/>
      <c r="M754" s="13"/>
      <c r="N754" s="13"/>
      <c r="O754" s="14" t="str">
        <f aca="false">IF(OR(L754="",L754=0),"",(1-M754)/L754)</f>
        <v/>
      </c>
      <c r="P754" s="15"/>
      <c r="Q754" s="12"/>
      <c r="R754" s="12"/>
      <c r="S754" s="13"/>
      <c r="T754" s="16" t="str">
        <f aca="false">IF(OR(S754="",L754=""),"",L754/(1-M754)-S754)</f>
        <v/>
      </c>
      <c r="U754" s="16" t="str">
        <f aca="false">IF(OR(L754="",P754=""),"",L754*(P754-1)-N754)</f>
        <v/>
      </c>
      <c r="V754" s="13"/>
      <c r="W754" s="17"/>
      <c r="X754" s="12"/>
      <c r="Y754" s="12"/>
      <c r="Z754" s="12"/>
      <c r="AA754" s="18" t="str">
        <f aca="false">IF(K754&lt;&gt;"ВИРТУАЛЬНЫЙ ВЫБОР","",IF(Z754="✅ ЗАШЛО",W754*(P754-1),IF(Z754="❌ НЕ ЗАШЛО",-W754,IF(Z754="½ ЗАШЛО",W754*(P754-1)/2,IF(Z754="½ НЕ ЗАШЛО",-W754/2,IF(Z754="ВОЗВРАТ",0,""))))))</f>
        <v/>
      </c>
      <c r="AB754" s="18" t="str">
        <f aca="false">IF(AND(K754="ВИРТУАЛЬНЫЙ ВЫБОР",OR(Z754="✅ ЗАШЛО",Z754="❌ НЕ ЗАШЛО",Z754="½ ЗАШЛО",Z754="½ НЕ ЗАШЛО",Z754="ВОЗВРАТ")),W754,"")</f>
        <v/>
      </c>
      <c r="AC754" s="15"/>
      <c r="AD754" s="16" t="str">
        <f aca="false">IF(OR(AC754="",P754=""),"",P754/AC754-1)</f>
        <v/>
      </c>
      <c r="AE754" s="19" t="str">
        <f aca="false">IF(AND(M754=0,OR(Z754="✅ ЗАШЛО",Z754="❌ НЕ ЗАШЛО"),L754&lt;&gt;""),(L754-IF(Z754="✅ ЗАШЛО",1,0))^2,"")</f>
        <v/>
      </c>
      <c r="AF754" s="15"/>
      <c r="AG754" s="15"/>
      <c r="AH754" s="13"/>
      <c r="AI754" s="13"/>
      <c r="AJ754" s="13"/>
      <c r="AK754" s="20" t="str">
        <f aca="false">IF(AH754="","",IF(ABS(AH754+AI754+AJ754-1)&lt;0.000001,"OK","ОШИБКА"))</f>
        <v/>
      </c>
      <c r="AL754" s="13"/>
      <c r="AM754" s="12"/>
      <c r="AN754" s="12"/>
      <c r="AO754" s="12"/>
      <c r="AP754" s="12"/>
      <c r="AQ754" s="18" t="str">
        <f aca="false">IF(A754="","",N(AQ753)+N(AA754))</f>
        <v/>
      </c>
      <c r="AR754" s="18" t="str">
        <f aca="false">IF(AQ754="","",MAX(0,MAX($AQ$8:AQ754))-AQ754)</f>
        <v/>
      </c>
    </row>
    <row r="755" customFormat="false" ht="15" hidden="false" customHeight="fals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3"/>
      <c r="M755" s="13"/>
      <c r="N755" s="13"/>
      <c r="O755" s="14" t="str">
        <f aca="false">IF(OR(L755="",L755=0),"",(1-M755)/L755)</f>
        <v/>
      </c>
      <c r="P755" s="15"/>
      <c r="Q755" s="12"/>
      <c r="R755" s="12"/>
      <c r="S755" s="13"/>
      <c r="T755" s="16" t="str">
        <f aca="false">IF(OR(S755="",L755=""),"",L755/(1-M755)-S755)</f>
        <v/>
      </c>
      <c r="U755" s="16" t="str">
        <f aca="false">IF(OR(L755="",P755=""),"",L755*(P755-1)-N755)</f>
        <v/>
      </c>
      <c r="V755" s="13"/>
      <c r="W755" s="17"/>
      <c r="X755" s="12"/>
      <c r="Y755" s="12"/>
      <c r="Z755" s="12"/>
      <c r="AA755" s="18" t="str">
        <f aca="false">IF(K755&lt;&gt;"ВИРТУАЛЬНЫЙ ВЫБОР","",IF(Z755="✅ ЗАШЛО",W755*(P755-1),IF(Z755="❌ НЕ ЗАШЛО",-W755,IF(Z755="½ ЗАШЛО",W755*(P755-1)/2,IF(Z755="½ НЕ ЗАШЛО",-W755/2,IF(Z755="ВОЗВРАТ",0,""))))))</f>
        <v/>
      </c>
      <c r="AB755" s="18" t="str">
        <f aca="false">IF(AND(K755="ВИРТУАЛЬНЫЙ ВЫБОР",OR(Z755="✅ ЗАШЛО",Z755="❌ НЕ ЗАШЛО",Z755="½ ЗАШЛО",Z755="½ НЕ ЗАШЛО",Z755="ВОЗВРАТ")),W755,"")</f>
        <v/>
      </c>
      <c r="AC755" s="15"/>
      <c r="AD755" s="16" t="str">
        <f aca="false">IF(OR(AC755="",P755=""),"",P755/AC755-1)</f>
        <v/>
      </c>
      <c r="AE755" s="19" t="str">
        <f aca="false">IF(AND(M755=0,OR(Z755="✅ ЗАШЛО",Z755="❌ НЕ ЗАШЛО"),L755&lt;&gt;""),(L755-IF(Z755="✅ ЗАШЛО",1,0))^2,"")</f>
        <v/>
      </c>
      <c r="AF755" s="15"/>
      <c r="AG755" s="15"/>
      <c r="AH755" s="13"/>
      <c r="AI755" s="13"/>
      <c r="AJ755" s="13"/>
      <c r="AK755" s="20" t="str">
        <f aca="false">IF(AH755="","",IF(ABS(AH755+AI755+AJ755-1)&lt;0.000001,"OK","ОШИБКА"))</f>
        <v/>
      </c>
      <c r="AL755" s="13"/>
      <c r="AM755" s="12"/>
      <c r="AN755" s="12"/>
      <c r="AO755" s="12"/>
      <c r="AP755" s="12"/>
      <c r="AQ755" s="18" t="str">
        <f aca="false">IF(A755="","",N(AQ754)+N(AA755))</f>
        <v/>
      </c>
      <c r="AR755" s="18" t="str">
        <f aca="false">IF(AQ755="","",MAX(0,MAX($AQ$8:AQ755))-AQ755)</f>
        <v/>
      </c>
    </row>
    <row r="756" customFormat="false" ht="15" hidden="false" customHeight="fals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3"/>
      <c r="M756" s="13"/>
      <c r="N756" s="13"/>
      <c r="O756" s="14" t="str">
        <f aca="false">IF(OR(L756="",L756=0),"",(1-M756)/L756)</f>
        <v/>
      </c>
      <c r="P756" s="15"/>
      <c r="Q756" s="12"/>
      <c r="R756" s="12"/>
      <c r="S756" s="13"/>
      <c r="T756" s="16" t="str">
        <f aca="false">IF(OR(S756="",L756=""),"",L756/(1-M756)-S756)</f>
        <v/>
      </c>
      <c r="U756" s="16" t="str">
        <f aca="false">IF(OR(L756="",P756=""),"",L756*(P756-1)-N756)</f>
        <v/>
      </c>
      <c r="V756" s="13"/>
      <c r="W756" s="17"/>
      <c r="X756" s="12"/>
      <c r="Y756" s="12"/>
      <c r="Z756" s="12"/>
      <c r="AA756" s="18" t="str">
        <f aca="false">IF(K756&lt;&gt;"ВИРТУАЛЬНЫЙ ВЫБОР","",IF(Z756="✅ ЗАШЛО",W756*(P756-1),IF(Z756="❌ НЕ ЗАШЛО",-W756,IF(Z756="½ ЗАШЛО",W756*(P756-1)/2,IF(Z756="½ НЕ ЗАШЛО",-W756/2,IF(Z756="ВОЗВРАТ",0,""))))))</f>
        <v/>
      </c>
      <c r="AB756" s="18" t="str">
        <f aca="false">IF(AND(K756="ВИРТУАЛЬНЫЙ ВЫБОР",OR(Z756="✅ ЗАШЛО",Z756="❌ НЕ ЗАШЛО",Z756="½ ЗАШЛО",Z756="½ НЕ ЗАШЛО",Z756="ВОЗВРАТ")),W756,"")</f>
        <v/>
      </c>
      <c r="AC756" s="15"/>
      <c r="AD756" s="16" t="str">
        <f aca="false">IF(OR(AC756="",P756=""),"",P756/AC756-1)</f>
        <v/>
      </c>
      <c r="AE756" s="19" t="str">
        <f aca="false">IF(AND(M756=0,OR(Z756="✅ ЗАШЛО",Z756="❌ НЕ ЗАШЛО"),L756&lt;&gt;""),(L756-IF(Z756="✅ ЗАШЛО",1,0))^2,"")</f>
        <v/>
      </c>
      <c r="AF756" s="15"/>
      <c r="AG756" s="15"/>
      <c r="AH756" s="13"/>
      <c r="AI756" s="13"/>
      <c r="AJ756" s="13"/>
      <c r="AK756" s="20" t="str">
        <f aca="false">IF(AH756="","",IF(ABS(AH756+AI756+AJ756-1)&lt;0.000001,"OK","ОШИБКА"))</f>
        <v/>
      </c>
      <c r="AL756" s="13"/>
      <c r="AM756" s="12"/>
      <c r="AN756" s="12"/>
      <c r="AO756" s="12"/>
      <c r="AP756" s="12"/>
      <c r="AQ756" s="18" t="str">
        <f aca="false">IF(A756="","",N(AQ755)+N(AA756))</f>
        <v/>
      </c>
      <c r="AR756" s="18" t="str">
        <f aca="false">IF(AQ756="","",MAX(0,MAX($AQ$8:AQ756))-AQ756)</f>
        <v/>
      </c>
    </row>
    <row r="757" customFormat="false" ht="15" hidden="false" customHeight="fals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3"/>
      <c r="M757" s="13"/>
      <c r="N757" s="13"/>
      <c r="O757" s="14" t="str">
        <f aca="false">IF(OR(L757="",L757=0),"",(1-M757)/L757)</f>
        <v/>
      </c>
      <c r="P757" s="15"/>
      <c r="Q757" s="12"/>
      <c r="R757" s="12"/>
      <c r="S757" s="13"/>
      <c r="T757" s="16" t="str">
        <f aca="false">IF(OR(S757="",L757=""),"",L757/(1-M757)-S757)</f>
        <v/>
      </c>
      <c r="U757" s="16" t="str">
        <f aca="false">IF(OR(L757="",P757=""),"",L757*(P757-1)-N757)</f>
        <v/>
      </c>
      <c r="V757" s="13"/>
      <c r="W757" s="17"/>
      <c r="X757" s="12"/>
      <c r="Y757" s="12"/>
      <c r="Z757" s="12"/>
      <c r="AA757" s="18" t="str">
        <f aca="false">IF(K757&lt;&gt;"ВИРТУАЛЬНЫЙ ВЫБОР","",IF(Z757="✅ ЗАШЛО",W757*(P757-1),IF(Z757="❌ НЕ ЗАШЛО",-W757,IF(Z757="½ ЗАШЛО",W757*(P757-1)/2,IF(Z757="½ НЕ ЗАШЛО",-W757/2,IF(Z757="ВОЗВРАТ",0,""))))))</f>
        <v/>
      </c>
      <c r="AB757" s="18" t="str">
        <f aca="false">IF(AND(K757="ВИРТУАЛЬНЫЙ ВЫБОР",OR(Z757="✅ ЗАШЛО",Z757="❌ НЕ ЗАШЛО",Z757="½ ЗАШЛО",Z757="½ НЕ ЗАШЛО",Z757="ВОЗВРАТ")),W757,"")</f>
        <v/>
      </c>
      <c r="AC757" s="15"/>
      <c r="AD757" s="16" t="str">
        <f aca="false">IF(OR(AC757="",P757=""),"",P757/AC757-1)</f>
        <v/>
      </c>
      <c r="AE757" s="19" t="str">
        <f aca="false">IF(AND(M757=0,OR(Z757="✅ ЗАШЛО",Z757="❌ НЕ ЗАШЛО"),L757&lt;&gt;""),(L757-IF(Z757="✅ ЗАШЛО",1,0))^2,"")</f>
        <v/>
      </c>
      <c r="AF757" s="15"/>
      <c r="AG757" s="15"/>
      <c r="AH757" s="13"/>
      <c r="AI757" s="13"/>
      <c r="AJ757" s="13"/>
      <c r="AK757" s="20" t="str">
        <f aca="false">IF(AH757="","",IF(ABS(AH757+AI757+AJ757-1)&lt;0.000001,"OK","ОШИБКА"))</f>
        <v/>
      </c>
      <c r="AL757" s="13"/>
      <c r="AM757" s="12"/>
      <c r="AN757" s="12"/>
      <c r="AO757" s="12"/>
      <c r="AP757" s="12"/>
      <c r="AQ757" s="18" t="str">
        <f aca="false">IF(A757="","",N(AQ756)+N(AA757))</f>
        <v/>
      </c>
      <c r="AR757" s="18" t="str">
        <f aca="false">IF(AQ757="","",MAX(0,MAX($AQ$8:AQ757))-AQ757)</f>
        <v/>
      </c>
    </row>
    <row r="758" customFormat="false" ht="15" hidden="false" customHeight="fals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3"/>
      <c r="M758" s="13"/>
      <c r="N758" s="13"/>
      <c r="O758" s="14" t="str">
        <f aca="false">IF(OR(L758="",L758=0),"",(1-M758)/L758)</f>
        <v/>
      </c>
      <c r="P758" s="15"/>
      <c r="Q758" s="12"/>
      <c r="R758" s="12"/>
      <c r="S758" s="13"/>
      <c r="T758" s="16" t="str">
        <f aca="false">IF(OR(S758="",L758=""),"",L758/(1-M758)-S758)</f>
        <v/>
      </c>
      <c r="U758" s="16" t="str">
        <f aca="false">IF(OR(L758="",P758=""),"",L758*(P758-1)-N758)</f>
        <v/>
      </c>
      <c r="V758" s="13"/>
      <c r="W758" s="17"/>
      <c r="X758" s="12"/>
      <c r="Y758" s="12"/>
      <c r="Z758" s="12"/>
      <c r="AA758" s="18" t="str">
        <f aca="false">IF(K758&lt;&gt;"ВИРТУАЛЬНЫЙ ВЫБОР","",IF(Z758="✅ ЗАШЛО",W758*(P758-1),IF(Z758="❌ НЕ ЗАШЛО",-W758,IF(Z758="½ ЗАШЛО",W758*(P758-1)/2,IF(Z758="½ НЕ ЗАШЛО",-W758/2,IF(Z758="ВОЗВРАТ",0,""))))))</f>
        <v/>
      </c>
      <c r="AB758" s="18" t="str">
        <f aca="false">IF(AND(K758="ВИРТУАЛЬНЫЙ ВЫБОР",OR(Z758="✅ ЗАШЛО",Z758="❌ НЕ ЗАШЛО",Z758="½ ЗАШЛО",Z758="½ НЕ ЗАШЛО",Z758="ВОЗВРАТ")),W758,"")</f>
        <v/>
      </c>
      <c r="AC758" s="15"/>
      <c r="AD758" s="16" t="str">
        <f aca="false">IF(OR(AC758="",P758=""),"",P758/AC758-1)</f>
        <v/>
      </c>
      <c r="AE758" s="19" t="str">
        <f aca="false">IF(AND(M758=0,OR(Z758="✅ ЗАШЛО",Z758="❌ НЕ ЗАШЛО"),L758&lt;&gt;""),(L758-IF(Z758="✅ ЗАШЛО",1,0))^2,"")</f>
        <v/>
      </c>
      <c r="AF758" s="15"/>
      <c r="AG758" s="15"/>
      <c r="AH758" s="13"/>
      <c r="AI758" s="13"/>
      <c r="AJ758" s="13"/>
      <c r="AK758" s="20" t="str">
        <f aca="false">IF(AH758="","",IF(ABS(AH758+AI758+AJ758-1)&lt;0.000001,"OK","ОШИБКА"))</f>
        <v/>
      </c>
      <c r="AL758" s="13"/>
      <c r="AM758" s="12"/>
      <c r="AN758" s="12"/>
      <c r="AO758" s="12"/>
      <c r="AP758" s="12"/>
      <c r="AQ758" s="18" t="str">
        <f aca="false">IF(A758="","",N(AQ757)+N(AA758))</f>
        <v/>
      </c>
      <c r="AR758" s="18" t="str">
        <f aca="false">IF(AQ758="","",MAX(0,MAX($AQ$8:AQ758))-AQ758)</f>
        <v/>
      </c>
    </row>
    <row r="759" customFormat="false" ht="15" hidden="false" customHeight="fals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3"/>
      <c r="M759" s="13"/>
      <c r="N759" s="13"/>
      <c r="O759" s="14" t="str">
        <f aca="false">IF(OR(L759="",L759=0),"",(1-M759)/L759)</f>
        <v/>
      </c>
      <c r="P759" s="15"/>
      <c r="Q759" s="12"/>
      <c r="R759" s="12"/>
      <c r="S759" s="13"/>
      <c r="T759" s="16" t="str">
        <f aca="false">IF(OR(S759="",L759=""),"",L759/(1-M759)-S759)</f>
        <v/>
      </c>
      <c r="U759" s="16" t="str">
        <f aca="false">IF(OR(L759="",P759=""),"",L759*(P759-1)-N759)</f>
        <v/>
      </c>
      <c r="V759" s="13"/>
      <c r="W759" s="17"/>
      <c r="X759" s="12"/>
      <c r="Y759" s="12"/>
      <c r="Z759" s="12"/>
      <c r="AA759" s="18" t="str">
        <f aca="false">IF(K759&lt;&gt;"ВИРТУАЛЬНЫЙ ВЫБОР","",IF(Z759="✅ ЗАШЛО",W759*(P759-1),IF(Z759="❌ НЕ ЗАШЛО",-W759,IF(Z759="½ ЗАШЛО",W759*(P759-1)/2,IF(Z759="½ НЕ ЗАШЛО",-W759/2,IF(Z759="ВОЗВРАТ",0,""))))))</f>
        <v/>
      </c>
      <c r="AB759" s="18" t="str">
        <f aca="false">IF(AND(K759="ВИРТУАЛЬНЫЙ ВЫБОР",OR(Z759="✅ ЗАШЛО",Z759="❌ НЕ ЗАШЛО",Z759="½ ЗАШЛО",Z759="½ НЕ ЗАШЛО",Z759="ВОЗВРАТ")),W759,"")</f>
        <v/>
      </c>
      <c r="AC759" s="15"/>
      <c r="AD759" s="16" t="str">
        <f aca="false">IF(OR(AC759="",P759=""),"",P759/AC759-1)</f>
        <v/>
      </c>
      <c r="AE759" s="19" t="str">
        <f aca="false">IF(AND(M759=0,OR(Z759="✅ ЗАШЛО",Z759="❌ НЕ ЗАШЛО"),L759&lt;&gt;""),(L759-IF(Z759="✅ ЗАШЛО",1,0))^2,"")</f>
        <v/>
      </c>
      <c r="AF759" s="15"/>
      <c r="AG759" s="15"/>
      <c r="AH759" s="13"/>
      <c r="AI759" s="13"/>
      <c r="AJ759" s="13"/>
      <c r="AK759" s="20" t="str">
        <f aca="false">IF(AH759="","",IF(ABS(AH759+AI759+AJ759-1)&lt;0.000001,"OK","ОШИБКА"))</f>
        <v/>
      </c>
      <c r="AL759" s="13"/>
      <c r="AM759" s="12"/>
      <c r="AN759" s="12"/>
      <c r="AO759" s="12"/>
      <c r="AP759" s="12"/>
      <c r="AQ759" s="18" t="str">
        <f aca="false">IF(A759="","",N(AQ758)+N(AA759))</f>
        <v/>
      </c>
      <c r="AR759" s="18" t="str">
        <f aca="false">IF(AQ759="","",MAX(0,MAX($AQ$8:AQ759))-AQ759)</f>
        <v/>
      </c>
    </row>
    <row r="760" customFormat="false" ht="15" hidden="false" customHeight="fals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3"/>
      <c r="M760" s="13"/>
      <c r="N760" s="13"/>
      <c r="O760" s="14" t="str">
        <f aca="false">IF(OR(L760="",L760=0),"",(1-M760)/L760)</f>
        <v/>
      </c>
      <c r="P760" s="15"/>
      <c r="Q760" s="12"/>
      <c r="R760" s="12"/>
      <c r="S760" s="13"/>
      <c r="T760" s="16" t="str">
        <f aca="false">IF(OR(S760="",L760=""),"",L760/(1-M760)-S760)</f>
        <v/>
      </c>
      <c r="U760" s="16" t="str">
        <f aca="false">IF(OR(L760="",P760=""),"",L760*(P760-1)-N760)</f>
        <v/>
      </c>
      <c r="V760" s="13"/>
      <c r="W760" s="17"/>
      <c r="X760" s="12"/>
      <c r="Y760" s="12"/>
      <c r="Z760" s="12"/>
      <c r="AA760" s="18" t="str">
        <f aca="false">IF(K760&lt;&gt;"ВИРТУАЛЬНЫЙ ВЫБОР","",IF(Z760="✅ ЗАШЛО",W760*(P760-1),IF(Z760="❌ НЕ ЗАШЛО",-W760,IF(Z760="½ ЗАШЛО",W760*(P760-1)/2,IF(Z760="½ НЕ ЗАШЛО",-W760/2,IF(Z760="ВОЗВРАТ",0,""))))))</f>
        <v/>
      </c>
      <c r="AB760" s="18" t="str">
        <f aca="false">IF(AND(K760="ВИРТУАЛЬНЫЙ ВЫБОР",OR(Z760="✅ ЗАШЛО",Z760="❌ НЕ ЗАШЛО",Z760="½ ЗАШЛО",Z760="½ НЕ ЗАШЛО",Z760="ВОЗВРАТ")),W760,"")</f>
        <v/>
      </c>
      <c r="AC760" s="15"/>
      <c r="AD760" s="16" t="str">
        <f aca="false">IF(OR(AC760="",P760=""),"",P760/AC760-1)</f>
        <v/>
      </c>
      <c r="AE760" s="19" t="str">
        <f aca="false">IF(AND(M760=0,OR(Z760="✅ ЗАШЛО",Z760="❌ НЕ ЗАШЛО"),L760&lt;&gt;""),(L760-IF(Z760="✅ ЗАШЛО",1,0))^2,"")</f>
        <v/>
      </c>
      <c r="AF760" s="15"/>
      <c r="AG760" s="15"/>
      <c r="AH760" s="13"/>
      <c r="AI760" s="13"/>
      <c r="AJ760" s="13"/>
      <c r="AK760" s="20" t="str">
        <f aca="false">IF(AH760="","",IF(ABS(AH760+AI760+AJ760-1)&lt;0.000001,"OK","ОШИБКА"))</f>
        <v/>
      </c>
      <c r="AL760" s="13"/>
      <c r="AM760" s="12"/>
      <c r="AN760" s="12"/>
      <c r="AO760" s="12"/>
      <c r="AP760" s="12"/>
      <c r="AQ760" s="18" t="str">
        <f aca="false">IF(A760="","",N(AQ759)+N(AA760))</f>
        <v/>
      </c>
      <c r="AR760" s="18" t="str">
        <f aca="false">IF(AQ760="","",MAX(0,MAX($AQ$8:AQ760))-AQ760)</f>
        <v/>
      </c>
    </row>
    <row r="761" customFormat="false" ht="15" hidden="false" customHeight="fals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3"/>
      <c r="M761" s="13"/>
      <c r="N761" s="13"/>
      <c r="O761" s="14" t="str">
        <f aca="false">IF(OR(L761="",L761=0),"",(1-M761)/L761)</f>
        <v/>
      </c>
      <c r="P761" s="15"/>
      <c r="Q761" s="12"/>
      <c r="R761" s="12"/>
      <c r="S761" s="13"/>
      <c r="T761" s="16" t="str">
        <f aca="false">IF(OR(S761="",L761=""),"",L761/(1-M761)-S761)</f>
        <v/>
      </c>
      <c r="U761" s="16" t="str">
        <f aca="false">IF(OR(L761="",P761=""),"",L761*(P761-1)-N761)</f>
        <v/>
      </c>
      <c r="V761" s="13"/>
      <c r="W761" s="17"/>
      <c r="X761" s="12"/>
      <c r="Y761" s="12"/>
      <c r="Z761" s="12"/>
      <c r="AA761" s="18" t="str">
        <f aca="false">IF(K761&lt;&gt;"ВИРТУАЛЬНЫЙ ВЫБОР","",IF(Z761="✅ ЗАШЛО",W761*(P761-1),IF(Z761="❌ НЕ ЗАШЛО",-W761,IF(Z761="½ ЗАШЛО",W761*(P761-1)/2,IF(Z761="½ НЕ ЗАШЛО",-W761/2,IF(Z761="ВОЗВРАТ",0,""))))))</f>
        <v/>
      </c>
      <c r="AB761" s="18" t="str">
        <f aca="false">IF(AND(K761="ВИРТУАЛЬНЫЙ ВЫБОР",OR(Z761="✅ ЗАШЛО",Z761="❌ НЕ ЗАШЛО",Z761="½ ЗАШЛО",Z761="½ НЕ ЗАШЛО",Z761="ВОЗВРАТ")),W761,"")</f>
        <v/>
      </c>
      <c r="AC761" s="15"/>
      <c r="AD761" s="16" t="str">
        <f aca="false">IF(OR(AC761="",P761=""),"",P761/AC761-1)</f>
        <v/>
      </c>
      <c r="AE761" s="19" t="str">
        <f aca="false">IF(AND(M761=0,OR(Z761="✅ ЗАШЛО",Z761="❌ НЕ ЗАШЛО"),L761&lt;&gt;""),(L761-IF(Z761="✅ ЗАШЛО",1,0))^2,"")</f>
        <v/>
      </c>
      <c r="AF761" s="15"/>
      <c r="AG761" s="15"/>
      <c r="AH761" s="13"/>
      <c r="AI761" s="13"/>
      <c r="AJ761" s="13"/>
      <c r="AK761" s="20" t="str">
        <f aca="false">IF(AH761="","",IF(ABS(AH761+AI761+AJ761-1)&lt;0.000001,"OK","ОШИБКА"))</f>
        <v/>
      </c>
      <c r="AL761" s="13"/>
      <c r="AM761" s="12"/>
      <c r="AN761" s="12"/>
      <c r="AO761" s="12"/>
      <c r="AP761" s="12"/>
      <c r="AQ761" s="18" t="str">
        <f aca="false">IF(A761="","",N(AQ760)+N(AA761))</f>
        <v/>
      </c>
      <c r="AR761" s="18" t="str">
        <f aca="false">IF(AQ761="","",MAX(0,MAX($AQ$8:AQ761))-AQ761)</f>
        <v/>
      </c>
    </row>
    <row r="762" customFormat="false" ht="15" hidden="false" customHeight="fals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3"/>
      <c r="M762" s="13"/>
      <c r="N762" s="13"/>
      <c r="O762" s="14" t="str">
        <f aca="false">IF(OR(L762="",L762=0),"",(1-M762)/L762)</f>
        <v/>
      </c>
      <c r="P762" s="15"/>
      <c r="Q762" s="12"/>
      <c r="R762" s="12"/>
      <c r="S762" s="13"/>
      <c r="T762" s="16" t="str">
        <f aca="false">IF(OR(S762="",L762=""),"",L762/(1-M762)-S762)</f>
        <v/>
      </c>
      <c r="U762" s="16" t="str">
        <f aca="false">IF(OR(L762="",P762=""),"",L762*(P762-1)-N762)</f>
        <v/>
      </c>
      <c r="V762" s="13"/>
      <c r="W762" s="17"/>
      <c r="X762" s="12"/>
      <c r="Y762" s="12"/>
      <c r="Z762" s="12"/>
      <c r="AA762" s="18" t="str">
        <f aca="false">IF(K762&lt;&gt;"ВИРТУАЛЬНЫЙ ВЫБОР","",IF(Z762="✅ ЗАШЛО",W762*(P762-1),IF(Z762="❌ НЕ ЗАШЛО",-W762,IF(Z762="½ ЗАШЛО",W762*(P762-1)/2,IF(Z762="½ НЕ ЗАШЛО",-W762/2,IF(Z762="ВОЗВРАТ",0,""))))))</f>
        <v/>
      </c>
      <c r="AB762" s="18" t="str">
        <f aca="false">IF(AND(K762="ВИРТУАЛЬНЫЙ ВЫБОР",OR(Z762="✅ ЗАШЛО",Z762="❌ НЕ ЗАШЛО",Z762="½ ЗАШЛО",Z762="½ НЕ ЗАШЛО",Z762="ВОЗВРАТ")),W762,"")</f>
        <v/>
      </c>
      <c r="AC762" s="15"/>
      <c r="AD762" s="16" t="str">
        <f aca="false">IF(OR(AC762="",P762=""),"",P762/AC762-1)</f>
        <v/>
      </c>
      <c r="AE762" s="19" t="str">
        <f aca="false">IF(AND(M762=0,OR(Z762="✅ ЗАШЛО",Z762="❌ НЕ ЗАШЛО"),L762&lt;&gt;""),(L762-IF(Z762="✅ ЗАШЛО",1,0))^2,"")</f>
        <v/>
      </c>
      <c r="AF762" s="15"/>
      <c r="AG762" s="15"/>
      <c r="AH762" s="13"/>
      <c r="AI762" s="13"/>
      <c r="AJ762" s="13"/>
      <c r="AK762" s="20" t="str">
        <f aca="false">IF(AH762="","",IF(ABS(AH762+AI762+AJ762-1)&lt;0.000001,"OK","ОШИБКА"))</f>
        <v/>
      </c>
      <c r="AL762" s="13"/>
      <c r="AM762" s="12"/>
      <c r="AN762" s="12"/>
      <c r="AO762" s="12"/>
      <c r="AP762" s="12"/>
      <c r="AQ762" s="18" t="str">
        <f aca="false">IF(A762="","",N(AQ761)+N(AA762))</f>
        <v/>
      </c>
      <c r="AR762" s="18" t="str">
        <f aca="false">IF(AQ762="","",MAX(0,MAX($AQ$8:AQ762))-AQ762)</f>
        <v/>
      </c>
    </row>
    <row r="763" customFormat="false" ht="15" hidden="false" customHeight="fals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3"/>
      <c r="M763" s="13"/>
      <c r="N763" s="13"/>
      <c r="O763" s="14" t="str">
        <f aca="false">IF(OR(L763="",L763=0),"",(1-M763)/L763)</f>
        <v/>
      </c>
      <c r="P763" s="15"/>
      <c r="Q763" s="12"/>
      <c r="R763" s="12"/>
      <c r="S763" s="13"/>
      <c r="T763" s="16" t="str">
        <f aca="false">IF(OR(S763="",L763=""),"",L763/(1-M763)-S763)</f>
        <v/>
      </c>
      <c r="U763" s="16" t="str">
        <f aca="false">IF(OR(L763="",P763=""),"",L763*(P763-1)-N763)</f>
        <v/>
      </c>
      <c r="V763" s="13"/>
      <c r="W763" s="17"/>
      <c r="X763" s="12"/>
      <c r="Y763" s="12"/>
      <c r="Z763" s="12"/>
      <c r="AA763" s="18" t="str">
        <f aca="false">IF(K763&lt;&gt;"ВИРТУАЛЬНЫЙ ВЫБОР","",IF(Z763="✅ ЗАШЛО",W763*(P763-1),IF(Z763="❌ НЕ ЗАШЛО",-W763,IF(Z763="½ ЗАШЛО",W763*(P763-1)/2,IF(Z763="½ НЕ ЗАШЛО",-W763/2,IF(Z763="ВОЗВРАТ",0,""))))))</f>
        <v/>
      </c>
      <c r="AB763" s="18" t="str">
        <f aca="false">IF(AND(K763="ВИРТУАЛЬНЫЙ ВЫБОР",OR(Z763="✅ ЗАШЛО",Z763="❌ НЕ ЗАШЛО",Z763="½ ЗАШЛО",Z763="½ НЕ ЗАШЛО",Z763="ВОЗВРАТ")),W763,"")</f>
        <v/>
      </c>
      <c r="AC763" s="15"/>
      <c r="AD763" s="16" t="str">
        <f aca="false">IF(OR(AC763="",P763=""),"",P763/AC763-1)</f>
        <v/>
      </c>
      <c r="AE763" s="19" t="str">
        <f aca="false">IF(AND(M763=0,OR(Z763="✅ ЗАШЛО",Z763="❌ НЕ ЗАШЛО"),L763&lt;&gt;""),(L763-IF(Z763="✅ ЗАШЛО",1,0))^2,"")</f>
        <v/>
      </c>
      <c r="AF763" s="15"/>
      <c r="AG763" s="15"/>
      <c r="AH763" s="13"/>
      <c r="AI763" s="13"/>
      <c r="AJ763" s="13"/>
      <c r="AK763" s="20" t="str">
        <f aca="false">IF(AH763="","",IF(ABS(AH763+AI763+AJ763-1)&lt;0.000001,"OK","ОШИБКА"))</f>
        <v/>
      </c>
      <c r="AL763" s="13"/>
      <c r="AM763" s="12"/>
      <c r="AN763" s="12"/>
      <c r="AO763" s="12"/>
      <c r="AP763" s="12"/>
      <c r="AQ763" s="18" t="str">
        <f aca="false">IF(A763="","",N(AQ762)+N(AA763))</f>
        <v/>
      </c>
      <c r="AR763" s="18" t="str">
        <f aca="false">IF(AQ763="","",MAX(0,MAX($AQ$8:AQ763))-AQ763)</f>
        <v/>
      </c>
    </row>
    <row r="764" customFormat="false" ht="15" hidden="false" customHeight="fals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3"/>
      <c r="M764" s="13"/>
      <c r="N764" s="13"/>
      <c r="O764" s="14" t="str">
        <f aca="false">IF(OR(L764="",L764=0),"",(1-M764)/L764)</f>
        <v/>
      </c>
      <c r="P764" s="15"/>
      <c r="Q764" s="12"/>
      <c r="R764" s="12"/>
      <c r="S764" s="13"/>
      <c r="T764" s="16" t="str">
        <f aca="false">IF(OR(S764="",L764=""),"",L764/(1-M764)-S764)</f>
        <v/>
      </c>
      <c r="U764" s="16" t="str">
        <f aca="false">IF(OR(L764="",P764=""),"",L764*(P764-1)-N764)</f>
        <v/>
      </c>
      <c r="V764" s="13"/>
      <c r="W764" s="17"/>
      <c r="X764" s="12"/>
      <c r="Y764" s="12"/>
      <c r="Z764" s="12"/>
      <c r="AA764" s="18" t="str">
        <f aca="false">IF(K764&lt;&gt;"ВИРТУАЛЬНЫЙ ВЫБОР","",IF(Z764="✅ ЗАШЛО",W764*(P764-1),IF(Z764="❌ НЕ ЗАШЛО",-W764,IF(Z764="½ ЗАШЛО",W764*(P764-1)/2,IF(Z764="½ НЕ ЗАШЛО",-W764/2,IF(Z764="ВОЗВРАТ",0,""))))))</f>
        <v/>
      </c>
      <c r="AB764" s="18" t="str">
        <f aca="false">IF(AND(K764="ВИРТУАЛЬНЫЙ ВЫБОР",OR(Z764="✅ ЗАШЛО",Z764="❌ НЕ ЗАШЛО",Z764="½ ЗАШЛО",Z764="½ НЕ ЗАШЛО",Z764="ВОЗВРАТ")),W764,"")</f>
        <v/>
      </c>
      <c r="AC764" s="15"/>
      <c r="AD764" s="16" t="str">
        <f aca="false">IF(OR(AC764="",P764=""),"",P764/AC764-1)</f>
        <v/>
      </c>
      <c r="AE764" s="19" t="str">
        <f aca="false">IF(AND(M764=0,OR(Z764="✅ ЗАШЛО",Z764="❌ НЕ ЗАШЛО"),L764&lt;&gt;""),(L764-IF(Z764="✅ ЗАШЛО",1,0))^2,"")</f>
        <v/>
      </c>
      <c r="AF764" s="15"/>
      <c r="AG764" s="15"/>
      <c r="AH764" s="13"/>
      <c r="AI764" s="13"/>
      <c r="AJ764" s="13"/>
      <c r="AK764" s="20" t="str">
        <f aca="false">IF(AH764="","",IF(ABS(AH764+AI764+AJ764-1)&lt;0.000001,"OK","ОШИБКА"))</f>
        <v/>
      </c>
      <c r="AL764" s="13"/>
      <c r="AM764" s="12"/>
      <c r="AN764" s="12"/>
      <c r="AO764" s="12"/>
      <c r="AP764" s="12"/>
      <c r="AQ764" s="18" t="str">
        <f aca="false">IF(A764="","",N(AQ763)+N(AA764))</f>
        <v/>
      </c>
      <c r="AR764" s="18" t="str">
        <f aca="false">IF(AQ764="","",MAX(0,MAX($AQ$8:AQ764))-AQ764)</f>
        <v/>
      </c>
    </row>
    <row r="765" customFormat="false" ht="15" hidden="false" customHeight="fals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3"/>
      <c r="M765" s="13"/>
      <c r="N765" s="13"/>
      <c r="O765" s="14" t="str">
        <f aca="false">IF(OR(L765="",L765=0),"",(1-M765)/L765)</f>
        <v/>
      </c>
      <c r="P765" s="15"/>
      <c r="Q765" s="12"/>
      <c r="R765" s="12"/>
      <c r="S765" s="13"/>
      <c r="T765" s="16" t="str">
        <f aca="false">IF(OR(S765="",L765=""),"",L765/(1-M765)-S765)</f>
        <v/>
      </c>
      <c r="U765" s="16" t="str">
        <f aca="false">IF(OR(L765="",P765=""),"",L765*(P765-1)-N765)</f>
        <v/>
      </c>
      <c r="V765" s="13"/>
      <c r="W765" s="17"/>
      <c r="X765" s="12"/>
      <c r="Y765" s="12"/>
      <c r="Z765" s="12"/>
      <c r="AA765" s="18" t="str">
        <f aca="false">IF(K765&lt;&gt;"ВИРТУАЛЬНЫЙ ВЫБОР","",IF(Z765="✅ ЗАШЛО",W765*(P765-1),IF(Z765="❌ НЕ ЗАШЛО",-W765,IF(Z765="½ ЗАШЛО",W765*(P765-1)/2,IF(Z765="½ НЕ ЗАШЛО",-W765/2,IF(Z765="ВОЗВРАТ",0,""))))))</f>
        <v/>
      </c>
      <c r="AB765" s="18" t="str">
        <f aca="false">IF(AND(K765="ВИРТУАЛЬНЫЙ ВЫБОР",OR(Z765="✅ ЗАШЛО",Z765="❌ НЕ ЗАШЛО",Z765="½ ЗАШЛО",Z765="½ НЕ ЗАШЛО",Z765="ВОЗВРАТ")),W765,"")</f>
        <v/>
      </c>
      <c r="AC765" s="15"/>
      <c r="AD765" s="16" t="str">
        <f aca="false">IF(OR(AC765="",P765=""),"",P765/AC765-1)</f>
        <v/>
      </c>
      <c r="AE765" s="19" t="str">
        <f aca="false">IF(AND(M765=0,OR(Z765="✅ ЗАШЛО",Z765="❌ НЕ ЗАШЛО"),L765&lt;&gt;""),(L765-IF(Z765="✅ ЗАШЛО",1,0))^2,"")</f>
        <v/>
      </c>
      <c r="AF765" s="15"/>
      <c r="AG765" s="15"/>
      <c r="AH765" s="13"/>
      <c r="AI765" s="13"/>
      <c r="AJ765" s="13"/>
      <c r="AK765" s="20" t="str">
        <f aca="false">IF(AH765="","",IF(ABS(AH765+AI765+AJ765-1)&lt;0.000001,"OK","ОШИБКА"))</f>
        <v/>
      </c>
      <c r="AL765" s="13"/>
      <c r="AM765" s="12"/>
      <c r="AN765" s="12"/>
      <c r="AO765" s="12"/>
      <c r="AP765" s="12"/>
      <c r="AQ765" s="18" t="str">
        <f aca="false">IF(A765="","",N(AQ764)+N(AA765))</f>
        <v/>
      </c>
      <c r="AR765" s="18" t="str">
        <f aca="false">IF(AQ765="","",MAX(0,MAX($AQ$8:AQ765))-AQ765)</f>
        <v/>
      </c>
    </row>
    <row r="766" customFormat="false" ht="15" hidden="false" customHeight="fals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3"/>
      <c r="M766" s="13"/>
      <c r="N766" s="13"/>
      <c r="O766" s="14" t="str">
        <f aca="false">IF(OR(L766="",L766=0),"",(1-M766)/L766)</f>
        <v/>
      </c>
      <c r="P766" s="15"/>
      <c r="Q766" s="12"/>
      <c r="R766" s="12"/>
      <c r="S766" s="13"/>
      <c r="T766" s="16" t="str">
        <f aca="false">IF(OR(S766="",L766=""),"",L766/(1-M766)-S766)</f>
        <v/>
      </c>
      <c r="U766" s="16" t="str">
        <f aca="false">IF(OR(L766="",P766=""),"",L766*(P766-1)-N766)</f>
        <v/>
      </c>
      <c r="V766" s="13"/>
      <c r="W766" s="17"/>
      <c r="X766" s="12"/>
      <c r="Y766" s="12"/>
      <c r="Z766" s="12"/>
      <c r="AA766" s="18" t="str">
        <f aca="false">IF(K766&lt;&gt;"ВИРТУАЛЬНЫЙ ВЫБОР","",IF(Z766="✅ ЗАШЛО",W766*(P766-1),IF(Z766="❌ НЕ ЗАШЛО",-W766,IF(Z766="½ ЗАШЛО",W766*(P766-1)/2,IF(Z766="½ НЕ ЗАШЛО",-W766/2,IF(Z766="ВОЗВРАТ",0,""))))))</f>
        <v/>
      </c>
      <c r="AB766" s="18" t="str">
        <f aca="false">IF(AND(K766="ВИРТУАЛЬНЫЙ ВЫБОР",OR(Z766="✅ ЗАШЛО",Z766="❌ НЕ ЗАШЛО",Z766="½ ЗАШЛО",Z766="½ НЕ ЗАШЛО",Z766="ВОЗВРАТ")),W766,"")</f>
        <v/>
      </c>
      <c r="AC766" s="15"/>
      <c r="AD766" s="16" t="str">
        <f aca="false">IF(OR(AC766="",P766=""),"",P766/AC766-1)</f>
        <v/>
      </c>
      <c r="AE766" s="19" t="str">
        <f aca="false">IF(AND(M766=0,OR(Z766="✅ ЗАШЛО",Z766="❌ НЕ ЗАШЛО"),L766&lt;&gt;""),(L766-IF(Z766="✅ ЗАШЛО",1,0))^2,"")</f>
        <v/>
      </c>
      <c r="AF766" s="15"/>
      <c r="AG766" s="15"/>
      <c r="AH766" s="13"/>
      <c r="AI766" s="13"/>
      <c r="AJ766" s="13"/>
      <c r="AK766" s="20" t="str">
        <f aca="false">IF(AH766="","",IF(ABS(AH766+AI766+AJ766-1)&lt;0.000001,"OK","ОШИБКА"))</f>
        <v/>
      </c>
      <c r="AL766" s="13"/>
      <c r="AM766" s="12"/>
      <c r="AN766" s="12"/>
      <c r="AO766" s="12"/>
      <c r="AP766" s="12"/>
      <c r="AQ766" s="18" t="str">
        <f aca="false">IF(A766="","",N(AQ765)+N(AA766))</f>
        <v/>
      </c>
      <c r="AR766" s="18" t="str">
        <f aca="false">IF(AQ766="","",MAX(0,MAX($AQ$8:AQ766))-AQ766)</f>
        <v/>
      </c>
    </row>
    <row r="767" customFormat="false" ht="15" hidden="false" customHeight="fals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3"/>
      <c r="M767" s="13"/>
      <c r="N767" s="13"/>
      <c r="O767" s="14" t="str">
        <f aca="false">IF(OR(L767="",L767=0),"",(1-M767)/L767)</f>
        <v/>
      </c>
      <c r="P767" s="15"/>
      <c r="Q767" s="12"/>
      <c r="R767" s="12"/>
      <c r="S767" s="13"/>
      <c r="T767" s="16" t="str">
        <f aca="false">IF(OR(S767="",L767=""),"",L767/(1-M767)-S767)</f>
        <v/>
      </c>
      <c r="U767" s="16" t="str">
        <f aca="false">IF(OR(L767="",P767=""),"",L767*(P767-1)-N767)</f>
        <v/>
      </c>
      <c r="V767" s="13"/>
      <c r="W767" s="17"/>
      <c r="X767" s="12"/>
      <c r="Y767" s="12"/>
      <c r="Z767" s="12"/>
      <c r="AA767" s="18" t="str">
        <f aca="false">IF(K767&lt;&gt;"ВИРТУАЛЬНЫЙ ВЫБОР","",IF(Z767="✅ ЗАШЛО",W767*(P767-1),IF(Z767="❌ НЕ ЗАШЛО",-W767,IF(Z767="½ ЗАШЛО",W767*(P767-1)/2,IF(Z767="½ НЕ ЗАШЛО",-W767/2,IF(Z767="ВОЗВРАТ",0,""))))))</f>
        <v/>
      </c>
      <c r="AB767" s="18" t="str">
        <f aca="false">IF(AND(K767="ВИРТУАЛЬНЫЙ ВЫБОР",OR(Z767="✅ ЗАШЛО",Z767="❌ НЕ ЗАШЛО",Z767="½ ЗАШЛО",Z767="½ НЕ ЗАШЛО",Z767="ВОЗВРАТ")),W767,"")</f>
        <v/>
      </c>
      <c r="AC767" s="15"/>
      <c r="AD767" s="16" t="str">
        <f aca="false">IF(OR(AC767="",P767=""),"",P767/AC767-1)</f>
        <v/>
      </c>
      <c r="AE767" s="19" t="str">
        <f aca="false">IF(AND(M767=0,OR(Z767="✅ ЗАШЛО",Z767="❌ НЕ ЗАШЛО"),L767&lt;&gt;""),(L767-IF(Z767="✅ ЗАШЛО",1,0))^2,"")</f>
        <v/>
      </c>
      <c r="AF767" s="15"/>
      <c r="AG767" s="15"/>
      <c r="AH767" s="13"/>
      <c r="AI767" s="13"/>
      <c r="AJ767" s="13"/>
      <c r="AK767" s="20" t="str">
        <f aca="false">IF(AH767="","",IF(ABS(AH767+AI767+AJ767-1)&lt;0.000001,"OK","ОШИБКА"))</f>
        <v/>
      </c>
      <c r="AL767" s="13"/>
      <c r="AM767" s="12"/>
      <c r="AN767" s="12"/>
      <c r="AO767" s="12"/>
      <c r="AP767" s="12"/>
      <c r="AQ767" s="18" t="str">
        <f aca="false">IF(A767="","",N(AQ766)+N(AA767))</f>
        <v/>
      </c>
      <c r="AR767" s="18" t="str">
        <f aca="false">IF(AQ767="","",MAX(0,MAX($AQ$8:AQ767))-AQ767)</f>
        <v/>
      </c>
    </row>
    <row r="768" customFormat="false" ht="15" hidden="false" customHeight="fals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3"/>
      <c r="M768" s="13"/>
      <c r="N768" s="13"/>
      <c r="O768" s="14" t="str">
        <f aca="false">IF(OR(L768="",L768=0),"",(1-M768)/L768)</f>
        <v/>
      </c>
      <c r="P768" s="15"/>
      <c r="Q768" s="12"/>
      <c r="R768" s="12"/>
      <c r="S768" s="13"/>
      <c r="T768" s="16" t="str">
        <f aca="false">IF(OR(S768="",L768=""),"",L768/(1-M768)-S768)</f>
        <v/>
      </c>
      <c r="U768" s="16" t="str">
        <f aca="false">IF(OR(L768="",P768=""),"",L768*(P768-1)-N768)</f>
        <v/>
      </c>
      <c r="V768" s="13"/>
      <c r="W768" s="17"/>
      <c r="X768" s="12"/>
      <c r="Y768" s="12"/>
      <c r="Z768" s="12"/>
      <c r="AA768" s="18" t="str">
        <f aca="false">IF(K768&lt;&gt;"ВИРТУАЛЬНЫЙ ВЫБОР","",IF(Z768="✅ ЗАШЛО",W768*(P768-1),IF(Z768="❌ НЕ ЗАШЛО",-W768,IF(Z768="½ ЗАШЛО",W768*(P768-1)/2,IF(Z768="½ НЕ ЗАШЛО",-W768/2,IF(Z768="ВОЗВРАТ",0,""))))))</f>
        <v/>
      </c>
      <c r="AB768" s="18" t="str">
        <f aca="false">IF(AND(K768="ВИРТУАЛЬНЫЙ ВЫБОР",OR(Z768="✅ ЗАШЛО",Z768="❌ НЕ ЗАШЛО",Z768="½ ЗАШЛО",Z768="½ НЕ ЗАШЛО",Z768="ВОЗВРАТ")),W768,"")</f>
        <v/>
      </c>
      <c r="AC768" s="15"/>
      <c r="AD768" s="16" t="str">
        <f aca="false">IF(OR(AC768="",P768=""),"",P768/AC768-1)</f>
        <v/>
      </c>
      <c r="AE768" s="19" t="str">
        <f aca="false">IF(AND(M768=0,OR(Z768="✅ ЗАШЛО",Z768="❌ НЕ ЗАШЛО"),L768&lt;&gt;""),(L768-IF(Z768="✅ ЗАШЛО",1,0))^2,"")</f>
        <v/>
      </c>
      <c r="AF768" s="15"/>
      <c r="AG768" s="15"/>
      <c r="AH768" s="13"/>
      <c r="AI768" s="13"/>
      <c r="AJ768" s="13"/>
      <c r="AK768" s="20" t="str">
        <f aca="false">IF(AH768="","",IF(ABS(AH768+AI768+AJ768-1)&lt;0.000001,"OK","ОШИБКА"))</f>
        <v/>
      </c>
      <c r="AL768" s="13"/>
      <c r="AM768" s="12"/>
      <c r="AN768" s="12"/>
      <c r="AO768" s="12"/>
      <c r="AP768" s="12"/>
      <c r="AQ768" s="18" t="str">
        <f aca="false">IF(A768="","",N(AQ767)+N(AA768))</f>
        <v/>
      </c>
      <c r="AR768" s="18" t="str">
        <f aca="false">IF(AQ768="","",MAX(0,MAX($AQ$8:AQ768))-AQ768)</f>
        <v/>
      </c>
    </row>
    <row r="769" customFormat="false" ht="15" hidden="false" customHeight="fals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3"/>
      <c r="M769" s="13"/>
      <c r="N769" s="13"/>
      <c r="O769" s="14" t="str">
        <f aca="false">IF(OR(L769="",L769=0),"",(1-M769)/L769)</f>
        <v/>
      </c>
      <c r="P769" s="15"/>
      <c r="Q769" s="12"/>
      <c r="R769" s="12"/>
      <c r="S769" s="13"/>
      <c r="T769" s="16" t="str">
        <f aca="false">IF(OR(S769="",L769=""),"",L769/(1-M769)-S769)</f>
        <v/>
      </c>
      <c r="U769" s="16" t="str">
        <f aca="false">IF(OR(L769="",P769=""),"",L769*(P769-1)-N769)</f>
        <v/>
      </c>
      <c r="V769" s="13"/>
      <c r="W769" s="17"/>
      <c r="X769" s="12"/>
      <c r="Y769" s="12"/>
      <c r="Z769" s="12"/>
      <c r="AA769" s="18" t="str">
        <f aca="false">IF(K769&lt;&gt;"ВИРТУАЛЬНЫЙ ВЫБОР","",IF(Z769="✅ ЗАШЛО",W769*(P769-1),IF(Z769="❌ НЕ ЗАШЛО",-W769,IF(Z769="½ ЗАШЛО",W769*(P769-1)/2,IF(Z769="½ НЕ ЗАШЛО",-W769/2,IF(Z769="ВОЗВРАТ",0,""))))))</f>
        <v/>
      </c>
      <c r="AB769" s="18" t="str">
        <f aca="false">IF(AND(K769="ВИРТУАЛЬНЫЙ ВЫБОР",OR(Z769="✅ ЗАШЛО",Z769="❌ НЕ ЗАШЛО",Z769="½ ЗАШЛО",Z769="½ НЕ ЗАШЛО",Z769="ВОЗВРАТ")),W769,"")</f>
        <v/>
      </c>
      <c r="AC769" s="15"/>
      <c r="AD769" s="16" t="str">
        <f aca="false">IF(OR(AC769="",P769=""),"",P769/AC769-1)</f>
        <v/>
      </c>
      <c r="AE769" s="19" t="str">
        <f aca="false">IF(AND(M769=0,OR(Z769="✅ ЗАШЛО",Z769="❌ НЕ ЗАШЛО"),L769&lt;&gt;""),(L769-IF(Z769="✅ ЗАШЛО",1,0))^2,"")</f>
        <v/>
      </c>
      <c r="AF769" s="15"/>
      <c r="AG769" s="15"/>
      <c r="AH769" s="13"/>
      <c r="AI769" s="13"/>
      <c r="AJ769" s="13"/>
      <c r="AK769" s="20" t="str">
        <f aca="false">IF(AH769="","",IF(ABS(AH769+AI769+AJ769-1)&lt;0.000001,"OK","ОШИБКА"))</f>
        <v/>
      </c>
      <c r="AL769" s="13"/>
      <c r="AM769" s="12"/>
      <c r="AN769" s="12"/>
      <c r="AO769" s="12"/>
      <c r="AP769" s="12"/>
      <c r="AQ769" s="18" t="str">
        <f aca="false">IF(A769="","",N(AQ768)+N(AA769))</f>
        <v/>
      </c>
      <c r="AR769" s="18" t="str">
        <f aca="false">IF(AQ769="","",MAX(0,MAX($AQ$8:AQ769))-AQ769)</f>
        <v/>
      </c>
    </row>
    <row r="770" customFormat="false" ht="15" hidden="false" customHeight="fals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3"/>
      <c r="M770" s="13"/>
      <c r="N770" s="13"/>
      <c r="O770" s="14" t="str">
        <f aca="false">IF(OR(L770="",L770=0),"",(1-M770)/L770)</f>
        <v/>
      </c>
      <c r="P770" s="15"/>
      <c r="Q770" s="12"/>
      <c r="R770" s="12"/>
      <c r="S770" s="13"/>
      <c r="T770" s="16" t="str">
        <f aca="false">IF(OR(S770="",L770=""),"",L770/(1-M770)-S770)</f>
        <v/>
      </c>
      <c r="U770" s="16" t="str">
        <f aca="false">IF(OR(L770="",P770=""),"",L770*(P770-1)-N770)</f>
        <v/>
      </c>
      <c r="V770" s="13"/>
      <c r="W770" s="17"/>
      <c r="X770" s="12"/>
      <c r="Y770" s="12"/>
      <c r="Z770" s="12"/>
      <c r="AA770" s="18" t="str">
        <f aca="false">IF(K770&lt;&gt;"ВИРТУАЛЬНЫЙ ВЫБОР","",IF(Z770="✅ ЗАШЛО",W770*(P770-1),IF(Z770="❌ НЕ ЗАШЛО",-W770,IF(Z770="½ ЗАШЛО",W770*(P770-1)/2,IF(Z770="½ НЕ ЗАШЛО",-W770/2,IF(Z770="ВОЗВРАТ",0,""))))))</f>
        <v/>
      </c>
      <c r="AB770" s="18" t="str">
        <f aca="false">IF(AND(K770="ВИРТУАЛЬНЫЙ ВЫБОР",OR(Z770="✅ ЗАШЛО",Z770="❌ НЕ ЗАШЛО",Z770="½ ЗАШЛО",Z770="½ НЕ ЗАШЛО",Z770="ВОЗВРАТ")),W770,"")</f>
        <v/>
      </c>
      <c r="AC770" s="15"/>
      <c r="AD770" s="16" t="str">
        <f aca="false">IF(OR(AC770="",P770=""),"",P770/AC770-1)</f>
        <v/>
      </c>
      <c r="AE770" s="19" t="str">
        <f aca="false">IF(AND(M770=0,OR(Z770="✅ ЗАШЛО",Z770="❌ НЕ ЗАШЛО"),L770&lt;&gt;""),(L770-IF(Z770="✅ ЗАШЛО",1,0))^2,"")</f>
        <v/>
      </c>
      <c r="AF770" s="15"/>
      <c r="AG770" s="15"/>
      <c r="AH770" s="13"/>
      <c r="AI770" s="13"/>
      <c r="AJ770" s="13"/>
      <c r="AK770" s="20" t="str">
        <f aca="false">IF(AH770="","",IF(ABS(AH770+AI770+AJ770-1)&lt;0.000001,"OK","ОШИБКА"))</f>
        <v/>
      </c>
      <c r="AL770" s="13"/>
      <c r="AM770" s="12"/>
      <c r="AN770" s="12"/>
      <c r="AO770" s="12"/>
      <c r="AP770" s="12"/>
      <c r="AQ770" s="18" t="str">
        <f aca="false">IF(A770="","",N(AQ769)+N(AA770))</f>
        <v/>
      </c>
      <c r="AR770" s="18" t="str">
        <f aca="false">IF(AQ770="","",MAX(0,MAX($AQ$8:AQ770))-AQ770)</f>
        <v/>
      </c>
    </row>
    <row r="771" customFormat="false" ht="15" hidden="false" customHeight="fals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3"/>
      <c r="M771" s="13"/>
      <c r="N771" s="13"/>
      <c r="O771" s="14" t="str">
        <f aca="false">IF(OR(L771="",L771=0),"",(1-M771)/L771)</f>
        <v/>
      </c>
      <c r="P771" s="15"/>
      <c r="Q771" s="12"/>
      <c r="R771" s="12"/>
      <c r="S771" s="13"/>
      <c r="T771" s="16" t="str">
        <f aca="false">IF(OR(S771="",L771=""),"",L771/(1-M771)-S771)</f>
        <v/>
      </c>
      <c r="U771" s="16" t="str">
        <f aca="false">IF(OR(L771="",P771=""),"",L771*(P771-1)-N771)</f>
        <v/>
      </c>
      <c r="V771" s="13"/>
      <c r="W771" s="17"/>
      <c r="X771" s="12"/>
      <c r="Y771" s="12"/>
      <c r="Z771" s="12"/>
      <c r="AA771" s="18" t="str">
        <f aca="false">IF(K771&lt;&gt;"ВИРТУАЛЬНЫЙ ВЫБОР","",IF(Z771="✅ ЗАШЛО",W771*(P771-1),IF(Z771="❌ НЕ ЗАШЛО",-W771,IF(Z771="½ ЗАШЛО",W771*(P771-1)/2,IF(Z771="½ НЕ ЗАШЛО",-W771/2,IF(Z771="ВОЗВРАТ",0,""))))))</f>
        <v/>
      </c>
      <c r="AB771" s="18" t="str">
        <f aca="false">IF(AND(K771="ВИРТУАЛЬНЫЙ ВЫБОР",OR(Z771="✅ ЗАШЛО",Z771="❌ НЕ ЗАШЛО",Z771="½ ЗАШЛО",Z771="½ НЕ ЗАШЛО",Z771="ВОЗВРАТ")),W771,"")</f>
        <v/>
      </c>
      <c r="AC771" s="15"/>
      <c r="AD771" s="16" t="str">
        <f aca="false">IF(OR(AC771="",P771=""),"",P771/AC771-1)</f>
        <v/>
      </c>
      <c r="AE771" s="19" t="str">
        <f aca="false">IF(AND(M771=0,OR(Z771="✅ ЗАШЛО",Z771="❌ НЕ ЗАШЛО"),L771&lt;&gt;""),(L771-IF(Z771="✅ ЗАШЛО",1,0))^2,"")</f>
        <v/>
      </c>
      <c r="AF771" s="15"/>
      <c r="AG771" s="15"/>
      <c r="AH771" s="13"/>
      <c r="AI771" s="13"/>
      <c r="AJ771" s="13"/>
      <c r="AK771" s="20" t="str">
        <f aca="false">IF(AH771="","",IF(ABS(AH771+AI771+AJ771-1)&lt;0.000001,"OK","ОШИБКА"))</f>
        <v/>
      </c>
      <c r="AL771" s="13"/>
      <c r="AM771" s="12"/>
      <c r="AN771" s="12"/>
      <c r="AO771" s="12"/>
      <c r="AP771" s="12"/>
      <c r="AQ771" s="18" t="str">
        <f aca="false">IF(A771="","",N(AQ770)+N(AA771))</f>
        <v/>
      </c>
      <c r="AR771" s="18" t="str">
        <f aca="false">IF(AQ771="","",MAX(0,MAX($AQ$8:AQ771))-AQ771)</f>
        <v/>
      </c>
    </row>
    <row r="772" customFormat="false" ht="15" hidden="false" customHeight="fals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3"/>
      <c r="M772" s="13"/>
      <c r="N772" s="13"/>
      <c r="O772" s="14" t="str">
        <f aca="false">IF(OR(L772="",L772=0),"",(1-M772)/L772)</f>
        <v/>
      </c>
      <c r="P772" s="15"/>
      <c r="Q772" s="12"/>
      <c r="R772" s="12"/>
      <c r="S772" s="13"/>
      <c r="T772" s="16" t="str">
        <f aca="false">IF(OR(S772="",L772=""),"",L772/(1-M772)-S772)</f>
        <v/>
      </c>
      <c r="U772" s="16" t="str">
        <f aca="false">IF(OR(L772="",P772=""),"",L772*(P772-1)-N772)</f>
        <v/>
      </c>
      <c r="V772" s="13"/>
      <c r="W772" s="17"/>
      <c r="X772" s="12"/>
      <c r="Y772" s="12"/>
      <c r="Z772" s="12"/>
      <c r="AA772" s="18" t="str">
        <f aca="false">IF(K772&lt;&gt;"ВИРТУАЛЬНЫЙ ВЫБОР","",IF(Z772="✅ ЗАШЛО",W772*(P772-1),IF(Z772="❌ НЕ ЗАШЛО",-W772,IF(Z772="½ ЗАШЛО",W772*(P772-1)/2,IF(Z772="½ НЕ ЗАШЛО",-W772/2,IF(Z772="ВОЗВРАТ",0,""))))))</f>
        <v/>
      </c>
      <c r="AB772" s="18" t="str">
        <f aca="false">IF(AND(K772="ВИРТУАЛЬНЫЙ ВЫБОР",OR(Z772="✅ ЗАШЛО",Z772="❌ НЕ ЗАШЛО",Z772="½ ЗАШЛО",Z772="½ НЕ ЗАШЛО",Z772="ВОЗВРАТ")),W772,"")</f>
        <v/>
      </c>
      <c r="AC772" s="15"/>
      <c r="AD772" s="16" t="str">
        <f aca="false">IF(OR(AC772="",P772=""),"",P772/AC772-1)</f>
        <v/>
      </c>
      <c r="AE772" s="19" t="str">
        <f aca="false">IF(AND(M772=0,OR(Z772="✅ ЗАШЛО",Z772="❌ НЕ ЗАШЛО"),L772&lt;&gt;""),(L772-IF(Z772="✅ ЗАШЛО",1,0))^2,"")</f>
        <v/>
      </c>
      <c r="AF772" s="15"/>
      <c r="AG772" s="15"/>
      <c r="AH772" s="13"/>
      <c r="AI772" s="13"/>
      <c r="AJ772" s="13"/>
      <c r="AK772" s="20" t="str">
        <f aca="false">IF(AH772="","",IF(ABS(AH772+AI772+AJ772-1)&lt;0.000001,"OK","ОШИБКА"))</f>
        <v/>
      </c>
      <c r="AL772" s="13"/>
      <c r="AM772" s="12"/>
      <c r="AN772" s="12"/>
      <c r="AO772" s="12"/>
      <c r="AP772" s="12"/>
      <c r="AQ772" s="18" t="str">
        <f aca="false">IF(A772="","",N(AQ771)+N(AA772))</f>
        <v/>
      </c>
      <c r="AR772" s="18" t="str">
        <f aca="false">IF(AQ772="","",MAX(0,MAX($AQ$8:AQ772))-AQ772)</f>
        <v/>
      </c>
    </row>
    <row r="773" customFormat="false" ht="15" hidden="false" customHeight="fals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3"/>
      <c r="M773" s="13"/>
      <c r="N773" s="13"/>
      <c r="O773" s="14" t="str">
        <f aca="false">IF(OR(L773="",L773=0),"",(1-M773)/L773)</f>
        <v/>
      </c>
      <c r="P773" s="15"/>
      <c r="Q773" s="12"/>
      <c r="R773" s="12"/>
      <c r="S773" s="13"/>
      <c r="T773" s="16" t="str">
        <f aca="false">IF(OR(S773="",L773=""),"",L773/(1-M773)-S773)</f>
        <v/>
      </c>
      <c r="U773" s="16" t="str">
        <f aca="false">IF(OR(L773="",P773=""),"",L773*(P773-1)-N773)</f>
        <v/>
      </c>
      <c r="V773" s="13"/>
      <c r="W773" s="17"/>
      <c r="X773" s="12"/>
      <c r="Y773" s="12"/>
      <c r="Z773" s="12"/>
      <c r="AA773" s="18" t="str">
        <f aca="false">IF(K773&lt;&gt;"ВИРТУАЛЬНЫЙ ВЫБОР","",IF(Z773="✅ ЗАШЛО",W773*(P773-1),IF(Z773="❌ НЕ ЗАШЛО",-W773,IF(Z773="½ ЗАШЛО",W773*(P773-1)/2,IF(Z773="½ НЕ ЗАШЛО",-W773/2,IF(Z773="ВОЗВРАТ",0,""))))))</f>
        <v/>
      </c>
      <c r="AB773" s="18" t="str">
        <f aca="false">IF(AND(K773="ВИРТУАЛЬНЫЙ ВЫБОР",OR(Z773="✅ ЗАШЛО",Z773="❌ НЕ ЗАШЛО",Z773="½ ЗАШЛО",Z773="½ НЕ ЗАШЛО",Z773="ВОЗВРАТ")),W773,"")</f>
        <v/>
      </c>
      <c r="AC773" s="15"/>
      <c r="AD773" s="16" t="str">
        <f aca="false">IF(OR(AC773="",P773=""),"",P773/AC773-1)</f>
        <v/>
      </c>
      <c r="AE773" s="19" t="str">
        <f aca="false">IF(AND(M773=0,OR(Z773="✅ ЗАШЛО",Z773="❌ НЕ ЗАШЛО"),L773&lt;&gt;""),(L773-IF(Z773="✅ ЗАШЛО",1,0))^2,"")</f>
        <v/>
      </c>
      <c r="AF773" s="15"/>
      <c r="AG773" s="15"/>
      <c r="AH773" s="13"/>
      <c r="AI773" s="13"/>
      <c r="AJ773" s="13"/>
      <c r="AK773" s="20" t="str">
        <f aca="false">IF(AH773="","",IF(ABS(AH773+AI773+AJ773-1)&lt;0.000001,"OK","ОШИБКА"))</f>
        <v/>
      </c>
      <c r="AL773" s="13"/>
      <c r="AM773" s="12"/>
      <c r="AN773" s="12"/>
      <c r="AO773" s="12"/>
      <c r="AP773" s="12"/>
      <c r="AQ773" s="18" t="str">
        <f aca="false">IF(A773="","",N(AQ772)+N(AA773))</f>
        <v/>
      </c>
      <c r="AR773" s="18" t="str">
        <f aca="false">IF(AQ773="","",MAX(0,MAX($AQ$8:AQ773))-AQ773)</f>
        <v/>
      </c>
    </row>
    <row r="774" customFormat="false" ht="15" hidden="false" customHeight="fals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3"/>
      <c r="M774" s="13"/>
      <c r="N774" s="13"/>
      <c r="O774" s="14" t="str">
        <f aca="false">IF(OR(L774="",L774=0),"",(1-M774)/L774)</f>
        <v/>
      </c>
      <c r="P774" s="15"/>
      <c r="Q774" s="12"/>
      <c r="R774" s="12"/>
      <c r="S774" s="13"/>
      <c r="T774" s="16" t="str">
        <f aca="false">IF(OR(S774="",L774=""),"",L774/(1-M774)-S774)</f>
        <v/>
      </c>
      <c r="U774" s="16" t="str">
        <f aca="false">IF(OR(L774="",P774=""),"",L774*(P774-1)-N774)</f>
        <v/>
      </c>
      <c r="V774" s="13"/>
      <c r="W774" s="17"/>
      <c r="X774" s="12"/>
      <c r="Y774" s="12"/>
      <c r="Z774" s="12"/>
      <c r="AA774" s="18" t="str">
        <f aca="false">IF(K774&lt;&gt;"ВИРТУАЛЬНЫЙ ВЫБОР","",IF(Z774="✅ ЗАШЛО",W774*(P774-1),IF(Z774="❌ НЕ ЗАШЛО",-W774,IF(Z774="½ ЗАШЛО",W774*(P774-1)/2,IF(Z774="½ НЕ ЗАШЛО",-W774/2,IF(Z774="ВОЗВРАТ",0,""))))))</f>
        <v/>
      </c>
      <c r="AB774" s="18" t="str">
        <f aca="false">IF(AND(K774="ВИРТУАЛЬНЫЙ ВЫБОР",OR(Z774="✅ ЗАШЛО",Z774="❌ НЕ ЗАШЛО",Z774="½ ЗАШЛО",Z774="½ НЕ ЗАШЛО",Z774="ВОЗВРАТ")),W774,"")</f>
        <v/>
      </c>
      <c r="AC774" s="15"/>
      <c r="AD774" s="16" t="str">
        <f aca="false">IF(OR(AC774="",P774=""),"",P774/AC774-1)</f>
        <v/>
      </c>
      <c r="AE774" s="19" t="str">
        <f aca="false">IF(AND(M774=0,OR(Z774="✅ ЗАШЛО",Z774="❌ НЕ ЗАШЛО"),L774&lt;&gt;""),(L774-IF(Z774="✅ ЗАШЛО",1,0))^2,"")</f>
        <v/>
      </c>
      <c r="AF774" s="15"/>
      <c r="AG774" s="15"/>
      <c r="AH774" s="13"/>
      <c r="AI774" s="13"/>
      <c r="AJ774" s="13"/>
      <c r="AK774" s="20" t="str">
        <f aca="false">IF(AH774="","",IF(ABS(AH774+AI774+AJ774-1)&lt;0.000001,"OK","ОШИБКА"))</f>
        <v/>
      </c>
      <c r="AL774" s="13"/>
      <c r="AM774" s="12"/>
      <c r="AN774" s="12"/>
      <c r="AO774" s="12"/>
      <c r="AP774" s="12"/>
      <c r="AQ774" s="18" t="str">
        <f aca="false">IF(A774="","",N(AQ773)+N(AA774))</f>
        <v/>
      </c>
      <c r="AR774" s="18" t="str">
        <f aca="false">IF(AQ774="","",MAX(0,MAX($AQ$8:AQ774))-AQ774)</f>
        <v/>
      </c>
    </row>
    <row r="775" customFormat="false" ht="15" hidden="false" customHeight="fals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3"/>
      <c r="M775" s="13"/>
      <c r="N775" s="13"/>
      <c r="O775" s="14" t="str">
        <f aca="false">IF(OR(L775="",L775=0),"",(1-M775)/L775)</f>
        <v/>
      </c>
      <c r="P775" s="15"/>
      <c r="Q775" s="12"/>
      <c r="R775" s="12"/>
      <c r="S775" s="13"/>
      <c r="T775" s="16" t="str">
        <f aca="false">IF(OR(S775="",L775=""),"",L775/(1-M775)-S775)</f>
        <v/>
      </c>
      <c r="U775" s="16" t="str">
        <f aca="false">IF(OR(L775="",P775=""),"",L775*(P775-1)-N775)</f>
        <v/>
      </c>
      <c r="V775" s="13"/>
      <c r="W775" s="17"/>
      <c r="X775" s="12"/>
      <c r="Y775" s="12"/>
      <c r="Z775" s="12"/>
      <c r="AA775" s="18" t="str">
        <f aca="false">IF(K775&lt;&gt;"ВИРТУАЛЬНЫЙ ВЫБОР","",IF(Z775="✅ ЗАШЛО",W775*(P775-1),IF(Z775="❌ НЕ ЗАШЛО",-W775,IF(Z775="½ ЗАШЛО",W775*(P775-1)/2,IF(Z775="½ НЕ ЗАШЛО",-W775/2,IF(Z775="ВОЗВРАТ",0,""))))))</f>
        <v/>
      </c>
      <c r="AB775" s="18" t="str">
        <f aca="false">IF(AND(K775="ВИРТУАЛЬНЫЙ ВЫБОР",OR(Z775="✅ ЗАШЛО",Z775="❌ НЕ ЗАШЛО",Z775="½ ЗАШЛО",Z775="½ НЕ ЗАШЛО",Z775="ВОЗВРАТ")),W775,"")</f>
        <v/>
      </c>
      <c r="AC775" s="15"/>
      <c r="AD775" s="16" t="str">
        <f aca="false">IF(OR(AC775="",P775=""),"",P775/AC775-1)</f>
        <v/>
      </c>
      <c r="AE775" s="19" t="str">
        <f aca="false">IF(AND(M775=0,OR(Z775="✅ ЗАШЛО",Z775="❌ НЕ ЗАШЛО"),L775&lt;&gt;""),(L775-IF(Z775="✅ ЗАШЛО",1,0))^2,"")</f>
        <v/>
      </c>
      <c r="AF775" s="15"/>
      <c r="AG775" s="15"/>
      <c r="AH775" s="13"/>
      <c r="AI775" s="13"/>
      <c r="AJ775" s="13"/>
      <c r="AK775" s="20" t="str">
        <f aca="false">IF(AH775="","",IF(ABS(AH775+AI775+AJ775-1)&lt;0.000001,"OK","ОШИБКА"))</f>
        <v/>
      </c>
      <c r="AL775" s="13"/>
      <c r="AM775" s="12"/>
      <c r="AN775" s="12"/>
      <c r="AO775" s="12"/>
      <c r="AP775" s="12"/>
      <c r="AQ775" s="18" t="str">
        <f aca="false">IF(A775="","",N(AQ774)+N(AA775))</f>
        <v/>
      </c>
      <c r="AR775" s="18" t="str">
        <f aca="false">IF(AQ775="","",MAX(0,MAX($AQ$8:AQ775))-AQ775)</f>
        <v/>
      </c>
    </row>
    <row r="776" customFormat="false" ht="15" hidden="false" customHeight="fals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3"/>
      <c r="M776" s="13"/>
      <c r="N776" s="13"/>
      <c r="O776" s="14" t="str">
        <f aca="false">IF(OR(L776="",L776=0),"",(1-M776)/L776)</f>
        <v/>
      </c>
      <c r="P776" s="15"/>
      <c r="Q776" s="12"/>
      <c r="R776" s="12"/>
      <c r="S776" s="13"/>
      <c r="T776" s="16" t="str">
        <f aca="false">IF(OR(S776="",L776=""),"",L776/(1-M776)-S776)</f>
        <v/>
      </c>
      <c r="U776" s="16" t="str">
        <f aca="false">IF(OR(L776="",P776=""),"",L776*(P776-1)-N776)</f>
        <v/>
      </c>
      <c r="V776" s="13"/>
      <c r="W776" s="17"/>
      <c r="X776" s="12"/>
      <c r="Y776" s="12"/>
      <c r="Z776" s="12"/>
      <c r="AA776" s="18" t="str">
        <f aca="false">IF(K776&lt;&gt;"ВИРТУАЛЬНЫЙ ВЫБОР","",IF(Z776="✅ ЗАШЛО",W776*(P776-1),IF(Z776="❌ НЕ ЗАШЛО",-W776,IF(Z776="½ ЗАШЛО",W776*(P776-1)/2,IF(Z776="½ НЕ ЗАШЛО",-W776/2,IF(Z776="ВОЗВРАТ",0,""))))))</f>
        <v/>
      </c>
      <c r="AB776" s="18" t="str">
        <f aca="false">IF(AND(K776="ВИРТУАЛЬНЫЙ ВЫБОР",OR(Z776="✅ ЗАШЛО",Z776="❌ НЕ ЗАШЛО",Z776="½ ЗАШЛО",Z776="½ НЕ ЗАШЛО",Z776="ВОЗВРАТ")),W776,"")</f>
        <v/>
      </c>
      <c r="AC776" s="15"/>
      <c r="AD776" s="16" t="str">
        <f aca="false">IF(OR(AC776="",P776=""),"",P776/AC776-1)</f>
        <v/>
      </c>
      <c r="AE776" s="19" t="str">
        <f aca="false">IF(AND(M776=0,OR(Z776="✅ ЗАШЛО",Z776="❌ НЕ ЗАШЛО"),L776&lt;&gt;""),(L776-IF(Z776="✅ ЗАШЛО",1,0))^2,"")</f>
        <v/>
      </c>
      <c r="AF776" s="15"/>
      <c r="AG776" s="15"/>
      <c r="AH776" s="13"/>
      <c r="AI776" s="13"/>
      <c r="AJ776" s="13"/>
      <c r="AK776" s="20" t="str">
        <f aca="false">IF(AH776="","",IF(ABS(AH776+AI776+AJ776-1)&lt;0.000001,"OK","ОШИБКА"))</f>
        <v/>
      </c>
      <c r="AL776" s="13"/>
      <c r="AM776" s="12"/>
      <c r="AN776" s="12"/>
      <c r="AO776" s="12"/>
      <c r="AP776" s="12"/>
      <c r="AQ776" s="18" t="str">
        <f aca="false">IF(A776="","",N(AQ775)+N(AA776))</f>
        <v/>
      </c>
      <c r="AR776" s="18" t="str">
        <f aca="false">IF(AQ776="","",MAX(0,MAX($AQ$8:AQ776))-AQ776)</f>
        <v/>
      </c>
    </row>
    <row r="777" customFormat="false" ht="15" hidden="false" customHeight="fals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3"/>
      <c r="M777" s="13"/>
      <c r="N777" s="13"/>
      <c r="O777" s="14" t="str">
        <f aca="false">IF(OR(L777="",L777=0),"",(1-M777)/L777)</f>
        <v/>
      </c>
      <c r="P777" s="15"/>
      <c r="Q777" s="12"/>
      <c r="R777" s="12"/>
      <c r="S777" s="13"/>
      <c r="T777" s="16" t="str">
        <f aca="false">IF(OR(S777="",L777=""),"",L777/(1-M777)-S777)</f>
        <v/>
      </c>
      <c r="U777" s="16" t="str">
        <f aca="false">IF(OR(L777="",P777=""),"",L777*(P777-1)-N777)</f>
        <v/>
      </c>
      <c r="V777" s="13"/>
      <c r="W777" s="17"/>
      <c r="X777" s="12"/>
      <c r="Y777" s="12"/>
      <c r="Z777" s="12"/>
      <c r="AA777" s="18" t="str">
        <f aca="false">IF(K777&lt;&gt;"ВИРТУАЛЬНЫЙ ВЫБОР","",IF(Z777="✅ ЗАШЛО",W777*(P777-1),IF(Z777="❌ НЕ ЗАШЛО",-W777,IF(Z777="½ ЗАШЛО",W777*(P777-1)/2,IF(Z777="½ НЕ ЗАШЛО",-W777/2,IF(Z777="ВОЗВРАТ",0,""))))))</f>
        <v/>
      </c>
      <c r="AB777" s="18" t="str">
        <f aca="false">IF(AND(K777="ВИРТУАЛЬНЫЙ ВЫБОР",OR(Z777="✅ ЗАШЛО",Z777="❌ НЕ ЗАШЛО",Z777="½ ЗАШЛО",Z777="½ НЕ ЗАШЛО",Z777="ВОЗВРАТ")),W777,"")</f>
        <v/>
      </c>
      <c r="AC777" s="15"/>
      <c r="AD777" s="16" t="str">
        <f aca="false">IF(OR(AC777="",P777=""),"",P777/AC777-1)</f>
        <v/>
      </c>
      <c r="AE777" s="19" t="str">
        <f aca="false">IF(AND(M777=0,OR(Z777="✅ ЗАШЛО",Z777="❌ НЕ ЗАШЛО"),L777&lt;&gt;""),(L777-IF(Z777="✅ ЗАШЛО",1,0))^2,"")</f>
        <v/>
      </c>
      <c r="AF777" s="15"/>
      <c r="AG777" s="15"/>
      <c r="AH777" s="13"/>
      <c r="AI777" s="13"/>
      <c r="AJ777" s="13"/>
      <c r="AK777" s="20" t="str">
        <f aca="false">IF(AH777="","",IF(ABS(AH777+AI777+AJ777-1)&lt;0.000001,"OK","ОШИБКА"))</f>
        <v/>
      </c>
      <c r="AL777" s="13"/>
      <c r="AM777" s="12"/>
      <c r="AN777" s="12"/>
      <c r="AO777" s="12"/>
      <c r="AP777" s="12"/>
      <c r="AQ777" s="18" t="str">
        <f aca="false">IF(A777="","",N(AQ776)+N(AA777))</f>
        <v/>
      </c>
      <c r="AR777" s="18" t="str">
        <f aca="false">IF(AQ777="","",MAX(0,MAX($AQ$8:AQ777))-AQ777)</f>
        <v/>
      </c>
    </row>
    <row r="778" customFormat="false" ht="15" hidden="false" customHeight="fals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3"/>
      <c r="M778" s="13"/>
      <c r="N778" s="13"/>
      <c r="O778" s="14" t="str">
        <f aca="false">IF(OR(L778="",L778=0),"",(1-M778)/L778)</f>
        <v/>
      </c>
      <c r="P778" s="15"/>
      <c r="Q778" s="12"/>
      <c r="R778" s="12"/>
      <c r="S778" s="13"/>
      <c r="T778" s="16" t="str">
        <f aca="false">IF(OR(S778="",L778=""),"",L778/(1-M778)-S778)</f>
        <v/>
      </c>
      <c r="U778" s="16" t="str">
        <f aca="false">IF(OR(L778="",P778=""),"",L778*(P778-1)-N778)</f>
        <v/>
      </c>
      <c r="V778" s="13"/>
      <c r="W778" s="17"/>
      <c r="X778" s="12"/>
      <c r="Y778" s="12"/>
      <c r="Z778" s="12"/>
      <c r="AA778" s="18" t="str">
        <f aca="false">IF(K778&lt;&gt;"ВИРТУАЛЬНЫЙ ВЫБОР","",IF(Z778="✅ ЗАШЛО",W778*(P778-1),IF(Z778="❌ НЕ ЗАШЛО",-W778,IF(Z778="½ ЗАШЛО",W778*(P778-1)/2,IF(Z778="½ НЕ ЗАШЛО",-W778/2,IF(Z778="ВОЗВРАТ",0,""))))))</f>
        <v/>
      </c>
      <c r="AB778" s="18" t="str">
        <f aca="false">IF(AND(K778="ВИРТУАЛЬНЫЙ ВЫБОР",OR(Z778="✅ ЗАШЛО",Z778="❌ НЕ ЗАШЛО",Z778="½ ЗАШЛО",Z778="½ НЕ ЗАШЛО",Z778="ВОЗВРАТ")),W778,"")</f>
        <v/>
      </c>
      <c r="AC778" s="15"/>
      <c r="AD778" s="16" t="str">
        <f aca="false">IF(OR(AC778="",P778=""),"",P778/AC778-1)</f>
        <v/>
      </c>
      <c r="AE778" s="19" t="str">
        <f aca="false">IF(AND(M778=0,OR(Z778="✅ ЗАШЛО",Z778="❌ НЕ ЗАШЛО"),L778&lt;&gt;""),(L778-IF(Z778="✅ ЗАШЛО",1,0))^2,"")</f>
        <v/>
      </c>
      <c r="AF778" s="15"/>
      <c r="AG778" s="15"/>
      <c r="AH778" s="13"/>
      <c r="AI778" s="13"/>
      <c r="AJ778" s="13"/>
      <c r="AK778" s="20" t="str">
        <f aca="false">IF(AH778="","",IF(ABS(AH778+AI778+AJ778-1)&lt;0.000001,"OK","ОШИБКА"))</f>
        <v/>
      </c>
      <c r="AL778" s="13"/>
      <c r="AM778" s="12"/>
      <c r="AN778" s="12"/>
      <c r="AO778" s="12"/>
      <c r="AP778" s="12"/>
      <c r="AQ778" s="18" t="str">
        <f aca="false">IF(A778="","",N(AQ777)+N(AA778))</f>
        <v/>
      </c>
      <c r="AR778" s="18" t="str">
        <f aca="false">IF(AQ778="","",MAX(0,MAX($AQ$8:AQ778))-AQ778)</f>
        <v/>
      </c>
    </row>
    <row r="779" customFormat="false" ht="15" hidden="false" customHeight="fals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3"/>
      <c r="M779" s="13"/>
      <c r="N779" s="13"/>
      <c r="O779" s="14" t="str">
        <f aca="false">IF(OR(L779="",L779=0),"",(1-M779)/L779)</f>
        <v/>
      </c>
      <c r="P779" s="15"/>
      <c r="Q779" s="12"/>
      <c r="R779" s="12"/>
      <c r="S779" s="13"/>
      <c r="T779" s="16" t="str">
        <f aca="false">IF(OR(S779="",L779=""),"",L779/(1-M779)-S779)</f>
        <v/>
      </c>
      <c r="U779" s="16" t="str">
        <f aca="false">IF(OR(L779="",P779=""),"",L779*(P779-1)-N779)</f>
        <v/>
      </c>
      <c r="V779" s="13"/>
      <c r="W779" s="17"/>
      <c r="X779" s="12"/>
      <c r="Y779" s="12"/>
      <c r="Z779" s="12"/>
      <c r="AA779" s="18" t="str">
        <f aca="false">IF(K779&lt;&gt;"ВИРТУАЛЬНЫЙ ВЫБОР","",IF(Z779="✅ ЗАШЛО",W779*(P779-1),IF(Z779="❌ НЕ ЗАШЛО",-W779,IF(Z779="½ ЗАШЛО",W779*(P779-1)/2,IF(Z779="½ НЕ ЗАШЛО",-W779/2,IF(Z779="ВОЗВРАТ",0,""))))))</f>
        <v/>
      </c>
      <c r="AB779" s="18" t="str">
        <f aca="false">IF(AND(K779="ВИРТУАЛЬНЫЙ ВЫБОР",OR(Z779="✅ ЗАШЛО",Z779="❌ НЕ ЗАШЛО",Z779="½ ЗАШЛО",Z779="½ НЕ ЗАШЛО",Z779="ВОЗВРАТ")),W779,"")</f>
        <v/>
      </c>
      <c r="AC779" s="15"/>
      <c r="AD779" s="16" t="str">
        <f aca="false">IF(OR(AC779="",P779=""),"",P779/AC779-1)</f>
        <v/>
      </c>
      <c r="AE779" s="19" t="str">
        <f aca="false">IF(AND(M779=0,OR(Z779="✅ ЗАШЛО",Z779="❌ НЕ ЗАШЛО"),L779&lt;&gt;""),(L779-IF(Z779="✅ ЗАШЛО",1,0))^2,"")</f>
        <v/>
      </c>
      <c r="AF779" s="15"/>
      <c r="AG779" s="15"/>
      <c r="AH779" s="13"/>
      <c r="AI779" s="13"/>
      <c r="AJ779" s="13"/>
      <c r="AK779" s="20" t="str">
        <f aca="false">IF(AH779="","",IF(ABS(AH779+AI779+AJ779-1)&lt;0.000001,"OK","ОШИБКА"))</f>
        <v/>
      </c>
      <c r="AL779" s="13"/>
      <c r="AM779" s="12"/>
      <c r="AN779" s="12"/>
      <c r="AO779" s="12"/>
      <c r="AP779" s="12"/>
      <c r="AQ779" s="18" t="str">
        <f aca="false">IF(A779="","",N(AQ778)+N(AA779))</f>
        <v/>
      </c>
      <c r="AR779" s="18" t="str">
        <f aca="false">IF(AQ779="","",MAX(0,MAX($AQ$8:AQ779))-AQ779)</f>
        <v/>
      </c>
    </row>
    <row r="780" customFormat="false" ht="15" hidden="false" customHeight="fals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3"/>
      <c r="M780" s="13"/>
      <c r="N780" s="13"/>
      <c r="O780" s="14" t="str">
        <f aca="false">IF(OR(L780="",L780=0),"",(1-M780)/L780)</f>
        <v/>
      </c>
      <c r="P780" s="15"/>
      <c r="Q780" s="12"/>
      <c r="R780" s="12"/>
      <c r="S780" s="13"/>
      <c r="T780" s="16" t="str">
        <f aca="false">IF(OR(S780="",L780=""),"",L780/(1-M780)-S780)</f>
        <v/>
      </c>
      <c r="U780" s="16" t="str">
        <f aca="false">IF(OR(L780="",P780=""),"",L780*(P780-1)-N780)</f>
        <v/>
      </c>
      <c r="V780" s="13"/>
      <c r="W780" s="17"/>
      <c r="X780" s="12"/>
      <c r="Y780" s="12"/>
      <c r="Z780" s="12"/>
      <c r="AA780" s="18" t="str">
        <f aca="false">IF(K780&lt;&gt;"ВИРТУАЛЬНЫЙ ВЫБОР","",IF(Z780="✅ ЗАШЛО",W780*(P780-1),IF(Z780="❌ НЕ ЗАШЛО",-W780,IF(Z780="½ ЗАШЛО",W780*(P780-1)/2,IF(Z780="½ НЕ ЗАШЛО",-W780/2,IF(Z780="ВОЗВРАТ",0,""))))))</f>
        <v/>
      </c>
      <c r="AB780" s="18" t="str">
        <f aca="false">IF(AND(K780="ВИРТУАЛЬНЫЙ ВЫБОР",OR(Z780="✅ ЗАШЛО",Z780="❌ НЕ ЗАШЛО",Z780="½ ЗАШЛО",Z780="½ НЕ ЗАШЛО",Z780="ВОЗВРАТ")),W780,"")</f>
        <v/>
      </c>
      <c r="AC780" s="15"/>
      <c r="AD780" s="16" t="str">
        <f aca="false">IF(OR(AC780="",P780=""),"",P780/AC780-1)</f>
        <v/>
      </c>
      <c r="AE780" s="19" t="str">
        <f aca="false">IF(AND(M780=0,OR(Z780="✅ ЗАШЛО",Z780="❌ НЕ ЗАШЛО"),L780&lt;&gt;""),(L780-IF(Z780="✅ ЗАШЛО",1,0))^2,"")</f>
        <v/>
      </c>
      <c r="AF780" s="15"/>
      <c r="AG780" s="15"/>
      <c r="AH780" s="13"/>
      <c r="AI780" s="13"/>
      <c r="AJ780" s="13"/>
      <c r="AK780" s="20" t="str">
        <f aca="false">IF(AH780="","",IF(ABS(AH780+AI780+AJ780-1)&lt;0.000001,"OK","ОШИБКА"))</f>
        <v/>
      </c>
      <c r="AL780" s="13"/>
      <c r="AM780" s="12"/>
      <c r="AN780" s="12"/>
      <c r="AO780" s="12"/>
      <c r="AP780" s="12"/>
      <c r="AQ780" s="18" t="str">
        <f aca="false">IF(A780="","",N(AQ779)+N(AA780))</f>
        <v/>
      </c>
      <c r="AR780" s="18" t="str">
        <f aca="false">IF(AQ780="","",MAX(0,MAX($AQ$8:AQ780))-AQ780)</f>
        <v/>
      </c>
    </row>
    <row r="781" customFormat="false" ht="15" hidden="false" customHeight="fals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3"/>
      <c r="M781" s="13"/>
      <c r="N781" s="13"/>
      <c r="O781" s="14" t="str">
        <f aca="false">IF(OR(L781="",L781=0),"",(1-M781)/L781)</f>
        <v/>
      </c>
      <c r="P781" s="15"/>
      <c r="Q781" s="12"/>
      <c r="R781" s="12"/>
      <c r="S781" s="13"/>
      <c r="T781" s="16" t="str">
        <f aca="false">IF(OR(S781="",L781=""),"",L781/(1-M781)-S781)</f>
        <v/>
      </c>
      <c r="U781" s="16" t="str">
        <f aca="false">IF(OR(L781="",P781=""),"",L781*(P781-1)-N781)</f>
        <v/>
      </c>
      <c r="V781" s="13"/>
      <c r="W781" s="17"/>
      <c r="X781" s="12"/>
      <c r="Y781" s="12"/>
      <c r="Z781" s="12"/>
      <c r="AA781" s="18" t="str">
        <f aca="false">IF(K781&lt;&gt;"ВИРТУАЛЬНЫЙ ВЫБОР","",IF(Z781="✅ ЗАШЛО",W781*(P781-1),IF(Z781="❌ НЕ ЗАШЛО",-W781,IF(Z781="½ ЗАШЛО",W781*(P781-1)/2,IF(Z781="½ НЕ ЗАШЛО",-W781/2,IF(Z781="ВОЗВРАТ",0,""))))))</f>
        <v/>
      </c>
      <c r="AB781" s="18" t="str">
        <f aca="false">IF(AND(K781="ВИРТУАЛЬНЫЙ ВЫБОР",OR(Z781="✅ ЗАШЛО",Z781="❌ НЕ ЗАШЛО",Z781="½ ЗАШЛО",Z781="½ НЕ ЗАШЛО",Z781="ВОЗВРАТ")),W781,"")</f>
        <v/>
      </c>
      <c r="AC781" s="15"/>
      <c r="AD781" s="16" t="str">
        <f aca="false">IF(OR(AC781="",P781=""),"",P781/AC781-1)</f>
        <v/>
      </c>
      <c r="AE781" s="19" t="str">
        <f aca="false">IF(AND(M781=0,OR(Z781="✅ ЗАШЛО",Z781="❌ НЕ ЗАШЛО"),L781&lt;&gt;""),(L781-IF(Z781="✅ ЗАШЛО",1,0))^2,"")</f>
        <v/>
      </c>
      <c r="AF781" s="15"/>
      <c r="AG781" s="15"/>
      <c r="AH781" s="13"/>
      <c r="AI781" s="13"/>
      <c r="AJ781" s="13"/>
      <c r="AK781" s="20" t="str">
        <f aca="false">IF(AH781="","",IF(ABS(AH781+AI781+AJ781-1)&lt;0.000001,"OK","ОШИБКА"))</f>
        <v/>
      </c>
      <c r="AL781" s="13"/>
      <c r="AM781" s="12"/>
      <c r="AN781" s="12"/>
      <c r="AO781" s="12"/>
      <c r="AP781" s="12"/>
      <c r="AQ781" s="18" t="str">
        <f aca="false">IF(A781="","",N(AQ780)+N(AA781))</f>
        <v/>
      </c>
      <c r="AR781" s="18" t="str">
        <f aca="false">IF(AQ781="","",MAX(0,MAX($AQ$8:AQ781))-AQ781)</f>
        <v/>
      </c>
    </row>
    <row r="782" customFormat="false" ht="15" hidden="false" customHeight="fals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3"/>
      <c r="M782" s="13"/>
      <c r="N782" s="13"/>
      <c r="O782" s="14" t="str">
        <f aca="false">IF(OR(L782="",L782=0),"",(1-M782)/L782)</f>
        <v/>
      </c>
      <c r="P782" s="15"/>
      <c r="Q782" s="12"/>
      <c r="R782" s="12"/>
      <c r="S782" s="13"/>
      <c r="T782" s="16" t="str">
        <f aca="false">IF(OR(S782="",L782=""),"",L782/(1-M782)-S782)</f>
        <v/>
      </c>
      <c r="U782" s="16" t="str">
        <f aca="false">IF(OR(L782="",P782=""),"",L782*(P782-1)-N782)</f>
        <v/>
      </c>
      <c r="V782" s="13"/>
      <c r="W782" s="17"/>
      <c r="X782" s="12"/>
      <c r="Y782" s="12"/>
      <c r="Z782" s="12"/>
      <c r="AA782" s="18" t="str">
        <f aca="false">IF(K782&lt;&gt;"ВИРТУАЛЬНЫЙ ВЫБОР","",IF(Z782="✅ ЗАШЛО",W782*(P782-1),IF(Z782="❌ НЕ ЗАШЛО",-W782,IF(Z782="½ ЗАШЛО",W782*(P782-1)/2,IF(Z782="½ НЕ ЗАШЛО",-W782/2,IF(Z782="ВОЗВРАТ",0,""))))))</f>
        <v/>
      </c>
      <c r="AB782" s="18" t="str">
        <f aca="false">IF(AND(K782="ВИРТУАЛЬНЫЙ ВЫБОР",OR(Z782="✅ ЗАШЛО",Z782="❌ НЕ ЗАШЛО",Z782="½ ЗАШЛО",Z782="½ НЕ ЗАШЛО",Z782="ВОЗВРАТ")),W782,"")</f>
        <v/>
      </c>
      <c r="AC782" s="15"/>
      <c r="AD782" s="16" t="str">
        <f aca="false">IF(OR(AC782="",P782=""),"",P782/AC782-1)</f>
        <v/>
      </c>
      <c r="AE782" s="19" t="str">
        <f aca="false">IF(AND(M782=0,OR(Z782="✅ ЗАШЛО",Z782="❌ НЕ ЗАШЛО"),L782&lt;&gt;""),(L782-IF(Z782="✅ ЗАШЛО",1,0))^2,"")</f>
        <v/>
      </c>
      <c r="AF782" s="15"/>
      <c r="AG782" s="15"/>
      <c r="AH782" s="13"/>
      <c r="AI782" s="13"/>
      <c r="AJ782" s="13"/>
      <c r="AK782" s="20" t="str">
        <f aca="false">IF(AH782="","",IF(ABS(AH782+AI782+AJ782-1)&lt;0.000001,"OK","ОШИБКА"))</f>
        <v/>
      </c>
      <c r="AL782" s="13"/>
      <c r="AM782" s="12"/>
      <c r="AN782" s="12"/>
      <c r="AO782" s="12"/>
      <c r="AP782" s="12"/>
      <c r="AQ782" s="18" t="str">
        <f aca="false">IF(A782="","",N(AQ781)+N(AA782))</f>
        <v/>
      </c>
      <c r="AR782" s="18" t="str">
        <f aca="false">IF(AQ782="","",MAX(0,MAX($AQ$8:AQ782))-AQ782)</f>
        <v/>
      </c>
    </row>
    <row r="783" customFormat="false" ht="15" hidden="false" customHeight="fals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3"/>
      <c r="M783" s="13"/>
      <c r="N783" s="13"/>
      <c r="O783" s="14" t="str">
        <f aca="false">IF(OR(L783="",L783=0),"",(1-M783)/L783)</f>
        <v/>
      </c>
      <c r="P783" s="15"/>
      <c r="Q783" s="12"/>
      <c r="R783" s="12"/>
      <c r="S783" s="13"/>
      <c r="T783" s="16" t="str">
        <f aca="false">IF(OR(S783="",L783=""),"",L783/(1-M783)-S783)</f>
        <v/>
      </c>
      <c r="U783" s="16" t="str">
        <f aca="false">IF(OR(L783="",P783=""),"",L783*(P783-1)-N783)</f>
        <v/>
      </c>
      <c r="V783" s="13"/>
      <c r="W783" s="17"/>
      <c r="X783" s="12"/>
      <c r="Y783" s="12"/>
      <c r="Z783" s="12"/>
      <c r="AA783" s="18" t="str">
        <f aca="false">IF(K783&lt;&gt;"ВИРТУАЛЬНЫЙ ВЫБОР","",IF(Z783="✅ ЗАШЛО",W783*(P783-1),IF(Z783="❌ НЕ ЗАШЛО",-W783,IF(Z783="½ ЗАШЛО",W783*(P783-1)/2,IF(Z783="½ НЕ ЗАШЛО",-W783/2,IF(Z783="ВОЗВРАТ",0,""))))))</f>
        <v/>
      </c>
      <c r="AB783" s="18" t="str">
        <f aca="false">IF(AND(K783="ВИРТУАЛЬНЫЙ ВЫБОР",OR(Z783="✅ ЗАШЛО",Z783="❌ НЕ ЗАШЛО",Z783="½ ЗАШЛО",Z783="½ НЕ ЗАШЛО",Z783="ВОЗВРАТ")),W783,"")</f>
        <v/>
      </c>
      <c r="AC783" s="15"/>
      <c r="AD783" s="16" t="str">
        <f aca="false">IF(OR(AC783="",P783=""),"",P783/AC783-1)</f>
        <v/>
      </c>
      <c r="AE783" s="19" t="str">
        <f aca="false">IF(AND(M783=0,OR(Z783="✅ ЗАШЛО",Z783="❌ НЕ ЗАШЛО"),L783&lt;&gt;""),(L783-IF(Z783="✅ ЗАШЛО",1,0))^2,"")</f>
        <v/>
      </c>
      <c r="AF783" s="15"/>
      <c r="AG783" s="15"/>
      <c r="AH783" s="13"/>
      <c r="AI783" s="13"/>
      <c r="AJ783" s="13"/>
      <c r="AK783" s="20" t="str">
        <f aca="false">IF(AH783="","",IF(ABS(AH783+AI783+AJ783-1)&lt;0.000001,"OK","ОШИБКА"))</f>
        <v/>
      </c>
      <c r="AL783" s="13"/>
      <c r="AM783" s="12"/>
      <c r="AN783" s="12"/>
      <c r="AO783" s="12"/>
      <c r="AP783" s="12"/>
      <c r="AQ783" s="18" t="str">
        <f aca="false">IF(A783="","",N(AQ782)+N(AA783))</f>
        <v/>
      </c>
      <c r="AR783" s="18" t="str">
        <f aca="false">IF(AQ783="","",MAX(0,MAX($AQ$8:AQ783))-AQ783)</f>
        <v/>
      </c>
    </row>
    <row r="784" customFormat="false" ht="15" hidden="false" customHeight="fals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3"/>
      <c r="M784" s="13"/>
      <c r="N784" s="13"/>
      <c r="O784" s="14" t="str">
        <f aca="false">IF(OR(L784="",L784=0),"",(1-M784)/L784)</f>
        <v/>
      </c>
      <c r="P784" s="15"/>
      <c r="Q784" s="12"/>
      <c r="R784" s="12"/>
      <c r="S784" s="13"/>
      <c r="T784" s="16" t="str">
        <f aca="false">IF(OR(S784="",L784=""),"",L784/(1-M784)-S784)</f>
        <v/>
      </c>
      <c r="U784" s="16" t="str">
        <f aca="false">IF(OR(L784="",P784=""),"",L784*(P784-1)-N784)</f>
        <v/>
      </c>
      <c r="V784" s="13"/>
      <c r="W784" s="17"/>
      <c r="X784" s="12"/>
      <c r="Y784" s="12"/>
      <c r="Z784" s="12"/>
      <c r="AA784" s="18" t="str">
        <f aca="false">IF(K784&lt;&gt;"ВИРТУАЛЬНЫЙ ВЫБОР","",IF(Z784="✅ ЗАШЛО",W784*(P784-1),IF(Z784="❌ НЕ ЗАШЛО",-W784,IF(Z784="½ ЗАШЛО",W784*(P784-1)/2,IF(Z784="½ НЕ ЗАШЛО",-W784/2,IF(Z784="ВОЗВРАТ",0,""))))))</f>
        <v/>
      </c>
      <c r="AB784" s="18" t="str">
        <f aca="false">IF(AND(K784="ВИРТУАЛЬНЫЙ ВЫБОР",OR(Z784="✅ ЗАШЛО",Z784="❌ НЕ ЗАШЛО",Z784="½ ЗАШЛО",Z784="½ НЕ ЗАШЛО",Z784="ВОЗВРАТ")),W784,"")</f>
        <v/>
      </c>
      <c r="AC784" s="15"/>
      <c r="AD784" s="16" t="str">
        <f aca="false">IF(OR(AC784="",P784=""),"",P784/AC784-1)</f>
        <v/>
      </c>
      <c r="AE784" s="19" t="str">
        <f aca="false">IF(AND(M784=0,OR(Z784="✅ ЗАШЛО",Z784="❌ НЕ ЗАШЛО"),L784&lt;&gt;""),(L784-IF(Z784="✅ ЗАШЛО",1,0))^2,"")</f>
        <v/>
      </c>
      <c r="AF784" s="15"/>
      <c r="AG784" s="15"/>
      <c r="AH784" s="13"/>
      <c r="AI784" s="13"/>
      <c r="AJ784" s="13"/>
      <c r="AK784" s="20" t="str">
        <f aca="false">IF(AH784="","",IF(ABS(AH784+AI784+AJ784-1)&lt;0.000001,"OK","ОШИБКА"))</f>
        <v/>
      </c>
      <c r="AL784" s="13"/>
      <c r="AM784" s="12"/>
      <c r="AN784" s="12"/>
      <c r="AO784" s="12"/>
      <c r="AP784" s="12"/>
      <c r="AQ784" s="18" t="str">
        <f aca="false">IF(A784="","",N(AQ783)+N(AA784))</f>
        <v/>
      </c>
      <c r="AR784" s="18" t="str">
        <f aca="false">IF(AQ784="","",MAX(0,MAX($AQ$8:AQ784))-AQ784)</f>
        <v/>
      </c>
    </row>
    <row r="785" customFormat="false" ht="15" hidden="false" customHeight="fals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3"/>
      <c r="M785" s="13"/>
      <c r="N785" s="13"/>
      <c r="O785" s="14" t="str">
        <f aca="false">IF(OR(L785="",L785=0),"",(1-M785)/L785)</f>
        <v/>
      </c>
      <c r="P785" s="15"/>
      <c r="Q785" s="12"/>
      <c r="R785" s="12"/>
      <c r="S785" s="13"/>
      <c r="T785" s="16" t="str">
        <f aca="false">IF(OR(S785="",L785=""),"",L785/(1-M785)-S785)</f>
        <v/>
      </c>
      <c r="U785" s="16" t="str">
        <f aca="false">IF(OR(L785="",P785=""),"",L785*(P785-1)-N785)</f>
        <v/>
      </c>
      <c r="V785" s="13"/>
      <c r="W785" s="17"/>
      <c r="X785" s="12"/>
      <c r="Y785" s="12"/>
      <c r="Z785" s="12"/>
      <c r="AA785" s="18" t="str">
        <f aca="false">IF(K785&lt;&gt;"ВИРТУАЛЬНЫЙ ВЫБОР","",IF(Z785="✅ ЗАШЛО",W785*(P785-1),IF(Z785="❌ НЕ ЗАШЛО",-W785,IF(Z785="½ ЗАШЛО",W785*(P785-1)/2,IF(Z785="½ НЕ ЗАШЛО",-W785/2,IF(Z785="ВОЗВРАТ",0,""))))))</f>
        <v/>
      </c>
      <c r="AB785" s="18" t="str">
        <f aca="false">IF(AND(K785="ВИРТУАЛЬНЫЙ ВЫБОР",OR(Z785="✅ ЗАШЛО",Z785="❌ НЕ ЗАШЛО",Z785="½ ЗАШЛО",Z785="½ НЕ ЗАШЛО",Z785="ВОЗВРАТ")),W785,"")</f>
        <v/>
      </c>
      <c r="AC785" s="15"/>
      <c r="AD785" s="16" t="str">
        <f aca="false">IF(OR(AC785="",P785=""),"",P785/AC785-1)</f>
        <v/>
      </c>
      <c r="AE785" s="19" t="str">
        <f aca="false">IF(AND(M785=0,OR(Z785="✅ ЗАШЛО",Z785="❌ НЕ ЗАШЛО"),L785&lt;&gt;""),(L785-IF(Z785="✅ ЗАШЛО",1,0))^2,"")</f>
        <v/>
      </c>
      <c r="AF785" s="15"/>
      <c r="AG785" s="15"/>
      <c r="AH785" s="13"/>
      <c r="AI785" s="13"/>
      <c r="AJ785" s="13"/>
      <c r="AK785" s="20" t="str">
        <f aca="false">IF(AH785="","",IF(ABS(AH785+AI785+AJ785-1)&lt;0.000001,"OK","ОШИБКА"))</f>
        <v/>
      </c>
      <c r="AL785" s="13"/>
      <c r="AM785" s="12"/>
      <c r="AN785" s="12"/>
      <c r="AO785" s="12"/>
      <c r="AP785" s="12"/>
      <c r="AQ785" s="18" t="str">
        <f aca="false">IF(A785="","",N(AQ784)+N(AA785))</f>
        <v/>
      </c>
      <c r="AR785" s="18" t="str">
        <f aca="false">IF(AQ785="","",MAX(0,MAX($AQ$8:AQ785))-AQ785)</f>
        <v/>
      </c>
    </row>
    <row r="786" customFormat="false" ht="15" hidden="false" customHeight="fals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3"/>
      <c r="M786" s="13"/>
      <c r="N786" s="13"/>
      <c r="O786" s="14" t="str">
        <f aca="false">IF(OR(L786="",L786=0),"",(1-M786)/L786)</f>
        <v/>
      </c>
      <c r="P786" s="15"/>
      <c r="Q786" s="12"/>
      <c r="R786" s="12"/>
      <c r="S786" s="13"/>
      <c r="T786" s="16" t="str">
        <f aca="false">IF(OR(S786="",L786=""),"",L786/(1-M786)-S786)</f>
        <v/>
      </c>
      <c r="U786" s="16" t="str">
        <f aca="false">IF(OR(L786="",P786=""),"",L786*(P786-1)-N786)</f>
        <v/>
      </c>
      <c r="V786" s="13"/>
      <c r="W786" s="17"/>
      <c r="X786" s="12"/>
      <c r="Y786" s="12"/>
      <c r="Z786" s="12"/>
      <c r="AA786" s="18" t="str">
        <f aca="false">IF(K786&lt;&gt;"ВИРТУАЛЬНЫЙ ВЫБОР","",IF(Z786="✅ ЗАШЛО",W786*(P786-1),IF(Z786="❌ НЕ ЗАШЛО",-W786,IF(Z786="½ ЗАШЛО",W786*(P786-1)/2,IF(Z786="½ НЕ ЗАШЛО",-W786/2,IF(Z786="ВОЗВРАТ",0,""))))))</f>
        <v/>
      </c>
      <c r="AB786" s="18" t="str">
        <f aca="false">IF(AND(K786="ВИРТУАЛЬНЫЙ ВЫБОР",OR(Z786="✅ ЗАШЛО",Z786="❌ НЕ ЗАШЛО",Z786="½ ЗАШЛО",Z786="½ НЕ ЗАШЛО",Z786="ВОЗВРАТ")),W786,"")</f>
        <v/>
      </c>
      <c r="AC786" s="15"/>
      <c r="AD786" s="16" t="str">
        <f aca="false">IF(OR(AC786="",P786=""),"",P786/AC786-1)</f>
        <v/>
      </c>
      <c r="AE786" s="19" t="str">
        <f aca="false">IF(AND(M786=0,OR(Z786="✅ ЗАШЛО",Z786="❌ НЕ ЗАШЛО"),L786&lt;&gt;""),(L786-IF(Z786="✅ ЗАШЛО",1,0))^2,"")</f>
        <v/>
      </c>
      <c r="AF786" s="15"/>
      <c r="AG786" s="15"/>
      <c r="AH786" s="13"/>
      <c r="AI786" s="13"/>
      <c r="AJ786" s="13"/>
      <c r="AK786" s="20" t="str">
        <f aca="false">IF(AH786="","",IF(ABS(AH786+AI786+AJ786-1)&lt;0.000001,"OK","ОШИБКА"))</f>
        <v/>
      </c>
      <c r="AL786" s="13"/>
      <c r="AM786" s="12"/>
      <c r="AN786" s="12"/>
      <c r="AO786" s="12"/>
      <c r="AP786" s="12"/>
      <c r="AQ786" s="18" t="str">
        <f aca="false">IF(A786="","",N(AQ785)+N(AA786))</f>
        <v/>
      </c>
      <c r="AR786" s="18" t="str">
        <f aca="false">IF(AQ786="","",MAX(0,MAX($AQ$8:AQ786))-AQ786)</f>
        <v/>
      </c>
    </row>
    <row r="787" customFormat="false" ht="15" hidden="false" customHeight="fals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3"/>
      <c r="M787" s="13"/>
      <c r="N787" s="13"/>
      <c r="O787" s="14" t="str">
        <f aca="false">IF(OR(L787="",L787=0),"",(1-M787)/L787)</f>
        <v/>
      </c>
      <c r="P787" s="15"/>
      <c r="Q787" s="12"/>
      <c r="R787" s="12"/>
      <c r="S787" s="13"/>
      <c r="T787" s="16" t="str">
        <f aca="false">IF(OR(S787="",L787=""),"",L787/(1-M787)-S787)</f>
        <v/>
      </c>
      <c r="U787" s="16" t="str">
        <f aca="false">IF(OR(L787="",P787=""),"",L787*(P787-1)-N787)</f>
        <v/>
      </c>
      <c r="V787" s="13"/>
      <c r="W787" s="17"/>
      <c r="X787" s="12"/>
      <c r="Y787" s="12"/>
      <c r="Z787" s="12"/>
      <c r="AA787" s="18" t="str">
        <f aca="false">IF(K787&lt;&gt;"ВИРТУАЛЬНЫЙ ВЫБОР","",IF(Z787="✅ ЗАШЛО",W787*(P787-1),IF(Z787="❌ НЕ ЗАШЛО",-W787,IF(Z787="½ ЗАШЛО",W787*(P787-1)/2,IF(Z787="½ НЕ ЗАШЛО",-W787/2,IF(Z787="ВОЗВРАТ",0,""))))))</f>
        <v/>
      </c>
      <c r="AB787" s="18" t="str">
        <f aca="false">IF(AND(K787="ВИРТУАЛЬНЫЙ ВЫБОР",OR(Z787="✅ ЗАШЛО",Z787="❌ НЕ ЗАШЛО",Z787="½ ЗАШЛО",Z787="½ НЕ ЗАШЛО",Z787="ВОЗВРАТ")),W787,"")</f>
        <v/>
      </c>
      <c r="AC787" s="15"/>
      <c r="AD787" s="16" t="str">
        <f aca="false">IF(OR(AC787="",P787=""),"",P787/AC787-1)</f>
        <v/>
      </c>
      <c r="AE787" s="19" t="str">
        <f aca="false">IF(AND(M787=0,OR(Z787="✅ ЗАШЛО",Z787="❌ НЕ ЗАШЛО"),L787&lt;&gt;""),(L787-IF(Z787="✅ ЗАШЛО",1,0))^2,"")</f>
        <v/>
      </c>
      <c r="AF787" s="15"/>
      <c r="AG787" s="15"/>
      <c r="AH787" s="13"/>
      <c r="AI787" s="13"/>
      <c r="AJ787" s="13"/>
      <c r="AK787" s="20" t="str">
        <f aca="false">IF(AH787="","",IF(ABS(AH787+AI787+AJ787-1)&lt;0.000001,"OK","ОШИБКА"))</f>
        <v/>
      </c>
      <c r="AL787" s="13"/>
      <c r="AM787" s="12"/>
      <c r="AN787" s="12"/>
      <c r="AO787" s="12"/>
      <c r="AP787" s="12"/>
      <c r="AQ787" s="18" t="str">
        <f aca="false">IF(A787="","",N(AQ786)+N(AA787))</f>
        <v/>
      </c>
      <c r="AR787" s="18" t="str">
        <f aca="false">IF(AQ787="","",MAX(0,MAX($AQ$8:AQ787))-AQ787)</f>
        <v/>
      </c>
    </row>
    <row r="788" customFormat="false" ht="15" hidden="false" customHeight="fals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3"/>
      <c r="M788" s="13"/>
      <c r="N788" s="13"/>
      <c r="O788" s="14" t="str">
        <f aca="false">IF(OR(L788="",L788=0),"",(1-M788)/L788)</f>
        <v/>
      </c>
      <c r="P788" s="15"/>
      <c r="Q788" s="12"/>
      <c r="R788" s="12"/>
      <c r="S788" s="13"/>
      <c r="T788" s="16" t="str">
        <f aca="false">IF(OR(S788="",L788=""),"",L788/(1-M788)-S788)</f>
        <v/>
      </c>
      <c r="U788" s="16" t="str">
        <f aca="false">IF(OR(L788="",P788=""),"",L788*(P788-1)-N788)</f>
        <v/>
      </c>
      <c r="V788" s="13"/>
      <c r="W788" s="17"/>
      <c r="X788" s="12"/>
      <c r="Y788" s="12"/>
      <c r="Z788" s="12"/>
      <c r="AA788" s="18" t="str">
        <f aca="false">IF(K788&lt;&gt;"ВИРТУАЛЬНЫЙ ВЫБОР","",IF(Z788="✅ ЗАШЛО",W788*(P788-1),IF(Z788="❌ НЕ ЗАШЛО",-W788,IF(Z788="½ ЗАШЛО",W788*(P788-1)/2,IF(Z788="½ НЕ ЗАШЛО",-W788/2,IF(Z788="ВОЗВРАТ",0,""))))))</f>
        <v/>
      </c>
      <c r="AB788" s="18" t="str">
        <f aca="false">IF(AND(K788="ВИРТУАЛЬНЫЙ ВЫБОР",OR(Z788="✅ ЗАШЛО",Z788="❌ НЕ ЗАШЛО",Z788="½ ЗАШЛО",Z788="½ НЕ ЗАШЛО",Z788="ВОЗВРАТ")),W788,"")</f>
        <v/>
      </c>
      <c r="AC788" s="15"/>
      <c r="AD788" s="16" t="str">
        <f aca="false">IF(OR(AC788="",P788=""),"",P788/AC788-1)</f>
        <v/>
      </c>
      <c r="AE788" s="19" t="str">
        <f aca="false">IF(AND(M788=0,OR(Z788="✅ ЗАШЛО",Z788="❌ НЕ ЗАШЛО"),L788&lt;&gt;""),(L788-IF(Z788="✅ ЗАШЛО",1,0))^2,"")</f>
        <v/>
      </c>
      <c r="AF788" s="15"/>
      <c r="AG788" s="15"/>
      <c r="AH788" s="13"/>
      <c r="AI788" s="13"/>
      <c r="AJ788" s="13"/>
      <c r="AK788" s="20" t="str">
        <f aca="false">IF(AH788="","",IF(ABS(AH788+AI788+AJ788-1)&lt;0.000001,"OK","ОШИБКА"))</f>
        <v/>
      </c>
      <c r="AL788" s="13"/>
      <c r="AM788" s="12"/>
      <c r="AN788" s="12"/>
      <c r="AO788" s="12"/>
      <c r="AP788" s="12"/>
      <c r="AQ788" s="18" t="str">
        <f aca="false">IF(A788="","",N(AQ787)+N(AA788))</f>
        <v/>
      </c>
      <c r="AR788" s="18" t="str">
        <f aca="false">IF(AQ788="","",MAX(0,MAX($AQ$8:AQ788))-AQ788)</f>
        <v/>
      </c>
    </row>
    <row r="789" customFormat="false" ht="15" hidden="false" customHeight="fals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3"/>
      <c r="M789" s="13"/>
      <c r="N789" s="13"/>
      <c r="O789" s="14" t="str">
        <f aca="false">IF(OR(L789="",L789=0),"",(1-M789)/L789)</f>
        <v/>
      </c>
      <c r="P789" s="15"/>
      <c r="Q789" s="12"/>
      <c r="R789" s="12"/>
      <c r="S789" s="13"/>
      <c r="T789" s="16" t="str">
        <f aca="false">IF(OR(S789="",L789=""),"",L789/(1-M789)-S789)</f>
        <v/>
      </c>
      <c r="U789" s="16" t="str">
        <f aca="false">IF(OR(L789="",P789=""),"",L789*(P789-1)-N789)</f>
        <v/>
      </c>
      <c r="V789" s="13"/>
      <c r="W789" s="17"/>
      <c r="X789" s="12"/>
      <c r="Y789" s="12"/>
      <c r="Z789" s="12"/>
      <c r="AA789" s="18" t="str">
        <f aca="false">IF(K789&lt;&gt;"ВИРТУАЛЬНЫЙ ВЫБОР","",IF(Z789="✅ ЗАШЛО",W789*(P789-1),IF(Z789="❌ НЕ ЗАШЛО",-W789,IF(Z789="½ ЗАШЛО",W789*(P789-1)/2,IF(Z789="½ НЕ ЗАШЛО",-W789/2,IF(Z789="ВОЗВРАТ",0,""))))))</f>
        <v/>
      </c>
      <c r="AB789" s="18" t="str">
        <f aca="false">IF(AND(K789="ВИРТУАЛЬНЫЙ ВЫБОР",OR(Z789="✅ ЗАШЛО",Z789="❌ НЕ ЗАШЛО",Z789="½ ЗАШЛО",Z789="½ НЕ ЗАШЛО",Z789="ВОЗВРАТ")),W789,"")</f>
        <v/>
      </c>
      <c r="AC789" s="15"/>
      <c r="AD789" s="16" t="str">
        <f aca="false">IF(OR(AC789="",P789=""),"",P789/AC789-1)</f>
        <v/>
      </c>
      <c r="AE789" s="19" t="str">
        <f aca="false">IF(AND(M789=0,OR(Z789="✅ ЗАШЛО",Z789="❌ НЕ ЗАШЛО"),L789&lt;&gt;""),(L789-IF(Z789="✅ ЗАШЛО",1,0))^2,"")</f>
        <v/>
      </c>
      <c r="AF789" s="15"/>
      <c r="AG789" s="15"/>
      <c r="AH789" s="13"/>
      <c r="AI789" s="13"/>
      <c r="AJ789" s="13"/>
      <c r="AK789" s="20" t="str">
        <f aca="false">IF(AH789="","",IF(ABS(AH789+AI789+AJ789-1)&lt;0.000001,"OK","ОШИБКА"))</f>
        <v/>
      </c>
      <c r="AL789" s="13"/>
      <c r="AM789" s="12"/>
      <c r="AN789" s="12"/>
      <c r="AO789" s="12"/>
      <c r="AP789" s="12"/>
      <c r="AQ789" s="18" t="str">
        <f aca="false">IF(A789="","",N(AQ788)+N(AA789))</f>
        <v/>
      </c>
      <c r="AR789" s="18" t="str">
        <f aca="false">IF(AQ789="","",MAX(0,MAX($AQ$8:AQ789))-AQ789)</f>
        <v/>
      </c>
    </row>
    <row r="790" customFormat="false" ht="15" hidden="false" customHeight="fals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3"/>
      <c r="M790" s="13"/>
      <c r="N790" s="13"/>
      <c r="O790" s="14" t="str">
        <f aca="false">IF(OR(L790="",L790=0),"",(1-M790)/L790)</f>
        <v/>
      </c>
      <c r="P790" s="15"/>
      <c r="Q790" s="12"/>
      <c r="R790" s="12"/>
      <c r="S790" s="13"/>
      <c r="T790" s="16" t="str">
        <f aca="false">IF(OR(S790="",L790=""),"",L790/(1-M790)-S790)</f>
        <v/>
      </c>
      <c r="U790" s="16" t="str">
        <f aca="false">IF(OR(L790="",P790=""),"",L790*(P790-1)-N790)</f>
        <v/>
      </c>
      <c r="V790" s="13"/>
      <c r="W790" s="17"/>
      <c r="X790" s="12"/>
      <c r="Y790" s="12"/>
      <c r="Z790" s="12"/>
      <c r="AA790" s="18" t="str">
        <f aca="false">IF(K790&lt;&gt;"ВИРТУАЛЬНЫЙ ВЫБОР","",IF(Z790="✅ ЗАШЛО",W790*(P790-1),IF(Z790="❌ НЕ ЗАШЛО",-W790,IF(Z790="½ ЗАШЛО",W790*(P790-1)/2,IF(Z790="½ НЕ ЗАШЛО",-W790/2,IF(Z790="ВОЗВРАТ",0,""))))))</f>
        <v/>
      </c>
      <c r="AB790" s="18" t="str">
        <f aca="false">IF(AND(K790="ВИРТУАЛЬНЫЙ ВЫБОР",OR(Z790="✅ ЗАШЛО",Z790="❌ НЕ ЗАШЛО",Z790="½ ЗАШЛО",Z790="½ НЕ ЗАШЛО",Z790="ВОЗВРАТ")),W790,"")</f>
        <v/>
      </c>
      <c r="AC790" s="15"/>
      <c r="AD790" s="16" t="str">
        <f aca="false">IF(OR(AC790="",P790=""),"",P790/AC790-1)</f>
        <v/>
      </c>
      <c r="AE790" s="19" t="str">
        <f aca="false">IF(AND(M790=0,OR(Z790="✅ ЗАШЛО",Z790="❌ НЕ ЗАШЛО"),L790&lt;&gt;""),(L790-IF(Z790="✅ ЗАШЛО",1,0))^2,"")</f>
        <v/>
      </c>
      <c r="AF790" s="15"/>
      <c r="AG790" s="15"/>
      <c r="AH790" s="13"/>
      <c r="AI790" s="13"/>
      <c r="AJ790" s="13"/>
      <c r="AK790" s="20" t="str">
        <f aca="false">IF(AH790="","",IF(ABS(AH790+AI790+AJ790-1)&lt;0.000001,"OK","ОШИБКА"))</f>
        <v/>
      </c>
      <c r="AL790" s="13"/>
      <c r="AM790" s="12"/>
      <c r="AN790" s="12"/>
      <c r="AO790" s="12"/>
      <c r="AP790" s="12"/>
      <c r="AQ790" s="18" t="str">
        <f aca="false">IF(A790="","",N(AQ789)+N(AA790))</f>
        <v/>
      </c>
      <c r="AR790" s="18" t="str">
        <f aca="false">IF(AQ790="","",MAX(0,MAX($AQ$8:AQ790))-AQ790)</f>
        <v/>
      </c>
    </row>
    <row r="791" customFormat="false" ht="15" hidden="false" customHeight="fals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3"/>
      <c r="M791" s="13"/>
      <c r="N791" s="13"/>
      <c r="O791" s="14" t="str">
        <f aca="false">IF(OR(L791="",L791=0),"",(1-M791)/L791)</f>
        <v/>
      </c>
      <c r="P791" s="15"/>
      <c r="Q791" s="12"/>
      <c r="R791" s="12"/>
      <c r="S791" s="13"/>
      <c r="T791" s="16" t="str">
        <f aca="false">IF(OR(S791="",L791=""),"",L791/(1-M791)-S791)</f>
        <v/>
      </c>
      <c r="U791" s="16" t="str">
        <f aca="false">IF(OR(L791="",P791=""),"",L791*(P791-1)-N791)</f>
        <v/>
      </c>
      <c r="V791" s="13"/>
      <c r="W791" s="17"/>
      <c r="X791" s="12"/>
      <c r="Y791" s="12"/>
      <c r="Z791" s="12"/>
      <c r="AA791" s="18" t="str">
        <f aca="false">IF(K791&lt;&gt;"ВИРТУАЛЬНЫЙ ВЫБОР","",IF(Z791="✅ ЗАШЛО",W791*(P791-1),IF(Z791="❌ НЕ ЗАШЛО",-W791,IF(Z791="½ ЗАШЛО",W791*(P791-1)/2,IF(Z791="½ НЕ ЗАШЛО",-W791/2,IF(Z791="ВОЗВРАТ",0,""))))))</f>
        <v/>
      </c>
      <c r="AB791" s="18" t="str">
        <f aca="false">IF(AND(K791="ВИРТУАЛЬНЫЙ ВЫБОР",OR(Z791="✅ ЗАШЛО",Z791="❌ НЕ ЗАШЛО",Z791="½ ЗАШЛО",Z791="½ НЕ ЗАШЛО",Z791="ВОЗВРАТ")),W791,"")</f>
        <v/>
      </c>
      <c r="AC791" s="15"/>
      <c r="AD791" s="16" t="str">
        <f aca="false">IF(OR(AC791="",P791=""),"",P791/AC791-1)</f>
        <v/>
      </c>
      <c r="AE791" s="19" t="str">
        <f aca="false">IF(AND(M791=0,OR(Z791="✅ ЗАШЛО",Z791="❌ НЕ ЗАШЛО"),L791&lt;&gt;""),(L791-IF(Z791="✅ ЗАШЛО",1,0))^2,"")</f>
        <v/>
      </c>
      <c r="AF791" s="15"/>
      <c r="AG791" s="15"/>
      <c r="AH791" s="13"/>
      <c r="AI791" s="13"/>
      <c r="AJ791" s="13"/>
      <c r="AK791" s="20" t="str">
        <f aca="false">IF(AH791="","",IF(ABS(AH791+AI791+AJ791-1)&lt;0.000001,"OK","ОШИБКА"))</f>
        <v/>
      </c>
      <c r="AL791" s="13"/>
      <c r="AM791" s="12"/>
      <c r="AN791" s="12"/>
      <c r="AO791" s="12"/>
      <c r="AP791" s="12"/>
      <c r="AQ791" s="18" t="str">
        <f aca="false">IF(A791="","",N(AQ790)+N(AA791))</f>
        <v/>
      </c>
      <c r="AR791" s="18" t="str">
        <f aca="false">IF(AQ791="","",MAX(0,MAX($AQ$8:AQ791))-AQ791)</f>
        <v/>
      </c>
    </row>
    <row r="792" customFormat="false" ht="15" hidden="false" customHeight="fals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3"/>
      <c r="M792" s="13"/>
      <c r="N792" s="13"/>
      <c r="O792" s="14" t="str">
        <f aca="false">IF(OR(L792="",L792=0),"",(1-M792)/L792)</f>
        <v/>
      </c>
      <c r="P792" s="15"/>
      <c r="Q792" s="12"/>
      <c r="R792" s="12"/>
      <c r="S792" s="13"/>
      <c r="T792" s="16" t="str">
        <f aca="false">IF(OR(S792="",L792=""),"",L792/(1-M792)-S792)</f>
        <v/>
      </c>
      <c r="U792" s="16" t="str">
        <f aca="false">IF(OR(L792="",P792=""),"",L792*(P792-1)-N792)</f>
        <v/>
      </c>
      <c r="V792" s="13"/>
      <c r="W792" s="17"/>
      <c r="X792" s="12"/>
      <c r="Y792" s="12"/>
      <c r="Z792" s="12"/>
      <c r="AA792" s="18" t="str">
        <f aca="false">IF(K792&lt;&gt;"ВИРТУАЛЬНЫЙ ВЫБОР","",IF(Z792="✅ ЗАШЛО",W792*(P792-1),IF(Z792="❌ НЕ ЗАШЛО",-W792,IF(Z792="½ ЗАШЛО",W792*(P792-1)/2,IF(Z792="½ НЕ ЗАШЛО",-W792/2,IF(Z792="ВОЗВРАТ",0,""))))))</f>
        <v/>
      </c>
      <c r="AB792" s="18" t="str">
        <f aca="false">IF(AND(K792="ВИРТУАЛЬНЫЙ ВЫБОР",OR(Z792="✅ ЗАШЛО",Z792="❌ НЕ ЗАШЛО",Z792="½ ЗАШЛО",Z792="½ НЕ ЗАШЛО",Z792="ВОЗВРАТ")),W792,"")</f>
        <v/>
      </c>
      <c r="AC792" s="15"/>
      <c r="AD792" s="16" t="str">
        <f aca="false">IF(OR(AC792="",P792=""),"",P792/AC792-1)</f>
        <v/>
      </c>
      <c r="AE792" s="19" t="str">
        <f aca="false">IF(AND(M792=0,OR(Z792="✅ ЗАШЛО",Z792="❌ НЕ ЗАШЛО"),L792&lt;&gt;""),(L792-IF(Z792="✅ ЗАШЛО",1,0))^2,"")</f>
        <v/>
      </c>
      <c r="AF792" s="15"/>
      <c r="AG792" s="15"/>
      <c r="AH792" s="13"/>
      <c r="AI792" s="13"/>
      <c r="AJ792" s="13"/>
      <c r="AK792" s="20" t="str">
        <f aca="false">IF(AH792="","",IF(ABS(AH792+AI792+AJ792-1)&lt;0.000001,"OK","ОШИБКА"))</f>
        <v/>
      </c>
      <c r="AL792" s="13"/>
      <c r="AM792" s="12"/>
      <c r="AN792" s="12"/>
      <c r="AO792" s="12"/>
      <c r="AP792" s="12"/>
      <c r="AQ792" s="18" t="str">
        <f aca="false">IF(A792="","",N(AQ791)+N(AA792))</f>
        <v/>
      </c>
      <c r="AR792" s="18" t="str">
        <f aca="false">IF(AQ792="","",MAX(0,MAX($AQ$8:AQ792))-AQ792)</f>
        <v/>
      </c>
    </row>
    <row r="793" customFormat="false" ht="15" hidden="false" customHeight="fals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3"/>
      <c r="M793" s="13"/>
      <c r="N793" s="13"/>
      <c r="O793" s="14" t="str">
        <f aca="false">IF(OR(L793="",L793=0),"",(1-M793)/L793)</f>
        <v/>
      </c>
      <c r="P793" s="15"/>
      <c r="Q793" s="12"/>
      <c r="R793" s="12"/>
      <c r="S793" s="13"/>
      <c r="T793" s="16" t="str">
        <f aca="false">IF(OR(S793="",L793=""),"",L793/(1-M793)-S793)</f>
        <v/>
      </c>
      <c r="U793" s="16" t="str">
        <f aca="false">IF(OR(L793="",P793=""),"",L793*(P793-1)-N793)</f>
        <v/>
      </c>
      <c r="V793" s="13"/>
      <c r="W793" s="17"/>
      <c r="X793" s="12"/>
      <c r="Y793" s="12"/>
      <c r="Z793" s="12"/>
      <c r="AA793" s="18" t="str">
        <f aca="false">IF(K793&lt;&gt;"ВИРТУАЛЬНЫЙ ВЫБОР","",IF(Z793="✅ ЗАШЛО",W793*(P793-1),IF(Z793="❌ НЕ ЗАШЛО",-W793,IF(Z793="½ ЗАШЛО",W793*(P793-1)/2,IF(Z793="½ НЕ ЗАШЛО",-W793/2,IF(Z793="ВОЗВРАТ",0,""))))))</f>
        <v/>
      </c>
      <c r="AB793" s="18" t="str">
        <f aca="false">IF(AND(K793="ВИРТУАЛЬНЫЙ ВЫБОР",OR(Z793="✅ ЗАШЛО",Z793="❌ НЕ ЗАШЛО",Z793="½ ЗАШЛО",Z793="½ НЕ ЗАШЛО",Z793="ВОЗВРАТ")),W793,"")</f>
        <v/>
      </c>
      <c r="AC793" s="15"/>
      <c r="AD793" s="16" t="str">
        <f aca="false">IF(OR(AC793="",P793=""),"",P793/AC793-1)</f>
        <v/>
      </c>
      <c r="AE793" s="19" t="str">
        <f aca="false">IF(AND(M793=0,OR(Z793="✅ ЗАШЛО",Z793="❌ НЕ ЗАШЛО"),L793&lt;&gt;""),(L793-IF(Z793="✅ ЗАШЛО",1,0))^2,"")</f>
        <v/>
      </c>
      <c r="AF793" s="15"/>
      <c r="AG793" s="15"/>
      <c r="AH793" s="13"/>
      <c r="AI793" s="13"/>
      <c r="AJ793" s="13"/>
      <c r="AK793" s="20" t="str">
        <f aca="false">IF(AH793="","",IF(ABS(AH793+AI793+AJ793-1)&lt;0.000001,"OK","ОШИБКА"))</f>
        <v/>
      </c>
      <c r="AL793" s="13"/>
      <c r="AM793" s="12"/>
      <c r="AN793" s="12"/>
      <c r="AO793" s="12"/>
      <c r="AP793" s="12"/>
      <c r="AQ793" s="18" t="str">
        <f aca="false">IF(A793="","",N(AQ792)+N(AA793))</f>
        <v/>
      </c>
      <c r="AR793" s="18" t="str">
        <f aca="false">IF(AQ793="","",MAX(0,MAX($AQ$8:AQ793))-AQ793)</f>
        <v/>
      </c>
    </row>
    <row r="794" customFormat="false" ht="15" hidden="false" customHeight="fals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3"/>
      <c r="M794" s="13"/>
      <c r="N794" s="13"/>
      <c r="O794" s="14" t="str">
        <f aca="false">IF(OR(L794="",L794=0),"",(1-M794)/L794)</f>
        <v/>
      </c>
      <c r="P794" s="15"/>
      <c r="Q794" s="12"/>
      <c r="R794" s="12"/>
      <c r="S794" s="13"/>
      <c r="T794" s="16" t="str">
        <f aca="false">IF(OR(S794="",L794=""),"",L794/(1-M794)-S794)</f>
        <v/>
      </c>
      <c r="U794" s="16" t="str">
        <f aca="false">IF(OR(L794="",P794=""),"",L794*(P794-1)-N794)</f>
        <v/>
      </c>
      <c r="V794" s="13"/>
      <c r="W794" s="17"/>
      <c r="X794" s="12"/>
      <c r="Y794" s="12"/>
      <c r="Z794" s="12"/>
      <c r="AA794" s="18" t="str">
        <f aca="false">IF(K794&lt;&gt;"ВИРТУАЛЬНЫЙ ВЫБОР","",IF(Z794="✅ ЗАШЛО",W794*(P794-1),IF(Z794="❌ НЕ ЗАШЛО",-W794,IF(Z794="½ ЗАШЛО",W794*(P794-1)/2,IF(Z794="½ НЕ ЗАШЛО",-W794/2,IF(Z794="ВОЗВРАТ",0,""))))))</f>
        <v/>
      </c>
      <c r="AB794" s="18" t="str">
        <f aca="false">IF(AND(K794="ВИРТУАЛЬНЫЙ ВЫБОР",OR(Z794="✅ ЗАШЛО",Z794="❌ НЕ ЗАШЛО",Z794="½ ЗАШЛО",Z794="½ НЕ ЗАШЛО",Z794="ВОЗВРАТ")),W794,"")</f>
        <v/>
      </c>
      <c r="AC794" s="15"/>
      <c r="AD794" s="16" t="str">
        <f aca="false">IF(OR(AC794="",P794=""),"",P794/AC794-1)</f>
        <v/>
      </c>
      <c r="AE794" s="19" t="str">
        <f aca="false">IF(AND(M794=0,OR(Z794="✅ ЗАШЛО",Z794="❌ НЕ ЗАШЛО"),L794&lt;&gt;""),(L794-IF(Z794="✅ ЗАШЛО",1,0))^2,"")</f>
        <v/>
      </c>
      <c r="AF794" s="15"/>
      <c r="AG794" s="15"/>
      <c r="AH794" s="13"/>
      <c r="AI794" s="13"/>
      <c r="AJ794" s="13"/>
      <c r="AK794" s="20" t="str">
        <f aca="false">IF(AH794="","",IF(ABS(AH794+AI794+AJ794-1)&lt;0.000001,"OK","ОШИБКА"))</f>
        <v/>
      </c>
      <c r="AL794" s="13"/>
      <c r="AM794" s="12"/>
      <c r="AN794" s="12"/>
      <c r="AO794" s="12"/>
      <c r="AP794" s="12"/>
      <c r="AQ794" s="18" t="str">
        <f aca="false">IF(A794="","",N(AQ793)+N(AA794))</f>
        <v/>
      </c>
      <c r="AR794" s="18" t="str">
        <f aca="false">IF(AQ794="","",MAX(0,MAX($AQ$8:AQ794))-AQ794)</f>
        <v/>
      </c>
    </row>
    <row r="795" customFormat="false" ht="15" hidden="false" customHeight="fals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3"/>
      <c r="M795" s="13"/>
      <c r="N795" s="13"/>
      <c r="O795" s="14" t="str">
        <f aca="false">IF(OR(L795="",L795=0),"",(1-M795)/L795)</f>
        <v/>
      </c>
      <c r="P795" s="15"/>
      <c r="Q795" s="12"/>
      <c r="R795" s="12"/>
      <c r="S795" s="13"/>
      <c r="T795" s="16" t="str">
        <f aca="false">IF(OR(S795="",L795=""),"",L795/(1-M795)-S795)</f>
        <v/>
      </c>
      <c r="U795" s="16" t="str">
        <f aca="false">IF(OR(L795="",P795=""),"",L795*(P795-1)-N795)</f>
        <v/>
      </c>
      <c r="V795" s="13"/>
      <c r="W795" s="17"/>
      <c r="X795" s="12"/>
      <c r="Y795" s="12"/>
      <c r="Z795" s="12"/>
      <c r="AA795" s="18" t="str">
        <f aca="false">IF(K795&lt;&gt;"ВИРТУАЛЬНЫЙ ВЫБОР","",IF(Z795="✅ ЗАШЛО",W795*(P795-1),IF(Z795="❌ НЕ ЗАШЛО",-W795,IF(Z795="½ ЗАШЛО",W795*(P795-1)/2,IF(Z795="½ НЕ ЗАШЛО",-W795/2,IF(Z795="ВОЗВРАТ",0,""))))))</f>
        <v/>
      </c>
      <c r="AB795" s="18" t="str">
        <f aca="false">IF(AND(K795="ВИРТУАЛЬНЫЙ ВЫБОР",OR(Z795="✅ ЗАШЛО",Z795="❌ НЕ ЗАШЛО",Z795="½ ЗАШЛО",Z795="½ НЕ ЗАШЛО",Z795="ВОЗВРАТ")),W795,"")</f>
        <v/>
      </c>
      <c r="AC795" s="15"/>
      <c r="AD795" s="16" t="str">
        <f aca="false">IF(OR(AC795="",P795=""),"",P795/AC795-1)</f>
        <v/>
      </c>
      <c r="AE795" s="19" t="str">
        <f aca="false">IF(AND(M795=0,OR(Z795="✅ ЗАШЛО",Z795="❌ НЕ ЗАШЛО"),L795&lt;&gt;""),(L795-IF(Z795="✅ ЗАШЛО",1,0))^2,"")</f>
        <v/>
      </c>
      <c r="AF795" s="15"/>
      <c r="AG795" s="15"/>
      <c r="AH795" s="13"/>
      <c r="AI795" s="13"/>
      <c r="AJ795" s="13"/>
      <c r="AK795" s="20" t="str">
        <f aca="false">IF(AH795="","",IF(ABS(AH795+AI795+AJ795-1)&lt;0.000001,"OK","ОШИБКА"))</f>
        <v/>
      </c>
      <c r="AL795" s="13"/>
      <c r="AM795" s="12"/>
      <c r="AN795" s="12"/>
      <c r="AO795" s="12"/>
      <c r="AP795" s="12"/>
      <c r="AQ795" s="18" t="str">
        <f aca="false">IF(A795="","",N(AQ794)+N(AA795))</f>
        <v/>
      </c>
      <c r="AR795" s="18" t="str">
        <f aca="false">IF(AQ795="","",MAX(0,MAX($AQ$8:AQ795))-AQ795)</f>
        <v/>
      </c>
    </row>
    <row r="796" customFormat="false" ht="15" hidden="false" customHeight="fals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3"/>
      <c r="M796" s="13"/>
      <c r="N796" s="13"/>
      <c r="O796" s="14" t="str">
        <f aca="false">IF(OR(L796="",L796=0),"",(1-M796)/L796)</f>
        <v/>
      </c>
      <c r="P796" s="15"/>
      <c r="Q796" s="12"/>
      <c r="R796" s="12"/>
      <c r="S796" s="13"/>
      <c r="T796" s="16" t="str">
        <f aca="false">IF(OR(S796="",L796=""),"",L796/(1-M796)-S796)</f>
        <v/>
      </c>
      <c r="U796" s="16" t="str">
        <f aca="false">IF(OR(L796="",P796=""),"",L796*(P796-1)-N796)</f>
        <v/>
      </c>
      <c r="V796" s="13"/>
      <c r="W796" s="17"/>
      <c r="X796" s="12"/>
      <c r="Y796" s="12"/>
      <c r="Z796" s="12"/>
      <c r="AA796" s="18" t="str">
        <f aca="false">IF(K796&lt;&gt;"ВИРТУАЛЬНЫЙ ВЫБОР","",IF(Z796="✅ ЗАШЛО",W796*(P796-1),IF(Z796="❌ НЕ ЗАШЛО",-W796,IF(Z796="½ ЗАШЛО",W796*(P796-1)/2,IF(Z796="½ НЕ ЗАШЛО",-W796/2,IF(Z796="ВОЗВРАТ",0,""))))))</f>
        <v/>
      </c>
      <c r="AB796" s="18" t="str">
        <f aca="false">IF(AND(K796="ВИРТУАЛЬНЫЙ ВЫБОР",OR(Z796="✅ ЗАШЛО",Z796="❌ НЕ ЗАШЛО",Z796="½ ЗАШЛО",Z796="½ НЕ ЗАШЛО",Z796="ВОЗВРАТ")),W796,"")</f>
        <v/>
      </c>
      <c r="AC796" s="15"/>
      <c r="AD796" s="16" t="str">
        <f aca="false">IF(OR(AC796="",P796=""),"",P796/AC796-1)</f>
        <v/>
      </c>
      <c r="AE796" s="19" t="str">
        <f aca="false">IF(AND(M796=0,OR(Z796="✅ ЗАШЛО",Z796="❌ НЕ ЗАШЛО"),L796&lt;&gt;""),(L796-IF(Z796="✅ ЗАШЛО",1,0))^2,"")</f>
        <v/>
      </c>
      <c r="AF796" s="15"/>
      <c r="AG796" s="15"/>
      <c r="AH796" s="13"/>
      <c r="AI796" s="13"/>
      <c r="AJ796" s="13"/>
      <c r="AK796" s="20" t="str">
        <f aca="false">IF(AH796="","",IF(ABS(AH796+AI796+AJ796-1)&lt;0.000001,"OK","ОШИБКА"))</f>
        <v/>
      </c>
      <c r="AL796" s="13"/>
      <c r="AM796" s="12"/>
      <c r="AN796" s="12"/>
      <c r="AO796" s="12"/>
      <c r="AP796" s="12"/>
      <c r="AQ796" s="18" t="str">
        <f aca="false">IF(A796="","",N(AQ795)+N(AA796))</f>
        <v/>
      </c>
      <c r="AR796" s="18" t="str">
        <f aca="false">IF(AQ796="","",MAX(0,MAX($AQ$8:AQ796))-AQ796)</f>
        <v/>
      </c>
    </row>
    <row r="797" customFormat="false" ht="15" hidden="false" customHeight="fals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3"/>
      <c r="M797" s="13"/>
      <c r="N797" s="13"/>
      <c r="O797" s="14" t="str">
        <f aca="false">IF(OR(L797="",L797=0),"",(1-M797)/L797)</f>
        <v/>
      </c>
      <c r="P797" s="15"/>
      <c r="Q797" s="12"/>
      <c r="R797" s="12"/>
      <c r="S797" s="13"/>
      <c r="T797" s="16" t="str">
        <f aca="false">IF(OR(S797="",L797=""),"",L797/(1-M797)-S797)</f>
        <v/>
      </c>
      <c r="U797" s="16" t="str">
        <f aca="false">IF(OR(L797="",P797=""),"",L797*(P797-1)-N797)</f>
        <v/>
      </c>
      <c r="V797" s="13"/>
      <c r="W797" s="17"/>
      <c r="X797" s="12"/>
      <c r="Y797" s="12"/>
      <c r="Z797" s="12"/>
      <c r="AA797" s="18" t="str">
        <f aca="false">IF(K797&lt;&gt;"ВИРТУАЛЬНЫЙ ВЫБОР","",IF(Z797="✅ ЗАШЛО",W797*(P797-1),IF(Z797="❌ НЕ ЗАШЛО",-W797,IF(Z797="½ ЗАШЛО",W797*(P797-1)/2,IF(Z797="½ НЕ ЗАШЛО",-W797/2,IF(Z797="ВОЗВРАТ",0,""))))))</f>
        <v/>
      </c>
      <c r="AB797" s="18" t="str">
        <f aca="false">IF(AND(K797="ВИРТУАЛЬНЫЙ ВЫБОР",OR(Z797="✅ ЗАШЛО",Z797="❌ НЕ ЗАШЛО",Z797="½ ЗАШЛО",Z797="½ НЕ ЗАШЛО",Z797="ВОЗВРАТ")),W797,"")</f>
        <v/>
      </c>
      <c r="AC797" s="15"/>
      <c r="AD797" s="16" t="str">
        <f aca="false">IF(OR(AC797="",P797=""),"",P797/AC797-1)</f>
        <v/>
      </c>
      <c r="AE797" s="19" t="str">
        <f aca="false">IF(AND(M797=0,OR(Z797="✅ ЗАШЛО",Z797="❌ НЕ ЗАШЛО"),L797&lt;&gt;""),(L797-IF(Z797="✅ ЗАШЛО",1,0))^2,"")</f>
        <v/>
      </c>
      <c r="AF797" s="15"/>
      <c r="AG797" s="15"/>
      <c r="AH797" s="13"/>
      <c r="AI797" s="13"/>
      <c r="AJ797" s="13"/>
      <c r="AK797" s="20" t="str">
        <f aca="false">IF(AH797="","",IF(ABS(AH797+AI797+AJ797-1)&lt;0.000001,"OK","ОШИБКА"))</f>
        <v/>
      </c>
      <c r="AL797" s="13"/>
      <c r="AM797" s="12"/>
      <c r="AN797" s="12"/>
      <c r="AO797" s="12"/>
      <c r="AP797" s="12"/>
      <c r="AQ797" s="18" t="str">
        <f aca="false">IF(A797="","",N(AQ796)+N(AA797))</f>
        <v/>
      </c>
      <c r="AR797" s="18" t="str">
        <f aca="false">IF(AQ797="","",MAX(0,MAX($AQ$8:AQ797))-AQ797)</f>
        <v/>
      </c>
    </row>
    <row r="798" customFormat="false" ht="15" hidden="false" customHeight="fals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3"/>
      <c r="M798" s="13"/>
      <c r="N798" s="13"/>
      <c r="O798" s="14" t="str">
        <f aca="false">IF(OR(L798="",L798=0),"",(1-M798)/L798)</f>
        <v/>
      </c>
      <c r="P798" s="15"/>
      <c r="Q798" s="12"/>
      <c r="R798" s="12"/>
      <c r="S798" s="13"/>
      <c r="T798" s="16" t="str">
        <f aca="false">IF(OR(S798="",L798=""),"",L798/(1-M798)-S798)</f>
        <v/>
      </c>
      <c r="U798" s="16" t="str">
        <f aca="false">IF(OR(L798="",P798=""),"",L798*(P798-1)-N798)</f>
        <v/>
      </c>
      <c r="V798" s="13"/>
      <c r="W798" s="17"/>
      <c r="X798" s="12"/>
      <c r="Y798" s="12"/>
      <c r="Z798" s="12"/>
      <c r="AA798" s="18" t="str">
        <f aca="false">IF(K798&lt;&gt;"ВИРТУАЛЬНЫЙ ВЫБОР","",IF(Z798="✅ ЗАШЛО",W798*(P798-1),IF(Z798="❌ НЕ ЗАШЛО",-W798,IF(Z798="½ ЗАШЛО",W798*(P798-1)/2,IF(Z798="½ НЕ ЗАШЛО",-W798/2,IF(Z798="ВОЗВРАТ",0,""))))))</f>
        <v/>
      </c>
      <c r="AB798" s="18" t="str">
        <f aca="false">IF(AND(K798="ВИРТУАЛЬНЫЙ ВЫБОР",OR(Z798="✅ ЗАШЛО",Z798="❌ НЕ ЗАШЛО",Z798="½ ЗАШЛО",Z798="½ НЕ ЗАШЛО",Z798="ВОЗВРАТ")),W798,"")</f>
        <v/>
      </c>
      <c r="AC798" s="15"/>
      <c r="AD798" s="16" t="str">
        <f aca="false">IF(OR(AC798="",P798=""),"",P798/AC798-1)</f>
        <v/>
      </c>
      <c r="AE798" s="19" t="str">
        <f aca="false">IF(AND(M798=0,OR(Z798="✅ ЗАШЛО",Z798="❌ НЕ ЗАШЛО"),L798&lt;&gt;""),(L798-IF(Z798="✅ ЗАШЛО",1,0))^2,"")</f>
        <v/>
      </c>
      <c r="AF798" s="15"/>
      <c r="AG798" s="15"/>
      <c r="AH798" s="13"/>
      <c r="AI798" s="13"/>
      <c r="AJ798" s="13"/>
      <c r="AK798" s="20" t="str">
        <f aca="false">IF(AH798="","",IF(ABS(AH798+AI798+AJ798-1)&lt;0.000001,"OK","ОШИБКА"))</f>
        <v/>
      </c>
      <c r="AL798" s="13"/>
      <c r="AM798" s="12"/>
      <c r="AN798" s="12"/>
      <c r="AO798" s="12"/>
      <c r="AP798" s="12"/>
      <c r="AQ798" s="18" t="str">
        <f aca="false">IF(A798="","",N(AQ797)+N(AA798))</f>
        <v/>
      </c>
      <c r="AR798" s="18" t="str">
        <f aca="false">IF(AQ798="","",MAX(0,MAX($AQ$8:AQ798))-AQ798)</f>
        <v/>
      </c>
    </row>
    <row r="799" customFormat="false" ht="15" hidden="false" customHeight="fals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3"/>
      <c r="M799" s="13"/>
      <c r="N799" s="13"/>
      <c r="O799" s="14" t="str">
        <f aca="false">IF(OR(L799="",L799=0),"",(1-M799)/L799)</f>
        <v/>
      </c>
      <c r="P799" s="15"/>
      <c r="Q799" s="12"/>
      <c r="R799" s="12"/>
      <c r="S799" s="13"/>
      <c r="T799" s="16" t="str">
        <f aca="false">IF(OR(S799="",L799=""),"",L799/(1-M799)-S799)</f>
        <v/>
      </c>
      <c r="U799" s="16" t="str">
        <f aca="false">IF(OR(L799="",P799=""),"",L799*(P799-1)-N799)</f>
        <v/>
      </c>
      <c r="V799" s="13"/>
      <c r="W799" s="17"/>
      <c r="X799" s="12"/>
      <c r="Y799" s="12"/>
      <c r="Z799" s="12"/>
      <c r="AA799" s="18" t="str">
        <f aca="false">IF(K799&lt;&gt;"ВИРТУАЛЬНЫЙ ВЫБОР","",IF(Z799="✅ ЗАШЛО",W799*(P799-1),IF(Z799="❌ НЕ ЗАШЛО",-W799,IF(Z799="½ ЗАШЛО",W799*(P799-1)/2,IF(Z799="½ НЕ ЗАШЛО",-W799/2,IF(Z799="ВОЗВРАТ",0,""))))))</f>
        <v/>
      </c>
      <c r="AB799" s="18" t="str">
        <f aca="false">IF(AND(K799="ВИРТУАЛЬНЫЙ ВЫБОР",OR(Z799="✅ ЗАШЛО",Z799="❌ НЕ ЗАШЛО",Z799="½ ЗАШЛО",Z799="½ НЕ ЗАШЛО",Z799="ВОЗВРАТ")),W799,"")</f>
        <v/>
      </c>
      <c r="AC799" s="15"/>
      <c r="AD799" s="16" t="str">
        <f aca="false">IF(OR(AC799="",P799=""),"",P799/AC799-1)</f>
        <v/>
      </c>
      <c r="AE799" s="19" t="str">
        <f aca="false">IF(AND(M799=0,OR(Z799="✅ ЗАШЛО",Z799="❌ НЕ ЗАШЛО"),L799&lt;&gt;""),(L799-IF(Z799="✅ ЗАШЛО",1,0))^2,"")</f>
        <v/>
      </c>
      <c r="AF799" s="15"/>
      <c r="AG799" s="15"/>
      <c r="AH799" s="13"/>
      <c r="AI799" s="13"/>
      <c r="AJ799" s="13"/>
      <c r="AK799" s="20" t="str">
        <f aca="false">IF(AH799="","",IF(ABS(AH799+AI799+AJ799-1)&lt;0.000001,"OK","ОШИБКА"))</f>
        <v/>
      </c>
      <c r="AL799" s="13"/>
      <c r="AM799" s="12"/>
      <c r="AN799" s="12"/>
      <c r="AO799" s="12"/>
      <c r="AP799" s="12"/>
      <c r="AQ799" s="18" t="str">
        <f aca="false">IF(A799="","",N(AQ798)+N(AA799))</f>
        <v/>
      </c>
      <c r="AR799" s="18" t="str">
        <f aca="false">IF(AQ799="","",MAX(0,MAX($AQ$8:AQ799))-AQ799)</f>
        <v/>
      </c>
    </row>
    <row r="800" customFormat="false" ht="15" hidden="false" customHeight="fals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3"/>
      <c r="M800" s="13"/>
      <c r="N800" s="13"/>
      <c r="O800" s="14" t="str">
        <f aca="false">IF(OR(L800="",L800=0),"",(1-M800)/L800)</f>
        <v/>
      </c>
      <c r="P800" s="15"/>
      <c r="Q800" s="12"/>
      <c r="R800" s="12"/>
      <c r="S800" s="13"/>
      <c r="T800" s="16" t="str">
        <f aca="false">IF(OR(S800="",L800=""),"",L800/(1-M800)-S800)</f>
        <v/>
      </c>
      <c r="U800" s="16" t="str">
        <f aca="false">IF(OR(L800="",P800=""),"",L800*(P800-1)-N800)</f>
        <v/>
      </c>
      <c r="V800" s="13"/>
      <c r="W800" s="17"/>
      <c r="X800" s="12"/>
      <c r="Y800" s="12"/>
      <c r="Z800" s="12"/>
      <c r="AA800" s="18" t="str">
        <f aca="false">IF(K800&lt;&gt;"ВИРТУАЛЬНЫЙ ВЫБОР","",IF(Z800="✅ ЗАШЛО",W800*(P800-1),IF(Z800="❌ НЕ ЗАШЛО",-W800,IF(Z800="½ ЗАШЛО",W800*(P800-1)/2,IF(Z800="½ НЕ ЗАШЛО",-W800/2,IF(Z800="ВОЗВРАТ",0,""))))))</f>
        <v/>
      </c>
      <c r="AB800" s="18" t="str">
        <f aca="false">IF(AND(K800="ВИРТУАЛЬНЫЙ ВЫБОР",OR(Z800="✅ ЗАШЛО",Z800="❌ НЕ ЗАШЛО",Z800="½ ЗАШЛО",Z800="½ НЕ ЗАШЛО",Z800="ВОЗВРАТ")),W800,"")</f>
        <v/>
      </c>
      <c r="AC800" s="15"/>
      <c r="AD800" s="16" t="str">
        <f aca="false">IF(OR(AC800="",P800=""),"",P800/AC800-1)</f>
        <v/>
      </c>
      <c r="AE800" s="19" t="str">
        <f aca="false">IF(AND(M800=0,OR(Z800="✅ ЗАШЛО",Z800="❌ НЕ ЗАШЛО"),L800&lt;&gt;""),(L800-IF(Z800="✅ ЗАШЛО",1,0))^2,"")</f>
        <v/>
      </c>
      <c r="AF800" s="15"/>
      <c r="AG800" s="15"/>
      <c r="AH800" s="13"/>
      <c r="AI800" s="13"/>
      <c r="AJ800" s="13"/>
      <c r="AK800" s="20" t="str">
        <f aca="false">IF(AH800="","",IF(ABS(AH800+AI800+AJ800-1)&lt;0.000001,"OK","ОШИБКА"))</f>
        <v/>
      </c>
      <c r="AL800" s="13"/>
      <c r="AM800" s="12"/>
      <c r="AN800" s="12"/>
      <c r="AO800" s="12"/>
      <c r="AP800" s="12"/>
      <c r="AQ800" s="18" t="str">
        <f aca="false">IF(A800="","",N(AQ799)+N(AA800))</f>
        <v/>
      </c>
      <c r="AR800" s="18" t="str">
        <f aca="false">IF(AQ800="","",MAX(0,MAX($AQ$8:AQ800))-AQ800)</f>
        <v/>
      </c>
    </row>
    <row r="801" customFormat="false" ht="15" hidden="false" customHeight="fals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3"/>
      <c r="M801" s="13"/>
      <c r="N801" s="13"/>
      <c r="O801" s="14" t="str">
        <f aca="false">IF(OR(L801="",L801=0),"",(1-M801)/L801)</f>
        <v/>
      </c>
      <c r="P801" s="15"/>
      <c r="Q801" s="12"/>
      <c r="R801" s="12"/>
      <c r="S801" s="13"/>
      <c r="T801" s="16" t="str">
        <f aca="false">IF(OR(S801="",L801=""),"",L801/(1-M801)-S801)</f>
        <v/>
      </c>
      <c r="U801" s="16" t="str">
        <f aca="false">IF(OR(L801="",P801=""),"",L801*(P801-1)-N801)</f>
        <v/>
      </c>
      <c r="V801" s="13"/>
      <c r="W801" s="17"/>
      <c r="X801" s="12"/>
      <c r="Y801" s="12"/>
      <c r="Z801" s="12"/>
      <c r="AA801" s="18" t="str">
        <f aca="false">IF(K801&lt;&gt;"ВИРТУАЛЬНЫЙ ВЫБОР","",IF(Z801="✅ ЗАШЛО",W801*(P801-1),IF(Z801="❌ НЕ ЗАШЛО",-W801,IF(Z801="½ ЗАШЛО",W801*(P801-1)/2,IF(Z801="½ НЕ ЗАШЛО",-W801/2,IF(Z801="ВОЗВРАТ",0,""))))))</f>
        <v/>
      </c>
      <c r="AB801" s="18" t="str">
        <f aca="false">IF(AND(K801="ВИРТУАЛЬНЫЙ ВЫБОР",OR(Z801="✅ ЗАШЛО",Z801="❌ НЕ ЗАШЛО",Z801="½ ЗАШЛО",Z801="½ НЕ ЗАШЛО",Z801="ВОЗВРАТ")),W801,"")</f>
        <v/>
      </c>
      <c r="AC801" s="15"/>
      <c r="AD801" s="16" t="str">
        <f aca="false">IF(OR(AC801="",P801=""),"",P801/AC801-1)</f>
        <v/>
      </c>
      <c r="AE801" s="19" t="str">
        <f aca="false">IF(AND(M801=0,OR(Z801="✅ ЗАШЛО",Z801="❌ НЕ ЗАШЛО"),L801&lt;&gt;""),(L801-IF(Z801="✅ ЗАШЛО",1,0))^2,"")</f>
        <v/>
      </c>
      <c r="AF801" s="15"/>
      <c r="AG801" s="15"/>
      <c r="AH801" s="13"/>
      <c r="AI801" s="13"/>
      <c r="AJ801" s="13"/>
      <c r="AK801" s="20" t="str">
        <f aca="false">IF(AH801="","",IF(ABS(AH801+AI801+AJ801-1)&lt;0.000001,"OK","ОШИБКА"))</f>
        <v/>
      </c>
      <c r="AL801" s="13"/>
      <c r="AM801" s="12"/>
      <c r="AN801" s="12"/>
      <c r="AO801" s="12"/>
      <c r="AP801" s="12"/>
      <c r="AQ801" s="18" t="str">
        <f aca="false">IF(A801="","",N(AQ800)+N(AA801))</f>
        <v/>
      </c>
      <c r="AR801" s="18" t="str">
        <f aca="false">IF(AQ801="","",MAX(0,MAX($AQ$8:AQ801))-AQ801)</f>
        <v/>
      </c>
    </row>
    <row r="802" customFormat="false" ht="15" hidden="false" customHeight="fals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3"/>
      <c r="M802" s="13"/>
      <c r="N802" s="13"/>
      <c r="O802" s="14" t="str">
        <f aca="false">IF(OR(L802="",L802=0),"",(1-M802)/L802)</f>
        <v/>
      </c>
      <c r="P802" s="15"/>
      <c r="Q802" s="12"/>
      <c r="R802" s="12"/>
      <c r="S802" s="13"/>
      <c r="T802" s="16" t="str">
        <f aca="false">IF(OR(S802="",L802=""),"",L802/(1-M802)-S802)</f>
        <v/>
      </c>
      <c r="U802" s="16" t="str">
        <f aca="false">IF(OR(L802="",P802=""),"",L802*(P802-1)-N802)</f>
        <v/>
      </c>
      <c r="V802" s="13"/>
      <c r="W802" s="17"/>
      <c r="X802" s="12"/>
      <c r="Y802" s="12"/>
      <c r="Z802" s="12"/>
      <c r="AA802" s="18" t="str">
        <f aca="false">IF(K802&lt;&gt;"ВИРТУАЛЬНЫЙ ВЫБОР","",IF(Z802="✅ ЗАШЛО",W802*(P802-1),IF(Z802="❌ НЕ ЗАШЛО",-W802,IF(Z802="½ ЗАШЛО",W802*(P802-1)/2,IF(Z802="½ НЕ ЗАШЛО",-W802/2,IF(Z802="ВОЗВРАТ",0,""))))))</f>
        <v/>
      </c>
      <c r="AB802" s="18" t="str">
        <f aca="false">IF(AND(K802="ВИРТУАЛЬНЫЙ ВЫБОР",OR(Z802="✅ ЗАШЛО",Z802="❌ НЕ ЗАШЛО",Z802="½ ЗАШЛО",Z802="½ НЕ ЗАШЛО",Z802="ВОЗВРАТ")),W802,"")</f>
        <v/>
      </c>
      <c r="AC802" s="15"/>
      <c r="AD802" s="16" t="str">
        <f aca="false">IF(OR(AC802="",P802=""),"",P802/AC802-1)</f>
        <v/>
      </c>
      <c r="AE802" s="19" t="str">
        <f aca="false">IF(AND(M802=0,OR(Z802="✅ ЗАШЛО",Z802="❌ НЕ ЗАШЛО"),L802&lt;&gt;""),(L802-IF(Z802="✅ ЗАШЛО",1,0))^2,"")</f>
        <v/>
      </c>
      <c r="AF802" s="15"/>
      <c r="AG802" s="15"/>
      <c r="AH802" s="13"/>
      <c r="AI802" s="13"/>
      <c r="AJ802" s="13"/>
      <c r="AK802" s="20" t="str">
        <f aca="false">IF(AH802="","",IF(ABS(AH802+AI802+AJ802-1)&lt;0.000001,"OK","ОШИБКА"))</f>
        <v/>
      </c>
      <c r="AL802" s="13"/>
      <c r="AM802" s="12"/>
      <c r="AN802" s="12"/>
      <c r="AO802" s="12"/>
      <c r="AP802" s="12"/>
      <c r="AQ802" s="18" t="str">
        <f aca="false">IF(A802="","",N(AQ801)+N(AA802))</f>
        <v/>
      </c>
      <c r="AR802" s="18" t="str">
        <f aca="false">IF(AQ802="","",MAX(0,MAX($AQ$8:AQ802))-AQ802)</f>
        <v/>
      </c>
    </row>
    <row r="803" customFormat="false" ht="15" hidden="false" customHeight="fals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3"/>
      <c r="M803" s="13"/>
      <c r="N803" s="13"/>
      <c r="O803" s="14" t="str">
        <f aca="false">IF(OR(L803="",L803=0),"",(1-M803)/L803)</f>
        <v/>
      </c>
      <c r="P803" s="15"/>
      <c r="Q803" s="12"/>
      <c r="R803" s="12"/>
      <c r="S803" s="13"/>
      <c r="T803" s="16" t="str">
        <f aca="false">IF(OR(S803="",L803=""),"",L803/(1-M803)-S803)</f>
        <v/>
      </c>
      <c r="U803" s="16" t="str">
        <f aca="false">IF(OR(L803="",P803=""),"",L803*(P803-1)-N803)</f>
        <v/>
      </c>
      <c r="V803" s="13"/>
      <c r="W803" s="17"/>
      <c r="X803" s="12"/>
      <c r="Y803" s="12"/>
      <c r="Z803" s="12"/>
      <c r="AA803" s="18" t="str">
        <f aca="false">IF(K803&lt;&gt;"ВИРТУАЛЬНЫЙ ВЫБОР","",IF(Z803="✅ ЗАШЛО",W803*(P803-1),IF(Z803="❌ НЕ ЗАШЛО",-W803,IF(Z803="½ ЗАШЛО",W803*(P803-1)/2,IF(Z803="½ НЕ ЗАШЛО",-W803/2,IF(Z803="ВОЗВРАТ",0,""))))))</f>
        <v/>
      </c>
      <c r="AB803" s="18" t="str">
        <f aca="false">IF(AND(K803="ВИРТУАЛЬНЫЙ ВЫБОР",OR(Z803="✅ ЗАШЛО",Z803="❌ НЕ ЗАШЛО",Z803="½ ЗАШЛО",Z803="½ НЕ ЗАШЛО",Z803="ВОЗВРАТ")),W803,"")</f>
        <v/>
      </c>
      <c r="AC803" s="15"/>
      <c r="AD803" s="16" t="str">
        <f aca="false">IF(OR(AC803="",P803=""),"",P803/AC803-1)</f>
        <v/>
      </c>
      <c r="AE803" s="19" t="str">
        <f aca="false">IF(AND(M803=0,OR(Z803="✅ ЗАШЛО",Z803="❌ НЕ ЗАШЛО"),L803&lt;&gt;""),(L803-IF(Z803="✅ ЗАШЛО",1,0))^2,"")</f>
        <v/>
      </c>
      <c r="AF803" s="15"/>
      <c r="AG803" s="15"/>
      <c r="AH803" s="13"/>
      <c r="AI803" s="13"/>
      <c r="AJ803" s="13"/>
      <c r="AK803" s="20" t="str">
        <f aca="false">IF(AH803="","",IF(ABS(AH803+AI803+AJ803-1)&lt;0.000001,"OK","ОШИБКА"))</f>
        <v/>
      </c>
      <c r="AL803" s="13"/>
      <c r="AM803" s="12"/>
      <c r="AN803" s="12"/>
      <c r="AO803" s="12"/>
      <c r="AP803" s="12"/>
      <c r="AQ803" s="18" t="str">
        <f aca="false">IF(A803="","",N(AQ802)+N(AA803))</f>
        <v/>
      </c>
      <c r="AR803" s="18" t="str">
        <f aca="false">IF(AQ803="","",MAX(0,MAX($AQ$8:AQ803))-AQ803)</f>
        <v/>
      </c>
    </row>
    <row r="804" customFormat="false" ht="15" hidden="false" customHeight="fals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3"/>
      <c r="M804" s="13"/>
      <c r="N804" s="13"/>
      <c r="O804" s="14" t="str">
        <f aca="false">IF(OR(L804="",L804=0),"",(1-M804)/L804)</f>
        <v/>
      </c>
      <c r="P804" s="15"/>
      <c r="Q804" s="12"/>
      <c r="R804" s="12"/>
      <c r="S804" s="13"/>
      <c r="T804" s="16" t="str">
        <f aca="false">IF(OR(S804="",L804=""),"",L804/(1-M804)-S804)</f>
        <v/>
      </c>
      <c r="U804" s="16" t="str">
        <f aca="false">IF(OR(L804="",P804=""),"",L804*(P804-1)-N804)</f>
        <v/>
      </c>
      <c r="V804" s="13"/>
      <c r="W804" s="17"/>
      <c r="X804" s="12"/>
      <c r="Y804" s="12"/>
      <c r="Z804" s="12"/>
      <c r="AA804" s="18" t="str">
        <f aca="false">IF(K804&lt;&gt;"ВИРТУАЛЬНЫЙ ВЫБОР","",IF(Z804="✅ ЗАШЛО",W804*(P804-1),IF(Z804="❌ НЕ ЗАШЛО",-W804,IF(Z804="½ ЗАШЛО",W804*(P804-1)/2,IF(Z804="½ НЕ ЗАШЛО",-W804/2,IF(Z804="ВОЗВРАТ",0,""))))))</f>
        <v/>
      </c>
      <c r="AB804" s="18" t="str">
        <f aca="false">IF(AND(K804="ВИРТУАЛЬНЫЙ ВЫБОР",OR(Z804="✅ ЗАШЛО",Z804="❌ НЕ ЗАШЛО",Z804="½ ЗАШЛО",Z804="½ НЕ ЗАШЛО",Z804="ВОЗВРАТ")),W804,"")</f>
        <v/>
      </c>
      <c r="AC804" s="15"/>
      <c r="AD804" s="16" t="str">
        <f aca="false">IF(OR(AC804="",P804=""),"",P804/AC804-1)</f>
        <v/>
      </c>
      <c r="AE804" s="19" t="str">
        <f aca="false">IF(AND(M804=0,OR(Z804="✅ ЗАШЛО",Z804="❌ НЕ ЗАШЛО"),L804&lt;&gt;""),(L804-IF(Z804="✅ ЗАШЛО",1,0))^2,"")</f>
        <v/>
      </c>
      <c r="AF804" s="15"/>
      <c r="AG804" s="15"/>
      <c r="AH804" s="13"/>
      <c r="AI804" s="13"/>
      <c r="AJ804" s="13"/>
      <c r="AK804" s="20" t="str">
        <f aca="false">IF(AH804="","",IF(ABS(AH804+AI804+AJ804-1)&lt;0.000001,"OK","ОШИБКА"))</f>
        <v/>
      </c>
      <c r="AL804" s="13"/>
      <c r="AM804" s="12"/>
      <c r="AN804" s="12"/>
      <c r="AO804" s="12"/>
      <c r="AP804" s="12"/>
      <c r="AQ804" s="18" t="str">
        <f aca="false">IF(A804="","",N(AQ803)+N(AA804))</f>
        <v/>
      </c>
      <c r="AR804" s="18" t="str">
        <f aca="false">IF(AQ804="","",MAX(0,MAX($AQ$8:AQ804))-AQ804)</f>
        <v/>
      </c>
    </row>
    <row r="805" customFormat="false" ht="15" hidden="false" customHeight="fals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3"/>
      <c r="M805" s="13"/>
      <c r="N805" s="13"/>
      <c r="O805" s="14" t="str">
        <f aca="false">IF(OR(L805="",L805=0),"",(1-M805)/L805)</f>
        <v/>
      </c>
      <c r="P805" s="15"/>
      <c r="Q805" s="12"/>
      <c r="R805" s="12"/>
      <c r="S805" s="13"/>
      <c r="T805" s="16" t="str">
        <f aca="false">IF(OR(S805="",L805=""),"",L805/(1-M805)-S805)</f>
        <v/>
      </c>
      <c r="U805" s="16" t="str">
        <f aca="false">IF(OR(L805="",P805=""),"",L805*(P805-1)-N805)</f>
        <v/>
      </c>
      <c r="V805" s="13"/>
      <c r="W805" s="17"/>
      <c r="X805" s="12"/>
      <c r="Y805" s="12"/>
      <c r="Z805" s="12"/>
      <c r="AA805" s="18" t="str">
        <f aca="false">IF(K805&lt;&gt;"ВИРТУАЛЬНЫЙ ВЫБОР","",IF(Z805="✅ ЗАШЛО",W805*(P805-1),IF(Z805="❌ НЕ ЗАШЛО",-W805,IF(Z805="½ ЗАШЛО",W805*(P805-1)/2,IF(Z805="½ НЕ ЗАШЛО",-W805/2,IF(Z805="ВОЗВРАТ",0,""))))))</f>
        <v/>
      </c>
      <c r="AB805" s="18" t="str">
        <f aca="false">IF(AND(K805="ВИРТУАЛЬНЫЙ ВЫБОР",OR(Z805="✅ ЗАШЛО",Z805="❌ НЕ ЗАШЛО",Z805="½ ЗАШЛО",Z805="½ НЕ ЗАШЛО",Z805="ВОЗВРАТ")),W805,"")</f>
        <v/>
      </c>
      <c r="AC805" s="15"/>
      <c r="AD805" s="16" t="str">
        <f aca="false">IF(OR(AC805="",P805=""),"",P805/AC805-1)</f>
        <v/>
      </c>
      <c r="AE805" s="19" t="str">
        <f aca="false">IF(AND(M805=0,OR(Z805="✅ ЗАШЛО",Z805="❌ НЕ ЗАШЛО"),L805&lt;&gt;""),(L805-IF(Z805="✅ ЗАШЛО",1,0))^2,"")</f>
        <v/>
      </c>
      <c r="AF805" s="15"/>
      <c r="AG805" s="15"/>
      <c r="AH805" s="13"/>
      <c r="AI805" s="13"/>
      <c r="AJ805" s="13"/>
      <c r="AK805" s="20" t="str">
        <f aca="false">IF(AH805="","",IF(ABS(AH805+AI805+AJ805-1)&lt;0.000001,"OK","ОШИБКА"))</f>
        <v/>
      </c>
      <c r="AL805" s="13"/>
      <c r="AM805" s="12"/>
      <c r="AN805" s="12"/>
      <c r="AO805" s="12"/>
      <c r="AP805" s="12"/>
      <c r="AQ805" s="18" t="str">
        <f aca="false">IF(A805="","",N(AQ804)+N(AA805))</f>
        <v/>
      </c>
      <c r="AR805" s="18" t="str">
        <f aca="false">IF(AQ805="","",MAX(0,MAX($AQ$8:AQ805))-AQ805)</f>
        <v/>
      </c>
    </row>
    <row r="806" customFormat="false" ht="15" hidden="false" customHeight="fals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3"/>
      <c r="M806" s="13"/>
      <c r="N806" s="13"/>
      <c r="O806" s="14" t="str">
        <f aca="false">IF(OR(L806="",L806=0),"",(1-M806)/L806)</f>
        <v/>
      </c>
      <c r="P806" s="15"/>
      <c r="Q806" s="12"/>
      <c r="R806" s="12"/>
      <c r="S806" s="13"/>
      <c r="T806" s="16" t="str">
        <f aca="false">IF(OR(S806="",L806=""),"",L806/(1-M806)-S806)</f>
        <v/>
      </c>
      <c r="U806" s="16" t="str">
        <f aca="false">IF(OR(L806="",P806=""),"",L806*(P806-1)-N806)</f>
        <v/>
      </c>
      <c r="V806" s="13"/>
      <c r="W806" s="17"/>
      <c r="X806" s="12"/>
      <c r="Y806" s="12"/>
      <c r="Z806" s="12"/>
      <c r="AA806" s="18" t="str">
        <f aca="false">IF(K806&lt;&gt;"ВИРТУАЛЬНЫЙ ВЫБОР","",IF(Z806="✅ ЗАШЛО",W806*(P806-1),IF(Z806="❌ НЕ ЗАШЛО",-W806,IF(Z806="½ ЗАШЛО",W806*(P806-1)/2,IF(Z806="½ НЕ ЗАШЛО",-W806/2,IF(Z806="ВОЗВРАТ",0,""))))))</f>
        <v/>
      </c>
      <c r="AB806" s="18" t="str">
        <f aca="false">IF(AND(K806="ВИРТУАЛЬНЫЙ ВЫБОР",OR(Z806="✅ ЗАШЛО",Z806="❌ НЕ ЗАШЛО",Z806="½ ЗАШЛО",Z806="½ НЕ ЗАШЛО",Z806="ВОЗВРАТ")),W806,"")</f>
        <v/>
      </c>
      <c r="AC806" s="15"/>
      <c r="AD806" s="16" t="str">
        <f aca="false">IF(OR(AC806="",P806=""),"",P806/AC806-1)</f>
        <v/>
      </c>
      <c r="AE806" s="19" t="str">
        <f aca="false">IF(AND(M806=0,OR(Z806="✅ ЗАШЛО",Z806="❌ НЕ ЗАШЛО"),L806&lt;&gt;""),(L806-IF(Z806="✅ ЗАШЛО",1,0))^2,"")</f>
        <v/>
      </c>
      <c r="AF806" s="15"/>
      <c r="AG806" s="15"/>
      <c r="AH806" s="13"/>
      <c r="AI806" s="13"/>
      <c r="AJ806" s="13"/>
      <c r="AK806" s="20" t="str">
        <f aca="false">IF(AH806="","",IF(ABS(AH806+AI806+AJ806-1)&lt;0.000001,"OK","ОШИБКА"))</f>
        <v/>
      </c>
      <c r="AL806" s="13"/>
      <c r="AM806" s="12"/>
      <c r="AN806" s="12"/>
      <c r="AO806" s="12"/>
      <c r="AP806" s="12"/>
      <c r="AQ806" s="18" t="str">
        <f aca="false">IF(A806="","",N(AQ805)+N(AA806))</f>
        <v/>
      </c>
      <c r="AR806" s="18" t="str">
        <f aca="false">IF(AQ806="","",MAX(0,MAX($AQ$8:AQ806))-AQ806)</f>
        <v/>
      </c>
    </row>
    <row r="807" customFormat="false" ht="15" hidden="false" customHeight="fals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3"/>
      <c r="M807" s="13"/>
      <c r="N807" s="13"/>
      <c r="O807" s="14" t="str">
        <f aca="false">IF(OR(L807="",L807=0),"",(1-M807)/L807)</f>
        <v/>
      </c>
      <c r="P807" s="15"/>
      <c r="Q807" s="12"/>
      <c r="R807" s="12"/>
      <c r="S807" s="13"/>
      <c r="T807" s="16" t="str">
        <f aca="false">IF(OR(S807="",L807=""),"",L807/(1-M807)-S807)</f>
        <v/>
      </c>
      <c r="U807" s="16" t="str">
        <f aca="false">IF(OR(L807="",P807=""),"",L807*(P807-1)-N807)</f>
        <v/>
      </c>
      <c r="V807" s="13"/>
      <c r="W807" s="17"/>
      <c r="X807" s="12"/>
      <c r="Y807" s="12"/>
      <c r="Z807" s="12"/>
      <c r="AA807" s="18" t="str">
        <f aca="false">IF(K807&lt;&gt;"ВИРТУАЛЬНЫЙ ВЫБОР","",IF(Z807="✅ ЗАШЛО",W807*(P807-1),IF(Z807="❌ НЕ ЗАШЛО",-W807,IF(Z807="½ ЗАШЛО",W807*(P807-1)/2,IF(Z807="½ НЕ ЗАШЛО",-W807/2,IF(Z807="ВОЗВРАТ",0,""))))))</f>
        <v/>
      </c>
      <c r="AB807" s="18" t="str">
        <f aca="false">IF(AND(K807="ВИРТУАЛЬНЫЙ ВЫБОР",OR(Z807="✅ ЗАШЛО",Z807="❌ НЕ ЗАШЛО",Z807="½ ЗАШЛО",Z807="½ НЕ ЗАШЛО",Z807="ВОЗВРАТ")),W807,"")</f>
        <v/>
      </c>
      <c r="AC807" s="15"/>
      <c r="AD807" s="16" t="str">
        <f aca="false">IF(OR(AC807="",P807=""),"",P807/AC807-1)</f>
        <v/>
      </c>
      <c r="AE807" s="19" t="str">
        <f aca="false">IF(AND(M807=0,OR(Z807="✅ ЗАШЛО",Z807="❌ НЕ ЗАШЛО"),L807&lt;&gt;""),(L807-IF(Z807="✅ ЗАШЛО",1,0))^2,"")</f>
        <v/>
      </c>
      <c r="AF807" s="15"/>
      <c r="AG807" s="15"/>
      <c r="AH807" s="13"/>
      <c r="AI807" s="13"/>
      <c r="AJ807" s="13"/>
      <c r="AK807" s="20" t="str">
        <f aca="false">IF(AH807="","",IF(ABS(AH807+AI807+AJ807-1)&lt;0.000001,"OK","ОШИБКА"))</f>
        <v/>
      </c>
      <c r="AL807" s="13"/>
      <c r="AM807" s="12"/>
      <c r="AN807" s="12"/>
      <c r="AO807" s="12"/>
      <c r="AP807" s="12"/>
      <c r="AQ807" s="18" t="str">
        <f aca="false">IF(A807="","",N(AQ806)+N(AA807))</f>
        <v/>
      </c>
      <c r="AR807" s="18" t="str">
        <f aca="false">IF(AQ807="","",MAX(0,MAX($AQ$8:AQ807))-AQ807)</f>
        <v/>
      </c>
    </row>
    <row r="808" customFormat="false" ht="15" hidden="false" customHeight="fals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3"/>
      <c r="M808" s="13"/>
      <c r="N808" s="13"/>
      <c r="O808" s="14" t="str">
        <f aca="false">IF(OR(L808="",L808=0),"",(1-M808)/L808)</f>
        <v/>
      </c>
      <c r="P808" s="15"/>
      <c r="Q808" s="12"/>
      <c r="R808" s="12"/>
      <c r="S808" s="13"/>
      <c r="T808" s="16" t="str">
        <f aca="false">IF(OR(S808="",L808=""),"",L808/(1-M808)-S808)</f>
        <v/>
      </c>
      <c r="U808" s="16" t="str">
        <f aca="false">IF(OR(L808="",P808=""),"",L808*(P808-1)-N808)</f>
        <v/>
      </c>
      <c r="V808" s="13"/>
      <c r="W808" s="17"/>
      <c r="X808" s="12"/>
      <c r="Y808" s="12"/>
      <c r="Z808" s="12"/>
      <c r="AA808" s="18" t="str">
        <f aca="false">IF(K808&lt;&gt;"ВИРТУАЛЬНЫЙ ВЫБОР","",IF(Z808="✅ ЗАШЛО",W808*(P808-1),IF(Z808="❌ НЕ ЗАШЛО",-W808,IF(Z808="½ ЗАШЛО",W808*(P808-1)/2,IF(Z808="½ НЕ ЗАШЛО",-W808/2,IF(Z808="ВОЗВРАТ",0,""))))))</f>
        <v/>
      </c>
      <c r="AB808" s="18" t="str">
        <f aca="false">IF(AND(K808="ВИРТУАЛЬНЫЙ ВЫБОР",OR(Z808="✅ ЗАШЛО",Z808="❌ НЕ ЗАШЛО",Z808="½ ЗАШЛО",Z808="½ НЕ ЗАШЛО",Z808="ВОЗВРАТ")),W808,"")</f>
        <v/>
      </c>
      <c r="AC808" s="15"/>
      <c r="AD808" s="16" t="str">
        <f aca="false">IF(OR(AC808="",P808=""),"",P808/AC808-1)</f>
        <v/>
      </c>
      <c r="AE808" s="19" t="str">
        <f aca="false">IF(AND(M808=0,OR(Z808="✅ ЗАШЛО",Z808="❌ НЕ ЗАШЛО"),L808&lt;&gt;""),(L808-IF(Z808="✅ ЗАШЛО",1,0))^2,"")</f>
        <v/>
      </c>
      <c r="AF808" s="15"/>
      <c r="AG808" s="15"/>
      <c r="AH808" s="13"/>
      <c r="AI808" s="13"/>
      <c r="AJ808" s="13"/>
      <c r="AK808" s="20" t="str">
        <f aca="false">IF(AH808="","",IF(ABS(AH808+AI808+AJ808-1)&lt;0.000001,"OK","ОШИБКА"))</f>
        <v/>
      </c>
      <c r="AL808" s="13"/>
      <c r="AM808" s="12"/>
      <c r="AN808" s="12"/>
      <c r="AO808" s="12"/>
      <c r="AP808" s="12"/>
      <c r="AQ808" s="18" t="str">
        <f aca="false">IF(A808="","",N(AQ807)+N(AA808))</f>
        <v/>
      </c>
      <c r="AR808" s="18" t="str">
        <f aca="false">IF(AQ808="","",MAX(0,MAX($AQ$8:AQ808))-AQ808)</f>
        <v/>
      </c>
    </row>
    <row r="809" customFormat="false" ht="15" hidden="false" customHeight="fals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3"/>
      <c r="M809" s="13"/>
      <c r="N809" s="13"/>
      <c r="O809" s="14" t="str">
        <f aca="false">IF(OR(L809="",L809=0),"",(1-M809)/L809)</f>
        <v/>
      </c>
      <c r="P809" s="15"/>
      <c r="Q809" s="12"/>
      <c r="R809" s="12"/>
      <c r="S809" s="13"/>
      <c r="T809" s="16" t="str">
        <f aca="false">IF(OR(S809="",L809=""),"",L809/(1-M809)-S809)</f>
        <v/>
      </c>
      <c r="U809" s="16" t="str">
        <f aca="false">IF(OR(L809="",P809=""),"",L809*(P809-1)-N809)</f>
        <v/>
      </c>
      <c r="V809" s="13"/>
      <c r="W809" s="17"/>
      <c r="X809" s="12"/>
      <c r="Y809" s="12"/>
      <c r="Z809" s="12"/>
      <c r="AA809" s="18" t="str">
        <f aca="false">IF(K809&lt;&gt;"ВИРТУАЛЬНЫЙ ВЫБОР","",IF(Z809="✅ ЗАШЛО",W809*(P809-1),IF(Z809="❌ НЕ ЗАШЛО",-W809,IF(Z809="½ ЗАШЛО",W809*(P809-1)/2,IF(Z809="½ НЕ ЗАШЛО",-W809/2,IF(Z809="ВОЗВРАТ",0,""))))))</f>
        <v/>
      </c>
      <c r="AB809" s="18" t="str">
        <f aca="false">IF(AND(K809="ВИРТУАЛЬНЫЙ ВЫБОР",OR(Z809="✅ ЗАШЛО",Z809="❌ НЕ ЗАШЛО",Z809="½ ЗАШЛО",Z809="½ НЕ ЗАШЛО",Z809="ВОЗВРАТ")),W809,"")</f>
        <v/>
      </c>
      <c r="AC809" s="15"/>
      <c r="AD809" s="16" t="str">
        <f aca="false">IF(OR(AC809="",P809=""),"",P809/AC809-1)</f>
        <v/>
      </c>
      <c r="AE809" s="19" t="str">
        <f aca="false">IF(AND(M809=0,OR(Z809="✅ ЗАШЛО",Z809="❌ НЕ ЗАШЛО"),L809&lt;&gt;""),(L809-IF(Z809="✅ ЗАШЛО",1,0))^2,"")</f>
        <v/>
      </c>
      <c r="AF809" s="15"/>
      <c r="AG809" s="15"/>
      <c r="AH809" s="13"/>
      <c r="AI809" s="13"/>
      <c r="AJ809" s="13"/>
      <c r="AK809" s="20" t="str">
        <f aca="false">IF(AH809="","",IF(ABS(AH809+AI809+AJ809-1)&lt;0.000001,"OK","ОШИБКА"))</f>
        <v/>
      </c>
      <c r="AL809" s="13"/>
      <c r="AM809" s="12"/>
      <c r="AN809" s="12"/>
      <c r="AO809" s="12"/>
      <c r="AP809" s="12"/>
      <c r="AQ809" s="18" t="str">
        <f aca="false">IF(A809="","",N(AQ808)+N(AA809))</f>
        <v/>
      </c>
      <c r="AR809" s="18" t="str">
        <f aca="false">IF(AQ809="","",MAX(0,MAX($AQ$8:AQ809))-AQ809)</f>
        <v/>
      </c>
    </row>
    <row r="810" customFormat="false" ht="15" hidden="false" customHeight="fals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3"/>
      <c r="M810" s="13"/>
      <c r="N810" s="13"/>
      <c r="O810" s="14" t="str">
        <f aca="false">IF(OR(L810="",L810=0),"",(1-M810)/L810)</f>
        <v/>
      </c>
      <c r="P810" s="15"/>
      <c r="Q810" s="12"/>
      <c r="R810" s="12"/>
      <c r="S810" s="13"/>
      <c r="T810" s="16" t="str">
        <f aca="false">IF(OR(S810="",L810=""),"",L810/(1-M810)-S810)</f>
        <v/>
      </c>
      <c r="U810" s="16" t="str">
        <f aca="false">IF(OR(L810="",P810=""),"",L810*(P810-1)-N810)</f>
        <v/>
      </c>
      <c r="V810" s="13"/>
      <c r="W810" s="17"/>
      <c r="X810" s="12"/>
      <c r="Y810" s="12"/>
      <c r="Z810" s="12"/>
      <c r="AA810" s="18" t="str">
        <f aca="false">IF(K810&lt;&gt;"ВИРТУАЛЬНЫЙ ВЫБОР","",IF(Z810="✅ ЗАШЛО",W810*(P810-1),IF(Z810="❌ НЕ ЗАШЛО",-W810,IF(Z810="½ ЗАШЛО",W810*(P810-1)/2,IF(Z810="½ НЕ ЗАШЛО",-W810/2,IF(Z810="ВОЗВРАТ",0,""))))))</f>
        <v/>
      </c>
      <c r="AB810" s="18" t="str">
        <f aca="false">IF(AND(K810="ВИРТУАЛЬНЫЙ ВЫБОР",OR(Z810="✅ ЗАШЛО",Z810="❌ НЕ ЗАШЛО",Z810="½ ЗАШЛО",Z810="½ НЕ ЗАШЛО",Z810="ВОЗВРАТ")),W810,"")</f>
        <v/>
      </c>
      <c r="AC810" s="15"/>
      <c r="AD810" s="16" t="str">
        <f aca="false">IF(OR(AC810="",P810=""),"",P810/AC810-1)</f>
        <v/>
      </c>
      <c r="AE810" s="19" t="str">
        <f aca="false">IF(AND(M810=0,OR(Z810="✅ ЗАШЛО",Z810="❌ НЕ ЗАШЛО"),L810&lt;&gt;""),(L810-IF(Z810="✅ ЗАШЛО",1,0))^2,"")</f>
        <v/>
      </c>
      <c r="AF810" s="15"/>
      <c r="AG810" s="15"/>
      <c r="AH810" s="13"/>
      <c r="AI810" s="13"/>
      <c r="AJ810" s="13"/>
      <c r="AK810" s="20" t="str">
        <f aca="false">IF(AH810="","",IF(ABS(AH810+AI810+AJ810-1)&lt;0.000001,"OK","ОШИБКА"))</f>
        <v/>
      </c>
      <c r="AL810" s="13"/>
      <c r="AM810" s="12"/>
      <c r="AN810" s="12"/>
      <c r="AO810" s="12"/>
      <c r="AP810" s="12"/>
      <c r="AQ810" s="18" t="str">
        <f aca="false">IF(A810="","",N(AQ809)+N(AA810))</f>
        <v/>
      </c>
      <c r="AR810" s="18" t="str">
        <f aca="false">IF(AQ810="","",MAX(0,MAX($AQ$8:AQ810))-AQ810)</f>
        <v/>
      </c>
    </row>
    <row r="811" customFormat="false" ht="15" hidden="false" customHeight="fals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3"/>
      <c r="M811" s="13"/>
      <c r="N811" s="13"/>
      <c r="O811" s="14" t="str">
        <f aca="false">IF(OR(L811="",L811=0),"",(1-M811)/L811)</f>
        <v/>
      </c>
      <c r="P811" s="15"/>
      <c r="Q811" s="12"/>
      <c r="R811" s="12"/>
      <c r="S811" s="13"/>
      <c r="T811" s="16" t="str">
        <f aca="false">IF(OR(S811="",L811=""),"",L811/(1-M811)-S811)</f>
        <v/>
      </c>
      <c r="U811" s="16" t="str">
        <f aca="false">IF(OR(L811="",P811=""),"",L811*(P811-1)-N811)</f>
        <v/>
      </c>
      <c r="V811" s="13"/>
      <c r="W811" s="17"/>
      <c r="X811" s="12"/>
      <c r="Y811" s="12"/>
      <c r="Z811" s="12"/>
      <c r="AA811" s="18" t="str">
        <f aca="false">IF(K811&lt;&gt;"ВИРТУАЛЬНЫЙ ВЫБОР","",IF(Z811="✅ ЗАШЛО",W811*(P811-1),IF(Z811="❌ НЕ ЗАШЛО",-W811,IF(Z811="½ ЗАШЛО",W811*(P811-1)/2,IF(Z811="½ НЕ ЗАШЛО",-W811/2,IF(Z811="ВОЗВРАТ",0,""))))))</f>
        <v/>
      </c>
      <c r="AB811" s="18" t="str">
        <f aca="false">IF(AND(K811="ВИРТУАЛЬНЫЙ ВЫБОР",OR(Z811="✅ ЗАШЛО",Z811="❌ НЕ ЗАШЛО",Z811="½ ЗАШЛО",Z811="½ НЕ ЗАШЛО",Z811="ВОЗВРАТ")),W811,"")</f>
        <v/>
      </c>
      <c r="AC811" s="15"/>
      <c r="AD811" s="16" t="str">
        <f aca="false">IF(OR(AC811="",P811=""),"",P811/AC811-1)</f>
        <v/>
      </c>
      <c r="AE811" s="19" t="str">
        <f aca="false">IF(AND(M811=0,OR(Z811="✅ ЗАШЛО",Z811="❌ НЕ ЗАШЛО"),L811&lt;&gt;""),(L811-IF(Z811="✅ ЗАШЛО",1,0))^2,"")</f>
        <v/>
      </c>
      <c r="AF811" s="15"/>
      <c r="AG811" s="15"/>
      <c r="AH811" s="13"/>
      <c r="AI811" s="13"/>
      <c r="AJ811" s="13"/>
      <c r="AK811" s="20" t="str">
        <f aca="false">IF(AH811="","",IF(ABS(AH811+AI811+AJ811-1)&lt;0.000001,"OK","ОШИБКА"))</f>
        <v/>
      </c>
      <c r="AL811" s="13"/>
      <c r="AM811" s="12"/>
      <c r="AN811" s="12"/>
      <c r="AO811" s="12"/>
      <c r="AP811" s="12"/>
      <c r="AQ811" s="18" t="str">
        <f aca="false">IF(A811="","",N(AQ810)+N(AA811))</f>
        <v/>
      </c>
      <c r="AR811" s="18" t="str">
        <f aca="false">IF(AQ811="","",MAX(0,MAX($AQ$8:AQ811))-AQ811)</f>
        <v/>
      </c>
    </row>
    <row r="812" customFormat="false" ht="15" hidden="false" customHeight="fals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3"/>
      <c r="M812" s="13"/>
      <c r="N812" s="13"/>
      <c r="O812" s="14" t="str">
        <f aca="false">IF(OR(L812="",L812=0),"",(1-M812)/L812)</f>
        <v/>
      </c>
      <c r="P812" s="15"/>
      <c r="Q812" s="12"/>
      <c r="R812" s="12"/>
      <c r="S812" s="13"/>
      <c r="T812" s="16" t="str">
        <f aca="false">IF(OR(S812="",L812=""),"",L812/(1-M812)-S812)</f>
        <v/>
      </c>
      <c r="U812" s="16" t="str">
        <f aca="false">IF(OR(L812="",P812=""),"",L812*(P812-1)-N812)</f>
        <v/>
      </c>
      <c r="V812" s="13"/>
      <c r="W812" s="17"/>
      <c r="X812" s="12"/>
      <c r="Y812" s="12"/>
      <c r="Z812" s="12"/>
      <c r="AA812" s="18" t="str">
        <f aca="false">IF(K812&lt;&gt;"ВИРТУАЛЬНЫЙ ВЫБОР","",IF(Z812="✅ ЗАШЛО",W812*(P812-1),IF(Z812="❌ НЕ ЗАШЛО",-W812,IF(Z812="½ ЗАШЛО",W812*(P812-1)/2,IF(Z812="½ НЕ ЗАШЛО",-W812/2,IF(Z812="ВОЗВРАТ",0,""))))))</f>
        <v/>
      </c>
      <c r="AB812" s="18" t="str">
        <f aca="false">IF(AND(K812="ВИРТУАЛЬНЫЙ ВЫБОР",OR(Z812="✅ ЗАШЛО",Z812="❌ НЕ ЗАШЛО",Z812="½ ЗАШЛО",Z812="½ НЕ ЗАШЛО",Z812="ВОЗВРАТ")),W812,"")</f>
        <v/>
      </c>
      <c r="AC812" s="15"/>
      <c r="AD812" s="16" t="str">
        <f aca="false">IF(OR(AC812="",P812=""),"",P812/AC812-1)</f>
        <v/>
      </c>
      <c r="AE812" s="19" t="str">
        <f aca="false">IF(AND(M812=0,OR(Z812="✅ ЗАШЛО",Z812="❌ НЕ ЗАШЛО"),L812&lt;&gt;""),(L812-IF(Z812="✅ ЗАШЛО",1,0))^2,"")</f>
        <v/>
      </c>
      <c r="AF812" s="15"/>
      <c r="AG812" s="15"/>
      <c r="AH812" s="13"/>
      <c r="AI812" s="13"/>
      <c r="AJ812" s="13"/>
      <c r="AK812" s="20" t="str">
        <f aca="false">IF(AH812="","",IF(ABS(AH812+AI812+AJ812-1)&lt;0.000001,"OK","ОШИБКА"))</f>
        <v/>
      </c>
      <c r="AL812" s="13"/>
      <c r="AM812" s="12"/>
      <c r="AN812" s="12"/>
      <c r="AO812" s="12"/>
      <c r="AP812" s="12"/>
      <c r="AQ812" s="18" t="str">
        <f aca="false">IF(A812="","",N(AQ811)+N(AA812))</f>
        <v/>
      </c>
      <c r="AR812" s="18" t="str">
        <f aca="false">IF(AQ812="","",MAX(0,MAX($AQ$8:AQ812))-AQ812)</f>
        <v/>
      </c>
    </row>
    <row r="813" customFormat="false" ht="15" hidden="false" customHeight="fals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3"/>
      <c r="M813" s="13"/>
      <c r="N813" s="13"/>
      <c r="O813" s="14" t="str">
        <f aca="false">IF(OR(L813="",L813=0),"",(1-M813)/L813)</f>
        <v/>
      </c>
      <c r="P813" s="15"/>
      <c r="Q813" s="12"/>
      <c r="R813" s="12"/>
      <c r="S813" s="13"/>
      <c r="T813" s="16" t="str">
        <f aca="false">IF(OR(S813="",L813=""),"",L813/(1-M813)-S813)</f>
        <v/>
      </c>
      <c r="U813" s="16" t="str">
        <f aca="false">IF(OR(L813="",P813=""),"",L813*(P813-1)-N813)</f>
        <v/>
      </c>
      <c r="V813" s="13"/>
      <c r="W813" s="17"/>
      <c r="X813" s="12"/>
      <c r="Y813" s="12"/>
      <c r="Z813" s="12"/>
      <c r="AA813" s="18" t="str">
        <f aca="false">IF(K813&lt;&gt;"ВИРТУАЛЬНЫЙ ВЫБОР","",IF(Z813="✅ ЗАШЛО",W813*(P813-1),IF(Z813="❌ НЕ ЗАШЛО",-W813,IF(Z813="½ ЗАШЛО",W813*(P813-1)/2,IF(Z813="½ НЕ ЗАШЛО",-W813/2,IF(Z813="ВОЗВРАТ",0,""))))))</f>
        <v/>
      </c>
      <c r="AB813" s="18" t="str">
        <f aca="false">IF(AND(K813="ВИРТУАЛЬНЫЙ ВЫБОР",OR(Z813="✅ ЗАШЛО",Z813="❌ НЕ ЗАШЛО",Z813="½ ЗАШЛО",Z813="½ НЕ ЗАШЛО",Z813="ВОЗВРАТ")),W813,"")</f>
        <v/>
      </c>
      <c r="AC813" s="15"/>
      <c r="AD813" s="16" t="str">
        <f aca="false">IF(OR(AC813="",P813=""),"",P813/AC813-1)</f>
        <v/>
      </c>
      <c r="AE813" s="19" t="str">
        <f aca="false">IF(AND(M813=0,OR(Z813="✅ ЗАШЛО",Z813="❌ НЕ ЗАШЛО"),L813&lt;&gt;""),(L813-IF(Z813="✅ ЗАШЛО",1,0))^2,"")</f>
        <v/>
      </c>
      <c r="AF813" s="15"/>
      <c r="AG813" s="15"/>
      <c r="AH813" s="13"/>
      <c r="AI813" s="13"/>
      <c r="AJ813" s="13"/>
      <c r="AK813" s="20" t="str">
        <f aca="false">IF(AH813="","",IF(ABS(AH813+AI813+AJ813-1)&lt;0.000001,"OK","ОШИБКА"))</f>
        <v/>
      </c>
      <c r="AL813" s="13"/>
      <c r="AM813" s="12"/>
      <c r="AN813" s="12"/>
      <c r="AO813" s="12"/>
      <c r="AP813" s="12"/>
      <c r="AQ813" s="18" t="str">
        <f aca="false">IF(A813="","",N(AQ812)+N(AA813))</f>
        <v/>
      </c>
      <c r="AR813" s="18" t="str">
        <f aca="false">IF(AQ813="","",MAX(0,MAX($AQ$8:AQ813))-AQ813)</f>
        <v/>
      </c>
    </row>
    <row r="814" customFormat="false" ht="15" hidden="false" customHeight="fals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3"/>
      <c r="M814" s="13"/>
      <c r="N814" s="13"/>
      <c r="O814" s="14" t="str">
        <f aca="false">IF(OR(L814="",L814=0),"",(1-M814)/L814)</f>
        <v/>
      </c>
      <c r="P814" s="15"/>
      <c r="Q814" s="12"/>
      <c r="R814" s="12"/>
      <c r="S814" s="13"/>
      <c r="T814" s="16" t="str">
        <f aca="false">IF(OR(S814="",L814=""),"",L814/(1-M814)-S814)</f>
        <v/>
      </c>
      <c r="U814" s="16" t="str">
        <f aca="false">IF(OR(L814="",P814=""),"",L814*(P814-1)-N814)</f>
        <v/>
      </c>
      <c r="V814" s="13"/>
      <c r="W814" s="17"/>
      <c r="X814" s="12"/>
      <c r="Y814" s="12"/>
      <c r="Z814" s="12"/>
      <c r="AA814" s="18" t="str">
        <f aca="false">IF(K814&lt;&gt;"ВИРТУАЛЬНЫЙ ВЫБОР","",IF(Z814="✅ ЗАШЛО",W814*(P814-1),IF(Z814="❌ НЕ ЗАШЛО",-W814,IF(Z814="½ ЗАШЛО",W814*(P814-1)/2,IF(Z814="½ НЕ ЗАШЛО",-W814/2,IF(Z814="ВОЗВРАТ",0,""))))))</f>
        <v/>
      </c>
      <c r="AB814" s="18" t="str">
        <f aca="false">IF(AND(K814="ВИРТУАЛЬНЫЙ ВЫБОР",OR(Z814="✅ ЗАШЛО",Z814="❌ НЕ ЗАШЛО",Z814="½ ЗАШЛО",Z814="½ НЕ ЗАШЛО",Z814="ВОЗВРАТ")),W814,"")</f>
        <v/>
      </c>
      <c r="AC814" s="15"/>
      <c r="AD814" s="16" t="str">
        <f aca="false">IF(OR(AC814="",P814=""),"",P814/AC814-1)</f>
        <v/>
      </c>
      <c r="AE814" s="19" t="str">
        <f aca="false">IF(AND(M814=0,OR(Z814="✅ ЗАШЛО",Z814="❌ НЕ ЗАШЛО"),L814&lt;&gt;""),(L814-IF(Z814="✅ ЗАШЛО",1,0))^2,"")</f>
        <v/>
      </c>
      <c r="AF814" s="15"/>
      <c r="AG814" s="15"/>
      <c r="AH814" s="13"/>
      <c r="AI814" s="13"/>
      <c r="AJ814" s="13"/>
      <c r="AK814" s="20" t="str">
        <f aca="false">IF(AH814="","",IF(ABS(AH814+AI814+AJ814-1)&lt;0.000001,"OK","ОШИБКА"))</f>
        <v/>
      </c>
      <c r="AL814" s="13"/>
      <c r="AM814" s="12"/>
      <c r="AN814" s="12"/>
      <c r="AO814" s="12"/>
      <c r="AP814" s="12"/>
      <c r="AQ814" s="18" t="str">
        <f aca="false">IF(A814="","",N(AQ813)+N(AA814))</f>
        <v/>
      </c>
      <c r="AR814" s="18" t="str">
        <f aca="false">IF(AQ814="","",MAX(0,MAX($AQ$8:AQ814))-AQ814)</f>
        <v/>
      </c>
    </row>
    <row r="815" customFormat="false" ht="15" hidden="false" customHeight="fals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3"/>
      <c r="M815" s="13"/>
      <c r="N815" s="13"/>
      <c r="O815" s="14" t="str">
        <f aca="false">IF(OR(L815="",L815=0),"",(1-M815)/L815)</f>
        <v/>
      </c>
      <c r="P815" s="15"/>
      <c r="Q815" s="12"/>
      <c r="R815" s="12"/>
      <c r="S815" s="13"/>
      <c r="T815" s="16" t="str">
        <f aca="false">IF(OR(S815="",L815=""),"",L815/(1-M815)-S815)</f>
        <v/>
      </c>
      <c r="U815" s="16" t="str">
        <f aca="false">IF(OR(L815="",P815=""),"",L815*(P815-1)-N815)</f>
        <v/>
      </c>
      <c r="V815" s="13"/>
      <c r="W815" s="17"/>
      <c r="X815" s="12"/>
      <c r="Y815" s="12"/>
      <c r="Z815" s="12"/>
      <c r="AA815" s="18" t="str">
        <f aca="false">IF(K815&lt;&gt;"ВИРТУАЛЬНЫЙ ВЫБОР","",IF(Z815="✅ ЗАШЛО",W815*(P815-1),IF(Z815="❌ НЕ ЗАШЛО",-W815,IF(Z815="½ ЗАШЛО",W815*(P815-1)/2,IF(Z815="½ НЕ ЗАШЛО",-W815/2,IF(Z815="ВОЗВРАТ",0,""))))))</f>
        <v/>
      </c>
      <c r="AB815" s="18" t="str">
        <f aca="false">IF(AND(K815="ВИРТУАЛЬНЫЙ ВЫБОР",OR(Z815="✅ ЗАШЛО",Z815="❌ НЕ ЗАШЛО",Z815="½ ЗАШЛО",Z815="½ НЕ ЗАШЛО",Z815="ВОЗВРАТ")),W815,"")</f>
        <v/>
      </c>
      <c r="AC815" s="15"/>
      <c r="AD815" s="16" t="str">
        <f aca="false">IF(OR(AC815="",P815=""),"",P815/AC815-1)</f>
        <v/>
      </c>
      <c r="AE815" s="19" t="str">
        <f aca="false">IF(AND(M815=0,OR(Z815="✅ ЗАШЛО",Z815="❌ НЕ ЗАШЛО"),L815&lt;&gt;""),(L815-IF(Z815="✅ ЗАШЛО",1,0))^2,"")</f>
        <v/>
      </c>
      <c r="AF815" s="15"/>
      <c r="AG815" s="15"/>
      <c r="AH815" s="13"/>
      <c r="AI815" s="13"/>
      <c r="AJ815" s="13"/>
      <c r="AK815" s="20" t="str">
        <f aca="false">IF(AH815="","",IF(ABS(AH815+AI815+AJ815-1)&lt;0.000001,"OK","ОШИБКА"))</f>
        <v/>
      </c>
      <c r="AL815" s="13"/>
      <c r="AM815" s="12"/>
      <c r="AN815" s="12"/>
      <c r="AO815" s="12"/>
      <c r="AP815" s="12"/>
      <c r="AQ815" s="18" t="str">
        <f aca="false">IF(A815="","",N(AQ814)+N(AA815))</f>
        <v/>
      </c>
      <c r="AR815" s="18" t="str">
        <f aca="false">IF(AQ815="","",MAX(0,MAX($AQ$8:AQ815))-AQ815)</f>
        <v/>
      </c>
    </row>
    <row r="816" customFormat="false" ht="15" hidden="false" customHeight="fals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3"/>
      <c r="M816" s="13"/>
      <c r="N816" s="13"/>
      <c r="O816" s="14" t="str">
        <f aca="false">IF(OR(L816="",L816=0),"",(1-M816)/L816)</f>
        <v/>
      </c>
      <c r="P816" s="15"/>
      <c r="Q816" s="12"/>
      <c r="R816" s="12"/>
      <c r="S816" s="13"/>
      <c r="T816" s="16" t="str">
        <f aca="false">IF(OR(S816="",L816=""),"",L816/(1-M816)-S816)</f>
        <v/>
      </c>
      <c r="U816" s="16" t="str">
        <f aca="false">IF(OR(L816="",P816=""),"",L816*(P816-1)-N816)</f>
        <v/>
      </c>
      <c r="V816" s="13"/>
      <c r="W816" s="17"/>
      <c r="X816" s="12"/>
      <c r="Y816" s="12"/>
      <c r="Z816" s="12"/>
      <c r="AA816" s="18" t="str">
        <f aca="false">IF(K816&lt;&gt;"ВИРТУАЛЬНЫЙ ВЫБОР","",IF(Z816="✅ ЗАШЛО",W816*(P816-1),IF(Z816="❌ НЕ ЗАШЛО",-W816,IF(Z816="½ ЗАШЛО",W816*(P816-1)/2,IF(Z816="½ НЕ ЗАШЛО",-W816/2,IF(Z816="ВОЗВРАТ",0,""))))))</f>
        <v/>
      </c>
      <c r="AB816" s="18" t="str">
        <f aca="false">IF(AND(K816="ВИРТУАЛЬНЫЙ ВЫБОР",OR(Z816="✅ ЗАШЛО",Z816="❌ НЕ ЗАШЛО",Z816="½ ЗАШЛО",Z816="½ НЕ ЗАШЛО",Z816="ВОЗВРАТ")),W816,"")</f>
        <v/>
      </c>
      <c r="AC816" s="15"/>
      <c r="AD816" s="16" t="str">
        <f aca="false">IF(OR(AC816="",P816=""),"",P816/AC816-1)</f>
        <v/>
      </c>
      <c r="AE816" s="19" t="str">
        <f aca="false">IF(AND(M816=0,OR(Z816="✅ ЗАШЛО",Z816="❌ НЕ ЗАШЛО"),L816&lt;&gt;""),(L816-IF(Z816="✅ ЗАШЛО",1,0))^2,"")</f>
        <v/>
      </c>
      <c r="AF816" s="15"/>
      <c r="AG816" s="15"/>
      <c r="AH816" s="13"/>
      <c r="AI816" s="13"/>
      <c r="AJ816" s="13"/>
      <c r="AK816" s="20" t="str">
        <f aca="false">IF(AH816="","",IF(ABS(AH816+AI816+AJ816-1)&lt;0.000001,"OK","ОШИБКА"))</f>
        <v/>
      </c>
      <c r="AL816" s="13"/>
      <c r="AM816" s="12"/>
      <c r="AN816" s="12"/>
      <c r="AO816" s="12"/>
      <c r="AP816" s="12"/>
      <c r="AQ816" s="18" t="str">
        <f aca="false">IF(A816="","",N(AQ815)+N(AA816))</f>
        <v/>
      </c>
      <c r="AR816" s="18" t="str">
        <f aca="false">IF(AQ816="","",MAX(0,MAX($AQ$8:AQ816))-AQ816)</f>
        <v/>
      </c>
    </row>
    <row r="817" customFormat="false" ht="15" hidden="false" customHeight="fals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3"/>
      <c r="M817" s="13"/>
      <c r="N817" s="13"/>
      <c r="O817" s="14" t="str">
        <f aca="false">IF(OR(L817="",L817=0),"",(1-M817)/L817)</f>
        <v/>
      </c>
      <c r="P817" s="15"/>
      <c r="Q817" s="12"/>
      <c r="R817" s="12"/>
      <c r="S817" s="13"/>
      <c r="T817" s="16" t="str">
        <f aca="false">IF(OR(S817="",L817=""),"",L817/(1-M817)-S817)</f>
        <v/>
      </c>
      <c r="U817" s="16" t="str">
        <f aca="false">IF(OR(L817="",P817=""),"",L817*(P817-1)-N817)</f>
        <v/>
      </c>
      <c r="V817" s="13"/>
      <c r="W817" s="17"/>
      <c r="X817" s="12"/>
      <c r="Y817" s="12"/>
      <c r="Z817" s="12"/>
      <c r="AA817" s="18" t="str">
        <f aca="false">IF(K817&lt;&gt;"ВИРТУАЛЬНЫЙ ВЫБОР","",IF(Z817="✅ ЗАШЛО",W817*(P817-1),IF(Z817="❌ НЕ ЗАШЛО",-W817,IF(Z817="½ ЗАШЛО",W817*(P817-1)/2,IF(Z817="½ НЕ ЗАШЛО",-W817/2,IF(Z817="ВОЗВРАТ",0,""))))))</f>
        <v/>
      </c>
      <c r="AB817" s="18" t="str">
        <f aca="false">IF(AND(K817="ВИРТУАЛЬНЫЙ ВЫБОР",OR(Z817="✅ ЗАШЛО",Z817="❌ НЕ ЗАШЛО",Z817="½ ЗАШЛО",Z817="½ НЕ ЗАШЛО",Z817="ВОЗВРАТ")),W817,"")</f>
        <v/>
      </c>
      <c r="AC817" s="15"/>
      <c r="AD817" s="16" t="str">
        <f aca="false">IF(OR(AC817="",P817=""),"",P817/AC817-1)</f>
        <v/>
      </c>
      <c r="AE817" s="19" t="str">
        <f aca="false">IF(AND(M817=0,OR(Z817="✅ ЗАШЛО",Z817="❌ НЕ ЗАШЛО"),L817&lt;&gt;""),(L817-IF(Z817="✅ ЗАШЛО",1,0))^2,"")</f>
        <v/>
      </c>
      <c r="AF817" s="15"/>
      <c r="AG817" s="15"/>
      <c r="AH817" s="13"/>
      <c r="AI817" s="13"/>
      <c r="AJ817" s="13"/>
      <c r="AK817" s="20" t="str">
        <f aca="false">IF(AH817="","",IF(ABS(AH817+AI817+AJ817-1)&lt;0.000001,"OK","ОШИБКА"))</f>
        <v/>
      </c>
      <c r="AL817" s="13"/>
      <c r="AM817" s="12"/>
      <c r="AN817" s="12"/>
      <c r="AO817" s="12"/>
      <c r="AP817" s="12"/>
      <c r="AQ817" s="18" t="str">
        <f aca="false">IF(A817="","",N(AQ816)+N(AA817))</f>
        <v/>
      </c>
      <c r="AR817" s="18" t="str">
        <f aca="false">IF(AQ817="","",MAX(0,MAX($AQ$8:AQ817))-AQ817)</f>
        <v/>
      </c>
    </row>
    <row r="818" customFormat="false" ht="15" hidden="false" customHeight="fals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3"/>
      <c r="M818" s="13"/>
      <c r="N818" s="13"/>
      <c r="O818" s="14" t="str">
        <f aca="false">IF(OR(L818="",L818=0),"",(1-M818)/L818)</f>
        <v/>
      </c>
      <c r="P818" s="15"/>
      <c r="Q818" s="12"/>
      <c r="R818" s="12"/>
      <c r="S818" s="13"/>
      <c r="T818" s="16" t="str">
        <f aca="false">IF(OR(S818="",L818=""),"",L818/(1-M818)-S818)</f>
        <v/>
      </c>
      <c r="U818" s="16" t="str">
        <f aca="false">IF(OR(L818="",P818=""),"",L818*(P818-1)-N818)</f>
        <v/>
      </c>
      <c r="V818" s="13"/>
      <c r="W818" s="17"/>
      <c r="X818" s="12"/>
      <c r="Y818" s="12"/>
      <c r="Z818" s="12"/>
      <c r="AA818" s="18" t="str">
        <f aca="false">IF(K818&lt;&gt;"ВИРТУАЛЬНЫЙ ВЫБОР","",IF(Z818="✅ ЗАШЛО",W818*(P818-1),IF(Z818="❌ НЕ ЗАШЛО",-W818,IF(Z818="½ ЗАШЛО",W818*(P818-1)/2,IF(Z818="½ НЕ ЗАШЛО",-W818/2,IF(Z818="ВОЗВРАТ",0,""))))))</f>
        <v/>
      </c>
      <c r="AB818" s="18" t="str">
        <f aca="false">IF(AND(K818="ВИРТУАЛЬНЫЙ ВЫБОР",OR(Z818="✅ ЗАШЛО",Z818="❌ НЕ ЗАШЛО",Z818="½ ЗАШЛО",Z818="½ НЕ ЗАШЛО",Z818="ВОЗВРАТ")),W818,"")</f>
        <v/>
      </c>
      <c r="AC818" s="15"/>
      <c r="AD818" s="16" t="str">
        <f aca="false">IF(OR(AC818="",P818=""),"",P818/AC818-1)</f>
        <v/>
      </c>
      <c r="AE818" s="19" t="str">
        <f aca="false">IF(AND(M818=0,OR(Z818="✅ ЗАШЛО",Z818="❌ НЕ ЗАШЛО"),L818&lt;&gt;""),(L818-IF(Z818="✅ ЗАШЛО",1,0))^2,"")</f>
        <v/>
      </c>
      <c r="AF818" s="15"/>
      <c r="AG818" s="15"/>
      <c r="AH818" s="13"/>
      <c r="AI818" s="13"/>
      <c r="AJ818" s="13"/>
      <c r="AK818" s="20" t="str">
        <f aca="false">IF(AH818="","",IF(ABS(AH818+AI818+AJ818-1)&lt;0.000001,"OK","ОШИБКА"))</f>
        <v/>
      </c>
      <c r="AL818" s="13"/>
      <c r="AM818" s="12"/>
      <c r="AN818" s="12"/>
      <c r="AO818" s="12"/>
      <c r="AP818" s="12"/>
      <c r="AQ818" s="18" t="str">
        <f aca="false">IF(A818="","",N(AQ817)+N(AA818))</f>
        <v/>
      </c>
      <c r="AR818" s="18" t="str">
        <f aca="false">IF(AQ818="","",MAX(0,MAX($AQ$8:AQ818))-AQ818)</f>
        <v/>
      </c>
    </row>
    <row r="819" customFormat="false" ht="15" hidden="false" customHeight="fals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3"/>
      <c r="M819" s="13"/>
      <c r="N819" s="13"/>
      <c r="O819" s="14" t="str">
        <f aca="false">IF(OR(L819="",L819=0),"",(1-M819)/L819)</f>
        <v/>
      </c>
      <c r="P819" s="15"/>
      <c r="Q819" s="12"/>
      <c r="R819" s="12"/>
      <c r="S819" s="13"/>
      <c r="T819" s="16" t="str">
        <f aca="false">IF(OR(S819="",L819=""),"",L819/(1-M819)-S819)</f>
        <v/>
      </c>
      <c r="U819" s="16" t="str">
        <f aca="false">IF(OR(L819="",P819=""),"",L819*(P819-1)-N819)</f>
        <v/>
      </c>
      <c r="V819" s="13"/>
      <c r="W819" s="17"/>
      <c r="X819" s="12"/>
      <c r="Y819" s="12"/>
      <c r="Z819" s="12"/>
      <c r="AA819" s="18" t="str">
        <f aca="false">IF(K819&lt;&gt;"ВИРТУАЛЬНЫЙ ВЫБОР","",IF(Z819="✅ ЗАШЛО",W819*(P819-1),IF(Z819="❌ НЕ ЗАШЛО",-W819,IF(Z819="½ ЗАШЛО",W819*(P819-1)/2,IF(Z819="½ НЕ ЗАШЛО",-W819/2,IF(Z819="ВОЗВРАТ",0,""))))))</f>
        <v/>
      </c>
      <c r="AB819" s="18" t="str">
        <f aca="false">IF(AND(K819="ВИРТУАЛЬНЫЙ ВЫБОР",OR(Z819="✅ ЗАШЛО",Z819="❌ НЕ ЗАШЛО",Z819="½ ЗАШЛО",Z819="½ НЕ ЗАШЛО",Z819="ВОЗВРАТ")),W819,"")</f>
        <v/>
      </c>
      <c r="AC819" s="15"/>
      <c r="AD819" s="16" t="str">
        <f aca="false">IF(OR(AC819="",P819=""),"",P819/AC819-1)</f>
        <v/>
      </c>
      <c r="AE819" s="19" t="str">
        <f aca="false">IF(AND(M819=0,OR(Z819="✅ ЗАШЛО",Z819="❌ НЕ ЗАШЛО"),L819&lt;&gt;""),(L819-IF(Z819="✅ ЗАШЛО",1,0))^2,"")</f>
        <v/>
      </c>
      <c r="AF819" s="15"/>
      <c r="AG819" s="15"/>
      <c r="AH819" s="13"/>
      <c r="AI819" s="13"/>
      <c r="AJ819" s="13"/>
      <c r="AK819" s="20" t="str">
        <f aca="false">IF(AH819="","",IF(ABS(AH819+AI819+AJ819-1)&lt;0.000001,"OK","ОШИБКА"))</f>
        <v/>
      </c>
      <c r="AL819" s="13"/>
      <c r="AM819" s="12"/>
      <c r="AN819" s="12"/>
      <c r="AO819" s="12"/>
      <c r="AP819" s="12"/>
      <c r="AQ819" s="18" t="str">
        <f aca="false">IF(A819="","",N(AQ818)+N(AA819))</f>
        <v/>
      </c>
      <c r="AR819" s="18" t="str">
        <f aca="false">IF(AQ819="","",MAX(0,MAX($AQ$8:AQ819))-AQ819)</f>
        <v/>
      </c>
    </row>
    <row r="820" customFormat="false" ht="15" hidden="false" customHeight="fals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3"/>
      <c r="M820" s="13"/>
      <c r="N820" s="13"/>
      <c r="O820" s="14" t="str">
        <f aca="false">IF(OR(L820="",L820=0),"",(1-M820)/L820)</f>
        <v/>
      </c>
      <c r="P820" s="15"/>
      <c r="Q820" s="12"/>
      <c r="R820" s="12"/>
      <c r="S820" s="13"/>
      <c r="T820" s="16" t="str">
        <f aca="false">IF(OR(S820="",L820=""),"",L820/(1-M820)-S820)</f>
        <v/>
      </c>
      <c r="U820" s="16" t="str">
        <f aca="false">IF(OR(L820="",P820=""),"",L820*(P820-1)-N820)</f>
        <v/>
      </c>
      <c r="V820" s="13"/>
      <c r="W820" s="17"/>
      <c r="X820" s="12"/>
      <c r="Y820" s="12"/>
      <c r="Z820" s="12"/>
      <c r="AA820" s="18" t="str">
        <f aca="false">IF(K820&lt;&gt;"ВИРТУАЛЬНЫЙ ВЫБОР","",IF(Z820="✅ ЗАШЛО",W820*(P820-1),IF(Z820="❌ НЕ ЗАШЛО",-W820,IF(Z820="½ ЗАШЛО",W820*(P820-1)/2,IF(Z820="½ НЕ ЗАШЛО",-W820/2,IF(Z820="ВОЗВРАТ",0,""))))))</f>
        <v/>
      </c>
      <c r="AB820" s="18" t="str">
        <f aca="false">IF(AND(K820="ВИРТУАЛЬНЫЙ ВЫБОР",OR(Z820="✅ ЗАШЛО",Z820="❌ НЕ ЗАШЛО",Z820="½ ЗАШЛО",Z820="½ НЕ ЗАШЛО",Z820="ВОЗВРАТ")),W820,"")</f>
        <v/>
      </c>
      <c r="AC820" s="15"/>
      <c r="AD820" s="16" t="str">
        <f aca="false">IF(OR(AC820="",P820=""),"",P820/AC820-1)</f>
        <v/>
      </c>
      <c r="AE820" s="19" t="str">
        <f aca="false">IF(AND(M820=0,OR(Z820="✅ ЗАШЛО",Z820="❌ НЕ ЗАШЛО"),L820&lt;&gt;""),(L820-IF(Z820="✅ ЗАШЛО",1,0))^2,"")</f>
        <v/>
      </c>
      <c r="AF820" s="15"/>
      <c r="AG820" s="15"/>
      <c r="AH820" s="13"/>
      <c r="AI820" s="13"/>
      <c r="AJ820" s="13"/>
      <c r="AK820" s="20" t="str">
        <f aca="false">IF(AH820="","",IF(ABS(AH820+AI820+AJ820-1)&lt;0.000001,"OK","ОШИБКА"))</f>
        <v/>
      </c>
      <c r="AL820" s="13"/>
      <c r="AM820" s="12"/>
      <c r="AN820" s="12"/>
      <c r="AO820" s="12"/>
      <c r="AP820" s="12"/>
      <c r="AQ820" s="18" t="str">
        <f aca="false">IF(A820="","",N(AQ819)+N(AA820))</f>
        <v/>
      </c>
      <c r="AR820" s="18" t="str">
        <f aca="false">IF(AQ820="","",MAX(0,MAX($AQ$8:AQ820))-AQ820)</f>
        <v/>
      </c>
    </row>
    <row r="821" customFormat="false" ht="15" hidden="false" customHeight="fals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3"/>
      <c r="M821" s="13"/>
      <c r="N821" s="13"/>
      <c r="O821" s="14" t="str">
        <f aca="false">IF(OR(L821="",L821=0),"",(1-M821)/L821)</f>
        <v/>
      </c>
      <c r="P821" s="15"/>
      <c r="Q821" s="12"/>
      <c r="R821" s="12"/>
      <c r="S821" s="13"/>
      <c r="T821" s="16" t="str">
        <f aca="false">IF(OR(S821="",L821=""),"",L821/(1-M821)-S821)</f>
        <v/>
      </c>
      <c r="U821" s="16" t="str">
        <f aca="false">IF(OR(L821="",P821=""),"",L821*(P821-1)-N821)</f>
        <v/>
      </c>
      <c r="V821" s="13"/>
      <c r="W821" s="17"/>
      <c r="X821" s="12"/>
      <c r="Y821" s="12"/>
      <c r="Z821" s="12"/>
      <c r="AA821" s="18" t="str">
        <f aca="false">IF(K821&lt;&gt;"ВИРТУАЛЬНЫЙ ВЫБОР","",IF(Z821="✅ ЗАШЛО",W821*(P821-1),IF(Z821="❌ НЕ ЗАШЛО",-W821,IF(Z821="½ ЗАШЛО",W821*(P821-1)/2,IF(Z821="½ НЕ ЗАШЛО",-W821/2,IF(Z821="ВОЗВРАТ",0,""))))))</f>
        <v/>
      </c>
      <c r="AB821" s="18" t="str">
        <f aca="false">IF(AND(K821="ВИРТУАЛЬНЫЙ ВЫБОР",OR(Z821="✅ ЗАШЛО",Z821="❌ НЕ ЗАШЛО",Z821="½ ЗАШЛО",Z821="½ НЕ ЗАШЛО",Z821="ВОЗВРАТ")),W821,"")</f>
        <v/>
      </c>
      <c r="AC821" s="15"/>
      <c r="AD821" s="16" t="str">
        <f aca="false">IF(OR(AC821="",P821=""),"",P821/AC821-1)</f>
        <v/>
      </c>
      <c r="AE821" s="19" t="str">
        <f aca="false">IF(AND(M821=0,OR(Z821="✅ ЗАШЛО",Z821="❌ НЕ ЗАШЛО"),L821&lt;&gt;""),(L821-IF(Z821="✅ ЗАШЛО",1,0))^2,"")</f>
        <v/>
      </c>
      <c r="AF821" s="15"/>
      <c r="AG821" s="15"/>
      <c r="AH821" s="13"/>
      <c r="AI821" s="13"/>
      <c r="AJ821" s="13"/>
      <c r="AK821" s="20" t="str">
        <f aca="false">IF(AH821="","",IF(ABS(AH821+AI821+AJ821-1)&lt;0.000001,"OK","ОШИБКА"))</f>
        <v/>
      </c>
      <c r="AL821" s="13"/>
      <c r="AM821" s="12"/>
      <c r="AN821" s="12"/>
      <c r="AO821" s="12"/>
      <c r="AP821" s="12"/>
      <c r="AQ821" s="18" t="str">
        <f aca="false">IF(A821="","",N(AQ820)+N(AA821))</f>
        <v/>
      </c>
      <c r="AR821" s="18" t="str">
        <f aca="false">IF(AQ821="","",MAX(0,MAX($AQ$8:AQ821))-AQ821)</f>
        <v/>
      </c>
    </row>
    <row r="822" customFormat="false" ht="15" hidden="false" customHeight="fals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3"/>
      <c r="M822" s="13"/>
      <c r="N822" s="13"/>
      <c r="O822" s="14" t="str">
        <f aca="false">IF(OR(L822="",L822=0),"",(1-M822)/L822)</f>
        <v/>
      </c>
      <c r="P822" s="15"/>
      <c r="Q822" s="12"/>
      <c r="R822" s="12"/>
      <c r="S822" s="13"/>
      <c r="T822" s="16" t="str">
        <f aca="false">IF(OR(S822="",L822=""),"",L822/(1-M822)-S822)</f>
        <v/>
      </c>
      <c r="U822" s="16" t="str">
        <f aca="false">IF(OR(L822="",P822=""),"",L822*(P822-1)-N822)</f>
        <v/>
      </c>
      <c r="V822" s="13"/>
      <c r="W822" s="17"/>
      <c r="X822" s="12"/>
      <c r="Y822" s="12"/>
      <c r="Z822" s="12"/>
      <c r="AA822" s="18" t="str">
        <f aca="false">IF(K822&lt;&gt;"ВИРТУАЛЬНЫЙ ВЫБОР","",IF(Z822="✅ ЗАШЛО",W822*(P822-1),IF(Z822="❌ НЕ ЗАШЛО",-W822,IF(Z822="½ ЗАШЛО",W822*(P822-1)/2,IF(Z822="½ НЕ ЗАШЛО",-W822/2,IF(Z822="ВОЗВРАТ",0,""))))))</f>
        <v/>
      </c>
      <c r="AB822" s="18" t="str">
        <f aca="false">IF(AND(K822="ВИРТУАЛЬНЫЙ ВЫБОР",OR(Z822="✅ ЗАШЛО",Z822="❌ НЕ ЗАШЛО",Z822="½ ЗАШЛО",Z822="½ НЕ ЗАШЛО",Z822="ВОЗВРАТ")),W822,"")</f>
        <v/>
      </c>
      <c r="AC822" s="15"/>
      <c r="AD822" s="16" t="str">
        <f aca="false">IF(OR(AC822="",P822=""),"",P822/AC822-1)</f>
        <v/>
      </c>
      <c r="AE822" s="19" t="str">
        <f aca="false">IF(AND(M822=0,OR(Z822="✅ ЗАШЛО",Z822="❌ НЕ ЗАШЛО"),L822&lt;&gt;""),(L822-IF(Z822="✅ ЗАШЛО",1,0))^2,"")</f>
        <v/>
      </c>
      <c r="AF822" s="15"/>
      <c r="AG822" s="15"/>
      <c r="AH822" s="13"/>
      <c r="AI822" s="13"/>
      <c r="AJ822" s="13"/>
      <c r="AK822" s="20" t="str">
        <f aca="false">IF(AH822="","",IF(ABS(AH822+AI822+AJ822-1)&lt;0.000001,"OK","ОШИБКА"))</f>
        <v/>
      </c>
      <c r="AL822" s="13"/>
      <c r="AM822" s="12"/>
      <c r="AN822" s="12"/>
      <c r="AO822" s="12"/>
      <c r="AP822" s="12"/>
      <c r="AQ822" s="18" t="str">
        <f aca="false">IF(A822="","",N(AQ821)+N(AA822))</f>
        <v/>
      </c>
      <c r="AR822" s="18" t="str">
        <f aca="false">IF(AQ822="","",MAX(0,MAX($AQ$8:AQ822))-AQ822)</f>
        <v/>
      </c>
    </row>
    <row r="823" customFormat="false" ht="15" hidden="false" customHeight="fals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3"/>
      <c r="M823" s="13"/>
      <c r="N823" s="13"/>
      <c r="O823" s="14" t="str">
        <f aca="false">IF(OR(L823="",L823=0),"",(1-M823)/L823)</f>
        <v/>
      </c>
      <c r="P823" s="15"/>
      <c r="Q823" s="12"/>
      <c r="R823" s="12"/>
      <c r="S823" s="13"/>
      <c r="T823" s="16" t="str">
        <f aca="false">IF(OR(S823="",L823=""),"",L823/(1-M823)-S823)</f>
        <v/>
      </c>
      <c r="U823" s="16" t="str">
        <f aca="false">IF(OR(L823="",P823=""),"",L823*(P823-1)-N823)</f>
        <v/>
      </c>
      <c r="V823" s="13"/>
      <c r="W823" s="17"/>
      <c r="X823" s="12"/>
      <c r="Y823" s="12"/>
      <c r="Z823" s="12"/>
      <c r="AA823" s="18" t="str">
        <f aca="false">IF(K823&lt;&gt;"ВИРТУАЛЬНЫЙ ВЫБОР","",IF(Z823="✅ ЗАШЛО",W823*(P823-1),IF(Z823="❌ НЕ ЗАШЛО",-W823,IF(Z823="½ ЗАШЛО",W823*(P823-1)/2,IF(Z823="½ НЕ ЗАШЛО",-W823/2,IF(Z823="ВОЗВРАТ",0,""))))))</f>
        <v/>
      </c>
      <c r="AB823" s="18" t="str">
        <f aca="false">IF(AND(K823="ВИРТУАЛЬНЫЙ ВЫБОР",OR(Z823="✅ ЗАШЛО",Z823="❌ НЕ ЗАШЛО",Z823="½ ЗАШЛО",Z823="½ НЕ ЗАШЛО",Z823="ВОЗВРАТ")),W823,"")</f>
        <v/>
      </c>
      <c r="AC823" s="15"/>
      <c r="AD823" s="16" t="str">
        <f aca="false">IF(OR(AC823="",P823=""),"",P823/AC823-1)</f>
        <v/>
      </c>
      <c r="AE823" s="19" t="str">
        <f aca="false">IF(AND(M823=0,OR(Z823="✅ ЗАШЛО",Z823="❌ НЕ ЗАШЛО"),L823&lt;&gt;""),(L823-IF(Z823="✅ ЗАШЛО",1,0))^2,"")</f>
        <v/>
      </c>
      <c r="AF823" s="15"/>
      <c r="AG823" s="15"/>
      <c r="AH823" s="13"/>
      <c r="AI823" s="13"/>
      <c r="AJ823" s="13"/>
      <c r="AK823" s="20" t="str">
        <f aca="false">IF(AH823="","",IF(ABS(AH823+AI823+AJ823-1)&lt;0.000001,"OK","ОШИБКА"))</f>
        <v/>
      </c>
      <c r="AL823" s="13"/>
      <c r="AM823" s="12"/>
      <c r="AN823" s="12"/>
      <c r="AO823" s="12"/>
      <c r="AP823" s="12"/>
      <c r="AQ823" s="18" t="str">
        <f aca="false">IF(A823="","",N(AQ822)+N(AA823))</f>
        <v/>
      </c>
      <c r="AR823" s="18" t="str">
        <f aca="false">IF(AQ823="","",MAX(0,MAX($AQ$8:AQ823))-AQ823)</f>
        <v/>
      </c>
    </row>
    <row r="824" customFormat="false" ht="15" hidden="false" customHeight="fals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3"/>
      <c r="M824" s="13"/>
      <c r="N824" s="13"/>
      <c r="O824" s="14" t="str">
        <f aca="false">IF(OR(L824="",L824=0),"",(1-M824)/L824)</f>
        <v/>
      </c>
      <c r="P824" s="15"/>
      <c r="Q824" s="12"/>
      <c r="R824" s="12"/>
      <c r="S824" s="13"/>
      <c r="T824" s="16" t="str">
        <f aca="false">IF(OR(S824="",L824=""),"",L824/(1-M824)-S824)</f>
        <v/>
      </c>
      <c r="U824" s="16" t="str">
        <f aca="false">IF(OR(L824="",P824=""),"",L824*(P824-1)-N824)</f>
        <v/>
      </c>
      <c r="V824" s="13"/>
      <c r="W824" s="17"/>
      <c r="X824" s="12"/>
      <c r="Y824" s="12"/>
      <c r="Z824" s="12"/>
      <c r="AA824" s="18" t="str">
        <f aca="false">IF(K824&lt;&gt;"ВИРТУАЛЬНЫЙ ВЫБОР","",IF(Z824="✅ ЗАШЛО",W824*(P824-1),IF(Z824="❌ НЕ ЗАШЛО",-W824,IF(Z824="½ ЗАШЛО",W824*(P824-1)/2,IF(Z824="½ НЕ ЗАШЛО",-W824/2,IF(Z824="ВОЗВРАТ",0,""))))))</f>
        <v/>
      </c>
      <c r="AB824" s="18" t="str">
        <f aca="false">IF(AND(K824="ВИРТУАЛЬНЫЙ ВЫБОР",OR(Z824="✅ ЗАШЛО",Z824="❌ НЕ ЗАШЛО",Z824="½ ЗАШЛО",Z824="½ НЕ ЗАШЛО",Z824="ВОЗВРАТ")),W824,"")</f>
        <v/>
      </c>
      <c r="AC824" s="15"/>
      <c r="AD824" s="16" t="str">
        <f aca="false">IF(OR(AC824="",P824=""),"",P824/AC824-1)</f>
        <v/>
      </c>
      <c r="AE824" s="19" t="str">
        <f aca="false">IF(AND(M824=0,OR(Z824="✅ ЗАШЛО",Z824="❌ НЕ ЗАШЛО"),L824&lt;&gt;""),(L824-IF(Z824="✅ ЗАШЛО",1,0))^2,"")</f>
        <v/>
      </c>
      <c r="AF824" s="15"/>
      <c r="AG824" s="15"/>
      <c r="AH824" s="13"/>
      <c r="AI824" s="13"/>
      <c r="AJ824" s="13"/>
      <c r="AK824" s="20" t="str">
        <f aca="false">IF(AH824="","",IF(ABS(AH824+AI824+AJ824-1)&lt;0.000001,"OK","ОШИБКА"))</f>
        <v/>
      </c>
      <c r="AL824" s="13"/>
      <c r="AM824" s="12"/>
      <c r="AN824" s="12"/>
      <c r="AO824" s="12"/>
      <c r="AP824" s="12"/>
      <c r="AQ824" s="18" t="str">
        <f aca="false">IF(A824="","",N(AQ823)+N(AA824))</f>
        <v/>
      </c>
      <c r="AR824" s="18" t="str">
        <f aca="false">IF(AQ824="","",MAX(0,MAX($AQ$8:AQ824))-AQ824)</f>
        <v/>
      </c>
    </row>
    <row r="825" customFormat="false" ht="15" hidden="false" customHeight="fals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3"/>
      <c r="M825" s="13"/>
      <c r="N825" s="13"/>
      <c r="O825" s="14" t="str">
        <f aca="false">IF(OR(L825="",L825=0),"",(1-M825)/L825)</f>
        <v/>
      </c>
      <c r="P825" s="15"/>
      <c r="Q825" s="12"/>
      <c r="R825" s="12"/>
      <c r="S825" s="13"/>
      <c r="T825" s="16" t="str">
        <f aca="false">IF(OR(S825="",L825=""),"",L825/(1-M825)-S825)</f>
        <v/>
      </c>
      <c r="U825" s="16" t="str">
        <f aca="false">IF(OR(L825="",P825=""),"",L825*(P825-1)-N825)</f>
        <v/>
      </c>
      <c r="V825" s="13"/>
      <c r="W825" s="17"/>
      <c r="X825" s="12"/>
      <c r="Y825" s="12"/>
      <c r="Z825" s="12"/>
      <c r="AA825" s="18" t="str">
        <f aca="false">IF(K825&lt;&gt;"ВИРТУАЛЬНЫЙ ВЫБОР","",IF(Z825="✅ ЗАШЛО",W825*(P825-1),IF(Z825="❌ НЕ ЗАШЛО",-W825,IF(Z825="½ ЗАШЛО",W825*(P825-1)/2,IF(Z825="½ НЕ ЗАШЛО",-W825/2,IF(Z825="ВОЗВРАТ",0,""))))))</f>
        <v/>
      </c>
      <c r="AB825" s="18" t="str">
        <f aca="false">IF(AND(K825="ВИРТУАЛЬНЫЙ ВЫБОР",OR(Z825="✅ ЗАШЛО",Z825="❌ НЕ ЗАШЛО",Z825="½ ЗАШЛО",Z825="½ НЕ ЗАШЛО",Z825="ВОЗВРАТ")),W825,"")</f>
        <v/>
      </c>
      <c r="AC825" s="15"/>
      <c r="AD825" s="16" t="str">
        <f aca="false">IF(OR(AC825="",P825=""),"",P825/AC825-1)</f>
        <v/>
      </c>
      <c r="AE825" s="19" t="str">
        <f aca="false">IF(AND(M825=0,OR(Z825="✅ ЗАШЛО",Z825="❌ НЕ ЗАШЛО"),L825&lt;&gt;""),(L825-IF(Z825="✅ ЗАШЛО",1,0))^2,"")</f>
        <v/>
      </c>
      <c r="AF825" s="15"/>
      <c r="AG825" s="15"/>
      <c r="AH825" s="13"/>
      <c r="AI825" s="13"/>
      <c r="AJ825" s="13"/>
      <c r="AK825" s="20" t="str">
        <f aca="false">IF(AH825="","",IF(ABS(AH825+AI825+AJ825-1)&lt;0.000001,"OK","ОШИБКА"))</f>
        <v/>
      </c>
      <c r="AL825" s="13"/>
      <c r="AM825" s="12"/>
      <c r="AN825" s="12"/>
      <c r="AO825" s="12"/>
      <c r="AP825" s="12"/>
      <c r="AQ825" s="18" t="str">
        <f aca="false">IF(A825="","",N(AQ824)+N(AA825))</f>
        <v/>
      </c>
      <c r="AR825" s="18" t="str">
        <f aca="false">IF(AQ825="","",MAX(0,MAX($AQ$8:AQ825))-AQ825)</f>
        <v/>
      </c>
    </row>
    <row r="826" customFormat="false" ht="15" hidden="false" customHeight="fals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3"/>
      <c r="M826" s="13"/>
      <c r="N826" s="13"/>
      <c r="O826" s="14" t="str">
        <f aca="false">IF(OR(L826="",L826=0),"",(1-M826)/L826)</f>
        <v/>
      </c>
      <c r="P826" s="15"/>
      <c r="Q826" s="12"/>
      <c r="R826" s="12"/>
      <c r="S826" s="13"/>
      <c r="T826" s="16" t="str">
        <f aca="false">IF(OR(S826="",L826=""),"",L826/(1-M826)-S826)</f>
        <v/>
      </c>
      <c r="U826" s="16" t="str">
        <f aca="false">IF(OR(L826="",P826=""),"",L826*(P826-1)-N826)</f>
        <v/>
      </c>
      <c r="V826" s="13"/>
      <c r="W826" s="17"/>
      <c r="X826" s="12"/>
      <c r="Y826" s="12"/>
      <c r="Z826" s="12"/>
      <c r="AA826" s="18" t="str">
        <f aca="false">IF(K826&lt;&gt;"ВИРТУАЛЬНЫЙ ВЫБОР","",IF(Z826="✅ ЗАШЛО",W826*(P826-1),IF(Z826="❌ НЕ ЗАШЛО",-W826,IF(Z826="½ ЗАШЛО",W826*(P826-1)/2,IF(Z826="½ НЕ ЗАШЛО",-W826/2,IF(Z826="ВОЗВРАТ",0,""))))))</f>
        <v/>
      </c>
      <c r="AB826" s="18" t="str">
        <f aca="false">IF(AND(K826="ВИРТУАЛЬНЫЙ ВЫБОР",OR(Z826="✅ ЗАШЛО",Z826="❌ НЕ ЗАШЛО",Z826="½ ЗАШЛО",Z826="½ НЕ ЗАШЛО",Z826="ВОЗВРАТ")),W826,"")</f>
        <v/>
      </c>
      <c r="AC826" s="15"/>
      <c r="AD826" s="16" t="str">
        <f aca="false">IF(OR(AC826="",P826=""),"",P826/AC826-1)</f>
        <v/>
      </c>
      <c r="AE826" s="19" t="str">
        <f aca="false">IF(AND(M826=0,OR(Z826="✅ ЗАШЛО",Z826="❌ НЕ ЗАШЛО"),L826&lt;&gt;""),(L826-IF(Z826="✅ ЗАШЛО",1,0))^2,"")</f>
        <v/>
      </c>
      <c r="AF826" s="15"/>
      <c r="AG826" s="15"/>
      <c r="AH826" s="13"/>
      <c r="AI826" s="13"/>
      <c r="AJ826" s="13"/>
      <c r="AK826" s="20" t="str">
        <f aca="false">IF(AH826="","",IF(ABS(AH826+AI826+AJ826-1)&lt;0.000001,"OK","ОШИБКА"))</f>
        <v/>
      </c>
      <c r="AL826" s="13"/>
      <c r="AM826" s="12"/>
      <c r="AN826" s="12"/>
      <c r="AO826" s="12"/>
      <c r="AP826" s="12"/>
      <c r="AQ826" s="18" t="str">
        <f aca="false">IF(A826="","",N(AQ825)+N(AA826))</f>
        <v/>
      </c>
      <c r="AR826" s="18" t="str">
        <f aca="false">IF(AQ826="","",MAX(0,MAX($AQ$8:AQ826))-AQ826)</f>
        <v/>
      </c>
    </row>
    <row r="827" customFormat="false" ht="15" hidden="false" customHeight="fals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3"/>
      <c r="M827" s="13"/>
      <c r="N827" s="13"/>
      <c r="O827" s="14" t="str">
        <f aca="false">IF(OR(L827="",L827=0),"",(1-M827)/L827)</f>
        <v/>
      </c>
      <c r="P827" s="15"/>
      <c r="Q827" s="12"/>
      <c r="R827" s="12"/>
      <c r="S827" s="13"/>
      <c r="T827" s="16" t="str">
        <f aca="false">IF(OR(S827="",L827=""),"",L827/(1-M827)-S827)</f>
        <v/>
      </c>
      <c r="U827" s="16" t="str">
        <f aca="false">IF(OR(L827="",P827=""),"",L827*(P827-1)-N827)</f>
        <v/>
      </c>
      <c r="V827" s="13"/>
      <c r="W827" s="17"/>
      <c r="X827" s="12"/>
      <c r="Y827" s="12"/>
      <c r="Z827" s="12"/>
      <c r="AA827" s="18" t="str">
        <f aca="false">IF(K827&lt;&gt;"ВИРТУАЛЬНЫЙ ВЫБОР","",IF(Z827="✅ ЗАШЛО",W827*(P827-1),IF(Z827="❌ НЕ ЗАШЛО",-W827,IF(Z827="½ ЗАШЛО",W827*(P827-1)/2,IF(Z827="½ НЕ ЗАШЛО",-W827/2,IF(Z827="ВОЗВРАТ",0,""))))))</f>
        <v/>
      </c>
      <c r="AB827" s="18" t="str">
        <f aca="false">IF(AND(K827="ВИРТУАЛЬНЫЙ ВЫБОР",OR(Z827="✅ ЗАШЛО",Z827="❌ НЕ ЗАШЛО",Z827="½ ЗАШЛО",Z827="½ НЕ ЗАШЛО",Z827="ВОЗВРАТ")),W827,"")</f>
        <v/>
      </c>
      <c r="AC827" s="15"/>
      <c r="AD827" s="16" t="str">
        <f aca="false">IF(OR(AC827="",P827=""),"",P827/AC827-1)</f>
        <v/>
      </c>
      <c r="AE827" s="19" t="str">
        <f aca="false">IF(AND(M827=0,OR(Z827="✅ ЗАШЛО",Z827="❌ НЕ ЗАШЛО"),L827&lt;&gt;""),(L827-IF(Z827="✅ ЗАШЛО",1,0))^2,"")</f>
        <v/>
      </c>
      <c r="AF827" s="15"/>
      <c r="AG827" s="15"/>
      <c r="AH827" s="13"/>
      <c r="AI827" s="13"/>
      <c r="AJ827" s="13"/>
      <c r="AK827" s="20" t="str">
        <f aca="false">IF(AH827="","",IF(ABS(AH827+AI827+AJ827-1)&lt;0.000001,"OK","ОШИБКА"))</f>
        <v/>
      </c>
      <c r="AL827" s="13"/>
      <c r="AM827" s="12"/>
      <c r="AN827" s="12"/>
      <c r="AO827" s="12"/>
      <c r="AP827" s="12"/>
      <c r="AQ827" s="18" t="str">
        <f aca="false">IF(A827="","",N(AQ826)+N(AA827))</f>
        <v/>
      </c>
      <c r="AR827" s="18" t="str">
        <f aca="false">IF(AQ827="","",MAX(0,MAX($AQ$8:AQ827))-AQ827)</f>
        <v/>
      </c>
    </row>
    <row r="828" customFormat="false" ht="15" hidden="false" customHeight="fals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3"/>
      <c r="M828" s="13"/>
      <c r="N828" s="13"/>
      <c r="O828" s="14" t="str">
        <f aca="false">IF(OR(L828="",L828=0),"",(1-M828)/L828)</f>
        <v/>
      </c>
      <c r="P828" s="15"/>
      <c r="Q828" s="12"/>
      <c r="R828" s="12"/>
      <c r="S828" s="13"/>
      <c r="T828" s="16" t="str">
        <f aca="false">IF(OR(S828="",L828=""),"",L828/(1-M828)-S828)</f>
        <v/>
      </c>
      <c r="U828" s="16" t="str">
        <f aca="false">IF(OR(L828="",P828=""),"",L828*(P828-1)-N828)</f>
        <v/>
      </c>
      <c r="V828" s="13"/>
      <c r="W828" s="17"/>
      <c r="X828" s="12"/>
      <c r="Y828" s="12"/>
      <c r="Z828" s="12"/>
      <c r="AA828" s="18" t="str">
        <f aca="false">IF(K828&lt;&gt;"ВИРТУАЛЬНЫЙ ВЫБОР","",IF(Z828="✅ ЗАШЛО",W828*(P828-1),IF(Z828="❌ НЕ ЗАШЛО",-W828,IF(Z828="½ ЗАШЛО",W828*(P828-1)/2,IF(Z828="½ НЕ ЗАШЛО",-W828/2,IF(Z828="ВОЗВРАТ",0,""))))))</f>
        <v/>
      </c>
      <c r="AB828" s="18" t="str">
        <f aca="false">IF(AND(K828="ВИРТУАЛЬНЫЙ ВЫБОР",OR(Z828="✅ ЗАШЛО",Z828="❌ НЕ ЗАШЛО",Z828="½ ЗАШЛО",Z828="½ НЕ ЗАШЛО",Z828="ВОЗВРАТ")),W828,"")</f>
        <v/>
      </c>
      <c r="AC828" s="15"/>
      <c r="AD828" s="16" t="str">
        <f aca="false">IF(OR(AC828="",P828=""),"",P828/AC828-1)</f>
        <v/>
      </c>
      <c r="AE828" s="19" t="str">
        <f aca="false">IF(AND(M828=0,OR(Z828="✅ ЗАШЛО",Z828="❌ НЕ ЗАШЛО"),L828&lt;&gt;""),(L828-IF(Z828="✅ ЗАШЛО",1,0))^2,"")</f>
        <v/>
      </c>
      <c r="AF828" s="15"/>
      <c r="AG828" s="15"/>
      <c r="AH828" s="13"/>
      <c r="AI828" s="13"/>
      <c r="AJ828" s="13"/>
      <c r="AK828" s="20" t="str">
        <f aca="false">IF(AH828="","",IF(ABS(AH828+AI828+AJ828-1)&lt;0.000001,"OK","ОШИБКА"))</f>
        <v/>
      </c>
      <c r="AL828" s="13"/>
      <c r="AM828" s="12"/>
      <c r="AN828" s="12"/>
      <c r="AO828" s="12"/>
      <c r="AP828" s="12"/>
      <c r="AQ828" s="18" t="str">
        <f aca="false">IF(A828="","",N(AQ827)+N(AA828))</f>
        <v/>
      </c>
      <c r="AR828" s="18" t="str">
        <f aca="false">IF(AQ828="","",MAX(0,MAX($AQ$8:AQ828))-AQ828)</f>
        <v/>
      </c>
    </row>
    <row r="829" customFormat="false" ht="15" hidden="false" customHeight="fals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3"/>
      <c r="M829" s="13"/>
      <c r="N829" s="13"/>
      <c r="O829" s="14" t="str">
        <f aca="false">IF(OR(L829="",L829=0),"",(1-M829)/L829)</f>
        <v/>
      </c>
      <c r="P829" s="15"/>
      <c r="Q829" s="12"/>
      <c r="R829" s="12"/>
      <c r="S829" s="13"/>
      <c r="T829" s="16" t="str">
        <f aca="false">IF(OR(S829="",L829=""),"",L829/(1-M829)-S829)</f>
        <v/>
      </c>
      <c r="U829" s="16" t="str">
        <f aca="false">IF(OR(L829="",P829=""),"",L829*(P829-1)-N829)</f>
        <v/>
      </c>
      <c r="V829" s="13"/>
      <c r="W829" s="17"/>
      <c r="X829" s="12"/>
      <c r="Y829" s="12"/>
      <c r="Z829" s="12"/>
      <c r="AA829" s="18" t="str">
        <f aca="false">IF(K829&lt;&gt;"ВИРТУАЛЬНЫЙ ВЫБОР","",IF(Z829="✅ ЗАШЛО",W829*(P829-1),IF(Z829="❌ НЕ ЗАШЛО",-W829,IF(Z829="½ ЗАШЛО",W829*(P829-1)/2,IF(Z829="½ НЕ ЗАШЛО",-W829/2,IF(Z829="ВОЗВРАТ",0,""))))))</f>
        <v/>
      </c>
      <c r="AB829" s="18" t="str">
        <f aca="false">IF(AND(K829="ВИРТУАЛЬНЫЙ ВЫБОР",OR(Z829="✅ ЗАШЛО",Z829="❌ НЕ ЗАШЛО",Z829="½ ЗАШЛО",Z829="½ НЕ ЗАШЛО",Z829="ВОЗВРАТ")),W829,"")</f>
        <v/>
      </c>
      <c r="AC829" s="15"/>
      <c r="AD829" s="16" t="str">
        <f aca="false">IF(OR(AC829="",P829=""),"",P829/AC829-1)</f>
        <v/>
      </c>
      <c r="AE829" s="19" t="str">
        <f aca="false">IF(AND(M829=0,OR(Z829="✅ ЗАШЛО",Z829="❌ НЕ ЗАШЛО"),L829&lt;&gt;""),(L829-IF(Z829="✅ ЗАШЛО",1,0))^2,"")</f>
        <v/>
      </c>
      <c r="AF829" s="15"/>
      <c r="AG829" s="15"/>
      <c r="AH829" s="13"/>
      <c r="AI829" s="13"/>
      <c r="AJ829" s="13"/>
      <c r="AK829" s="20" t="str">
        <f aca="false">IF(AH829="","",IF(ABS(AH829+AI829+AJ829-1)&lt;0.000001,"OK","ОШИБКА"))</f>
        <v/>
      </c>
      <c r="AL829" s="13"/>
      <c r="AM829" s="12"/>
      <c r="AN829" s="12"/>
      <c r="AO829" s="12"/>
      <c r="AP829" s="12"/>
      <c r="AQ829" s="18" t="str">
        <f aca="false">IF(A829="","",N(AQ828)+N(AA829))</f>
        <v/>
      </c>
      <c r="AR829" s="18" t="str">
        <f aca="false">IF(AQ829="","",MAX(0,MAX($AQ$8:AQ829))-AQ829)</f>
        <v/>
      </c>
    </row>
    <row r="830" customFormat="false" ht="15" hidden="false" customHeight="fals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3"/>
      <c r="M830" s="13"/>
      <c r="N830" s="13"/>
      <c r="O830" s="14" t="str">
        <f aca="false">IF(OR(L830="",L830=0),"",(1-M830)/L830)</f>
        <v/>
      </c>
      <c r="P830" s="15"/>
      <c r="Q830" s="12"/>
      <c r="R830" s="12"/>
      <c r="S830" s="13"/>
      <c r="T830" s="16" t="str">
        <f aca="false">IF(OR(S830="",L830=""),"",L830/(1-M830)-S830)</f>
        <v/>
      </c>
      <c r="U830" s="16" t="str">
        <f aca="false">IF(OR(L830="",P830=""),"",L830*(P830-1)-N830)</f>
        <v/>
      </c>
      <c r="V830" s="13"/>
      <c r="W830" s="17"/>
      <c r="X830" s="12"/>
      <c r="Y830" s="12"/>
      <c r="Z830" s="12"/>
      <c r="AA830" s="18" t="str">
        <f aca="false">IF(K830&lt;&gt;"ВИРТУАЛЬНЫЙ ВЫБОР","",IF(Z830="✅ ЗАШЛО",W830*(P830-1),IF(Z830="❌ НЕ ЗАШЛО",-W830,IF(Z830="½ ЗАШЛО",W830*(P830-1)/2,IF(Z830="½ НЕ ЗАШЛО",-W830/2,IF(Z830="ВОЗВРАТ",0,""))))))</f>
        <v/>
      </c>
      <c r="AB830" s="18" t="str">
        <f aca="false">IF(AND(K830="ВИРТУАЛЬНЫЙ ВЫБОР",OR(Z830="✅ ЗАШЛО",Z830="❌ НЕ ЗАШЛО",Z830="½ ЗАШЛО",Z830="½ НЕ ЗАШЛО",Z830="ВОЗВРАТ")),W830,"")</f>
        <v/>
      </c>
      <c r="AC830" s="15"/>
      <c r="AD830" s="16" t="str">
        <f aca="false">IF(OR(AC830="",P830=""),"",P830/AC830-1)</f>
        <v/>
      </c>
      <c r="AE830" s="19" t="str">
        <f aca="false">IF(AND(M830=0,OR(Z830="✅ ЗАШЛО",Z830="❌ НЕ ЗАШЛО"),L830&lt;&gt;""),(L830-IF(Z830="✅ ЗАШЛО",1,0))^2,"")</f>
        <v/>
      </c>
      <c r="AF830" s="15"/>
      <c r="AG830" s="15"/>
      <c r="AH830" s="13"/>
      <c r="AI830" s="13"/>
      <c r="AJ830" s="13"/>
      <c r="AK830" s="20" t="str">
        <f aca="false">IF(AH830="","",IF(ABS(AH830+AI830+AJ830-1)&lt;0.000001,"OK","ОШИБКА"))</f>
        <v/>
      </c>
      <c r="AL830" s="13"/>
      <c r="AM830" s="12"/>
      <c r="AN830" s="12"/>
      <c r="AO830" s="12"/>
      <c r="AP830" s="12"/>
      <c r="AQ830" s="18" t="str">
        <f aca="false">IF(A830="","",N(AQ829)+N(AA830))</f>
        <v/>
      </c>
      <c r="AR830" s="18" t="str">
        <f aca="false">IF(AQ830="","",MAX(0,MAX($AQ$8:AQ830))-AQ830)</f>
        <v/>
      </c>
    </row>
    <row r="831" customFormat="false" ht="15" hidden="false" customHeight="fals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3"/>
      <c r="M831" s="13"/>
      <c r="N831" s="13"/>
      <c r="O831" s="14" t="str">
        <f aca="false">IF(OR(L831="",L831=0),"",(1-M831)/L831)</f>
        <v/>
      </c>
      <c r="P831" s="15"/>
      <c r="Q831" s="12"/>
      <c r="R831" s="12"/>
      <c r="S831" s="13"/>
      <c r="T831" s="16" t="str">
        <f aca="false">IF(OR(S831="",L831=""),"",L831/(1-M831)-S831)</f>
        <v/>
      </c>
      <c r="U831" s="16" t="str">
        <f aca="false">IF(OR(L831="",P831=""),"",L831*(P831-1)-N831)</f>
        <v/>
      </c>
      <c r="V831" s="13"/>
      <c r="W831" s="17"/>
      <c r="X831" s="12"/>
      <c r="Y831" s="12"/>
      <c r="Z831" s="12"/>
      <c r="AA831" s="18" t="str">
        <f aca="false">IF(K831&lt;&gt;"ВИРТУАЛЬНЫЙ ВЫБОР","",IF(Z831="✅ ЗАШЛО",W831*(P831-1),IF(Z831="❌ НЕ ЗАШЛО",-W831,IF(Z831="½ ЗАШЛО",W831*(P831-1)/2,IF(Z831="½ НЕ ЗАШЛО",-W831/2,IF(Z831="ВОЗВРАТ",0,""))))))</f>
        <v/>
      </c>
      <c r="AB831" s="18" t="str">
        <f aca="false">IF(AND(K831="ВИРТУАЛЬНЫЙ ВЫБОР",OR(Z831="✅ ЗАШЛО",Z831="❌ НЕ ЗАШЛО",Z831="½ ЗАШЛО",Z831="½ НЕ ЗАШЛО",Z831="ВОЗВРАТ")),W831,"")</f>
        <v/>
      </c>
      <c r="AC831" s="15"/>
      <c r="AD831" s="16" t="str">
        <f aca="false">IF(OR(AC831="",P831=""),"",P831/AC831-1)</f>
        <v/>
      </c>
      <c r="AE831" s="19" t="str">
        <f aca="false">IF(AND(M831=0,OR(Z831="✅ ЗАШЛО",Z831="❌ НЕ ЗАШЛО"),L831&lt;&gt;""),(L831-IF(Z831="✅ ЗАШЛО",1,0))^2,"")</f>
        <v/>
      </c>
      <c r="AF831" s="15"/>
      <c r="AG831" s="15"/>
      <c r="AH831" s="13"/>
      <c r="AI831" s="13"/>
      <c r="AJ831" s="13"/>
      <c r="AK831" s="20" t="str">
        <f aca="false">IF(AH831="","",IF(ABS(AH831+AI831+AJ831-1)&lt;0.000001,"OK","ОШИБКА"))</f>
        <v/>
      </c>
      <c r="AL831" s="13"/>
      <c r="AM831" s="12"/>
      <c r="AN831" s="12"/>
      <c r="AO831" s="12"/>
      <c r="AP831" s="12"/>
      <c r="AQ831" s="18" t="str">
        <f aca="false">IF(A831="","",N(AQ830)+N(AA831))</f>
        <v/>
      </c>
      <c r="AR831" s="18" t="str">
        <f aca="false">IF(AQ831="","",MAX(0,MAX($AQ$8:AQ831))-AQ831)</f>
        <v/>
      </c>
    </row>
    <row r="832" customFormat="false" ht="15" hidden="false" customHeight="fals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3"/>
      <c r="M832" s="13"/>
      <c r="N832" s="13"/>
      <c r="O832" s="14" t="str">
        <f aca="false">IF(OR(L832="",L832=0),"",(1-M832)/L832)</f>
        <v/>
      </c>
      <c r="P832" s="15"/>
      <c r="Q832" s="12"/>
      <c r="R832" s="12"/>
      <c r="S832" s="13"/>
      <c r="T832" s="16" t="str">
        <f aca="false">IF(OR(S832="",L832=""),"",L832/(1-M832)-S832)</f>
        <v/>
      </c>
      <c r="U832" s="16" t="str">
        <f aca="false">IF(OR(L832="",P832=""),"",L832*(P832-1)-N832)</f>
        <v/>
      </c>
      <c r="V832" s="13"/>
      <c r="W832" s="17"/>
      <c r="X832" s="12"/>
      <c r="Y832" s="12"/>
      <c r="Z832" s="12"/>
      <c r="AA832" s="18" t="str">
        <f aca="false">IF(K832&lt;&gt;"ВИРТУАЛЬНЫЙ ВЫБОР","",IF(Z832="✅ ЗАШЛО",W832*(P832-1),IF(Z832="❌ НЕ ЗАШЛО",-W832,IF(Z832="½ ЗАШЛО",W832*(P832-1)/2,IF(Z832="½ НЕ ЗАШЛО",-W832/2,IF(Z832="ВОЗВРАТ",0,""))))))</f>
        <v/>
      </c>
      <c r="AB832" s="18" t="str">
        <f aca="false">IF(AND(K832="ВИРТУАЛЬНЫЙ ВЫБОР",OR(Z832="✅ ЗАШЛО",Z832="❌ НЕ ЗАШЛО",Z832="½ ЗАШЛО",Z832="½ НЕ ЗАШЛО",Z832="ВОЗВРАТ")),W832,"")</f>
        <v/>
      </c>
      <c r="AC832" s="15"/>
      <c r="AD832" s="16" t="str">
        <f aca="false">IF(OR(AC832="",P832=""),"",P832/AC832-1)</f>
        <v/>
      </c>
      <c r="AE832" s="19" t="str">
        <f aca="false">IF(AND(M832=0,OR(Z832="✅ ЗАШЛО",Z832="❌ НЕ ЗАШЛО"),L832&lt;&gt;""),(L832-IF(Z832="✅ ЗАШЛО",1,0))^2,"")</f>
        <v/>
      </c>
      <c r="AF832" s="15"/>
      <c r="AG832" s="15"/>
      <c r="AH832" s="13"/>
      <c r="AI832" s="13"/>
      <c r="AJ832" s="13"/>
      <c r="AK832" s="20" t="str">
        <f aca="false">IF(AH832="","",IF(ABS(AH832+AI832+AJ832-1)&lt;0.000001,"OK","ОШИБКА"))</f>
        <v/>
      </c>
      <c r="AL832" s="13"/>
      <c r="AM832" s="12"/>
      <c r="AN832" s="12"/>
      <c r="AO832" s="12"/>
      <c r="AP832" s="12"/>
      <c r="AQ832" s="18" t="str">
        <f aca="false">IF(A832="","",N(AQ831)+N(AA832))</f>
        <v/>
      </c>
      <c r="AR832" s="18" t="str">
        <f aca="false">IF(AQ832="","",MAX(0,MAX($AQ$8:AQ832))-AQ832)</f>
        <v/>
      </c>
    </row>
    <row r="833" customFormat="false" ht="15" hidden="false" customHeight="fals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3"/>
      <c r="M833" s="13"/>
      <c r="N833" s="13"/>
      <c r="O833" s="14" t="str">
        <f aca="false">IF(OR(L833="",L833=0),"",(1-M833)/L833)</f>
        <v/>
      </c>
      <c r="P833" s="15"/>
      <c r="Q833" s="12"/>
      <c r="R833" s="12"/>
      <c r="S833" s="13"/>
      <c r="T833" s="16" t="str">
        <f aca="false">IF(OR(S833="",L833=""),"",L833/(1-M833)-S833)</f>
        <v/>
      </c>
      <c r="U833" s="16" t="str">
        <f aca="false">IF(OR(L833="",P833=""),"",L833*(P833-1)-N833)</f>
        <v/>
      </c>
      <c r="V833" s="13"/>
      <c r="W833" s="17"/>
      <c r="X833" s="12"/>
      <c r="Y833" s="12"/>
      <c r="Z833" s="12"/>
      <c r="AA833" s="18" t="str">
        <f aca="false">IF(K833&lt;&gt;"ВИРТУАЛЬНЫЙ ВЫБОР","",IF(Z833="✅ ЗАШЛО",W833*(P833-1),IF(Z833="❌ НЕ ЗАШЛО",-W833,IF(Z833="½ ЗАШЛО",W833*(P833-1)/2,IF(Z833="½ НЕ ЗАШЛО",-W833/2,IF(Z833="ВОЗВРАТ",0,""))))))</f>
        <v/>
      </c>
      <c r="AB833" s="18" t="str">
        <f aca="false">IF(AND(K833="ВИРТУАЛЬНЫЙ ВЫБОР",OR(Z833="✅ ЗАШЛО",Z833="❌ НЕ ЗАШЛО",Z833="½ ЗАШЛО",Z833="½ НЕ ЗАШЛО",Z833="ВОЗВРАТ")),W833,"")</f>
        <v/>
      </c>
      <c r="AC833" s="15"/>
      <c r="AD833" s="16" t="str">
        <f aca="false">IF(OR(AC833="",P833=""),"",P833/AC833-1)</f>
        <v/>
      </c>
      <c r="AE833" s="19" t="str">
        <f aca="false">IF(AND(M833=0,OR(Z833="✅ ЗАШЛО",Z833="❌ НЕ ЗАШЛО"),L833&lt;&gt;""),(L833-IF(Z833="✅ ЗАШЛО",1,0))^2,"")</f>
        <v/>
      </c>
      <c r="AF833" s="15"/>
      <c r="AG833" s="15"/>
      <c r="AH833" s="13"/>
      <c r="AI833" s="13"/>
      <c r="AJ833" s="13"/>
      <c r="AK833" s="20" t="str">
        <f aca="false">IF(AH833="","",IF(ABS(AH833+AI833+AJ833-1)&lt;0.000001,"OK","ОШИБКА"))</f>
        <v/>
      </c>
      <c r="AL833" s="13"/>
      <c r="AM833" s="12"/>
      <c r="AN833" s="12"/>
      <c r="AO833" s="12"/>
      <c r="AP833" s="12"/>
      <c r="AQ833" s="18" t="str">
        <f aca="false">IF(A833="","",N(AQ832)+N(AA833))</f>
        <v/>
      </c>
      <c r="AR833" s="18" t="str">
        <f aca="false">IF(AQ833="","",MAX(0,MAX($AQ$8:AQ833))-AQ833)</f>
        <v/>
      </c>
    </row>
    <row r="834" customFormat="false" ht="15" hidden="false" customHeight="fals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3"/>
      <c r="M834" s="13"/>
      <c r="N834" s="13"/>
      <c r="O834" s="14" t="str">
        <f aca="false">IF(OR(L834="",L834=0),"",(1-M834)/L834)</f>
        <v/>
      </c>
      <c r="P834" s="15"/>
      <c r="Q834" s="12"/>
      <c r="R834" s="12"/>
      <c r="S834" s="13"/>
      <c r="T834" s="16" t="str">
        <f aca="false">IF(OR(S834="",L834=""),"",L834/(1-M834)-S834)</f>
        <v/>
      </c>
      <c r="U834" s="16" t="str">
        <f aca="false">IF(OR(L834="",P834=""),"",L834*(P834-1)-N834)</f>
        <v/>
      </c>
      <c r="V834" s="13"/>
      <c r="W834" s="17"/>
      <c r="X834" s="12"/>
      <c r="Y834" s="12"/>
      <c r="Z834" s="12"/>
      <c r="AA834" s="18" t="str">
        <f aca="false">IF(K834&lt;&gt;"ВИРТУАЛЬНЫЙ ВЫБОР","",IF(Z834="✅ ЗАШЛО",W834*(P834-1),IF(Z834="❌ НЕ ЗАШЛО",-W834,IF(Z834="½ ЗАШЛО",W834*(P834-1)/2,IF(Z834="½ НЕ ЗАШЛО",-W834/2,IF(Z834="ВОЗВРАТ",0,""))))))</f>
        <v/>
      </c>
      <c r="AB834" s="18" t="str">
        <f aca="false">IF(AND(K834="ВИРТУАЛЬНЫЙ ВЫБОР",OR(Z834="✅ ЗАШЛО",Z834="❌ НЕ ЗАШЛО",Z834="½ ЗАШЛО",Z834="½ НЕ ЗАШЛО",Z834="ВОЗВРАТ")),W834,"")</f>
        <v/>
      </c>
      <c r="AC834" s="15"/>
      <c r="AD834" s="16" t="str">
        <f aca="false">IF(OR(AC834="",P834=""),"",P834/AC834-1)</f>
        <v/>
      </c>
      <c r="AE834" s="19" t="str">
        <f aca="false">IF(AND(M834=0,OR(Z834="✅ ЗАШЛО",Z834="❌ НЕ ЗАШЛО"),L834&lt;&gt;""),(L834-IF(Z834="✅ ЗАШЛО",1,0))^2,"")</f>
        <v/>
      </c>
      <c r="AF834" s="15"/>
      <c r="AG834" s="15"/>
      <c r="AH834" s="13"/>
      <c r="AI834" s="13"/>
      <c r="AJ834" s="13"/>
      <c r="AK834" s="20" t="str">
        <f aca="false">IF(AH834="","",IF(ABS(AH834+AI834+AJ834-1)&lt;0.000001,"OK","ОШИБКА"))</f>
        <v/>
      </c>
      <c r="AL834" s="13"/>
      <c r="AM834" s="12"/>
      <c r="AN834" s="12"/>
      <c r="AO834" s="12"/>
      <c r="AP834" s="12"/>
      <c r="AQ834" s="18" t="str">
        <f aca="false">IF(A834="","",N(AQ833)+N(AA834))</f>
        <v/>
      </c>
      <c r="AR834" s="18" t="str">
        <f aca="false">IF(AQ834="","",MAX(0,MAX($AQ$8:AQ834))-AQ834)</f>
        <v/>
      </c>
    </row>
    <row r="835" customFormat="false" ht="15" hidden="false" customHeight="fals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3"/>
      <c r="M835" s="13"/>
      <c r="N835" s="13"/>
      <c r="O835" s="14" t="str">
        <f aca="false">IF(OR(L835="",L835=0),"",(1-M835)/L835)</f>
        <v/>
      </c>
      <c r="P835" s="15"/>
      <c r="Q835" s="12"/>
      <c r="R835" s="12"/>
      <c r="S835" s="13"/>
      <c r="T835" s="16" t="str">
        <f aca="false">IF(OR(S835="",L835=""),"",L835/(1-M835)-S835)</f>
        <v/>
      </c>
      <c r="U835" s="16" t="str">
        <f aca="false">IF(OR(L835="",P835=""),"",L835*(P835-1)-N835)</f>
        <v/>
      </c>
      <c r="V835" s="13"/>
      <c r="W835" s="17"/>
      <c r="X835" s="12"/>
      <c r="Y835" s="12"/>
      <c r="Z835" s="12"/>
      <c r="AA835" s="18" t="str">
        <f aca="false">IF(K835&lt;&gt;"ВИРТУАЛЬНЫЙ ВЫБОР","",IF(Z835="✅ ЗАШЛО",W835*(P835-1),IF(Z835="❌ НЕ ЗАШЛО",-W835,IF(Z835="½ ЗАШЛО",W835*(P835-1)/2,IF(Z835="½ НЕ ЗАШЛО",-W835/2,IF(Z835="ВОЗВРАТ",0,""))))))</f>
        <v/>
      </c>
      <c r="AB835" s="18" t="str">
        <f aca="false">IF(AND(K835="ВИРТУАЛЬНЫЙ ВЫБОР",OR(Z835="✅ ЗАШЛО",Z835="❌ НЕ ЗАШЛО",Z835="½ ЗАШЛО",Z835="½ НЕ ЗАШЛО",Z835="ВОЗВРАТ")),W835,"")</f>
        <v/>
      </c>
      <c r="AC835" s="15"/>
      <c r="AD835" s="16" t="str">
        <f aca="false">IF(OR(AC835="",P835=""),"",P835/AC835-1)</f>
        <v/>
      </c>
      <c r="AE835" s="19" t="str">
        <f aca="false">IF(AND(M835=0,OR(Z835="✅ ЗАШЛО",Z835="❌ НЕ ЗАШЛО"),L835&lt;&gt;""),(L835-IF(Z835="✅ ЗАШЛО",1,0))^2,"")</f>
        <v/>
      </c>
      <c r="AF835" s="15"/>
      <c r="AG835" s="15"/>
      <c r="AH835" s="13"/>
      <c r="AI835" s="13"/>
      <c r="AJ835" s="13"/>
      <c r="AK835" s="20" t="str">
        <f aca="false">IF(AH835="","",IF(ABS(AH835+AI835+AJ835-1)&lt;0.000001,"OK","ОШИБКА"))</f>
        <v/>
      </c>
      <c r="AL835" s="13"/>
      <c r="AM835" s="12"/>
      <c r="AN835" s="12"/>
      <c r="AO835" s="12"/>
      <c r="AP835" s="12"/>
      <c r="AQ835" s="18" t="str">
        <f aca="false">IF(A835="","",N(AQ834)+N(AA835))</f>
        <v/>
      </c>
      <c r="AR835" s="18" t="str">
        <f aca="false">IF(AQ835="","",MAX(0,MAX($AQ$8:AQ835))-AQ835)</f>
        <v/>
      </c>
    </row>
    <row r="836" customFormat="false" ht="15" hidden="false" customHeight="fals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3"/>
      <c r="M836" s="13"/>
      <c r="N836" s="13"/>
      <c r="O836" s="14" t="str">
        <f aca="false">IF(OR(L836="",L836=0),"",(1-M836)/L836)</f>
        <v/>
      </c>
      <c r="P836" s="15"/>
      <c r="Q836" s="12"/>
      <c r="R836" s="12"/>
      <c r="S836" s="13"/>
      <c r="T836" s="16" t="str">
        <f aca="false">IF(OR(S836="",L836=""),"",L836/(1-M836)-S836)</f>
        <v/>
      </c>
      <c r="U836" s="16" t="str">
        <f aca="false">IF(OR(L836="",P836=""),"",L836*(P836-1)-N836)</f>
        <v/>
      </c>
      <c r="V836" s="13"/>
      <c r="W836" s="17"/>
      <c r="X836" s="12"/>
      <c r="Y836" s="12"/>
      <c r="Z836" s="12"/>
      <c r="AA836" s="18" t="str">
        <f aca="false">IF(K836&lt;&gt;"ВИРТУАЛЬНЫЙ ВЫБОР","",IF(Z836="✅ ЗАШЛО",W836*(P836-1),IF(Z836="❌ НЕ ЗАШЛО",-W836,IF(Z836="½ ЗАШЛО",W836*(P836-1)/2,IF(Z836="½ НЕ ЗАШЛО",-W836/2,IF(Z836="ВОЗВРАТ",0,""))))))</f>
        <v/>
      </c>
      <c r="AB836" s="18" t="str">
        <f aca="false">IF(AND(K836="ВИРТУАЛЬНЫЙ ВЫБОР",OR(Z836="✅ ЗАШЛО",Z836="❌ НЕ ЗАШЛО",Z836="½ ЗАШЛО",Z836="½ НЕ ЗАШЛО",Z836="ВОЗВРАТ")),W836,"")</f>
        <v/>
      </c>
      <c r="AC836" s="15"/>
      <c r="AD836" s="16" t="str">
        <f aca="false">IF(OR(AC836="",P836=""),"",P836/AC836-1)</f>
        <v/>
      </c>
      <c r="AE836" s="19" t="str">
        <f aca="false">IF(AND(M836=0,OR(Z836="✅ ЗАШЛО",Z836="❌ НЕ ЗАШЛО"),L836&lt;&gt;""),(L836-IF(Z836="✅ ЗАШЛО",1,0))^2,"")</f>
        <v/>
      </c>
      <c r="AF836" s="15"/>
      <c r="AG836" s="15"/>
      <c r="AH836" s="13"/>
      <c r="AI836" s="13"/>
      <c r="AJ836" s="13"/>
      <c r="AK836" s="20" t="str">
        <f aca="false">IF(AH836="","",IF(ABS(AH836+AI836+AJ836-1)&lt;0.000001,"OK","ОШИБКА"))</f>
        <v/>
      </c>
      <c r="AL836" s="13"/>
      <c r="AM836" s="12"/>
      <c r="AN836" s="12"/>
      <c r="AO836" s="12"/>
      <c r="AP836" s="12"/>
      <c r="AQ836" s="18" t="str">
        <f aca="false">IF(A836="","",N(AQ835)+N(AA836))</f>
        <v/>
      </c>
      <c r="AR836" s="18" t="str">
        <f aca="false">IF(AQ836="","",MAX(0,MAX($AQ$8:AQ836))-AQ836)</f>
        <v/>
      </c>
    </row>
    <row r="837" customFormat="false" ht="15" hidden="false" customHeight="fals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3"/>
      <c r="M837" s="13"/>
      <c r="N837" s="13"/>
      <c r="O837" s="14" t="str">
        <f aca="false">IF(OR(L837="",L837=0),"",(1-M837)/L837)</f>
        <v/>
      </c>
      <c r="P837" s="15"/>
      <c r="Q837" s="12"/>
      <c r="R837" s="12"/>
      <c r="S837" s="13"/>
      <c r="T837" s="16" t="str">
        <f aca="false">IF(OR(S837="",L837=""),"",L837/(1-M837)-S837)</f>
        <v/>
      </c>
      <c r="U837" s="16" t="str">
        <f aca="false">IF(OR(L837="",P837=""),"",L837*(P837-1)-N837)</f>
        <v/>
      </c>
      <c r="V837" s="13"/>
      <c r="W837" s="17"/>
      <c r="X837" s="12"/>
      <c r="Y837" s="12"/>
      <c r="Z837" s="12"/>
      <c r="AA837" s="18" t="str">
        <f aca="false">IF(K837&lt;&gt;"ВИРТУАЛЬНЫЙ ВЫБОР","",IF(Z837="✅ ЗАШЛО",W837*(P837-1),IF(Z837="❌ НЕ ЗАШЛО",-W837,IF(Z837="½ ЗАШЛО",W837*(P837-1)/2,IF(Z837="½ НЕ ЗАШЛО",-W837/2,IF(Z837="ВОЗВРАТ",0,""))))))</f>
        <v/>
      </c>
      <c r="AB837" s="18" t="str">
        <f aca="false">IF(AND(K837="ВИРТУАЛЬНЫЙ ВЫБОР",OR(Z837="✅ ЗАШЛО",Z837="❌ НЕ ЗАШЛО",Z837="½ ЗАШЛО",Z837="½ НЕ ЗАШЛО",Z837="ВОЗВРАТ")),W837,"")</f>
        <v/>
      </c>
      <c r="AC837" s="15"/>
      <c r="AD837" s="16" t="str">
        <f aca="false">IF(OR(AC837="",P837=""),"",P837/AC837-1)</f>
        <v/>
      </c>
      <c r="AE837" s="19" t="str">
        <f aca="false">IF(AND(M837=0,OR(Z837="✅ ЗАШЛО",Z837="❌ НЕ ЗАШЛО"),L837&lt;&gt;""),(L837-IF(Z837="✅ ЗАШЛО",1,0))^2,"")</f>
        <v/>
      </c>
      <c r="AF837" s="15"/>
      <c r="AG837" s="15"/>
      <c r="AH837" s="13"/>
      <c r="AI837" s="13"/>
      <c r="AJ837" s="13"/>
      <c r="AK837" s="20" t="str">
        <f aca="false">IF(AH837="","",IF(ABS(AH837+AI837+AJ837-1)&lt;0.000001,"OK","ОШИБКА"))</f>
        <v/>
      </c>
      <c r="AL837" s="13"/>
      <c r="AM837" s="12"/>
      <c r="AN837" s="12"/>
      <c r="AO837" s="12"/>
      <c r="AP837" s="12"/>
      <c r="AQ837" s="18" t="str">
        <f aca="false">IF(A837="","",N(AQ836)+N(AA837))</f>
        <v/>
      </c>
      <c r="AR837" s="18" t="str">
        <f aca="false">IF(AQ837="","",MAX(0,MAX($AQ$8:AQ837))-AQ837)</f>
        <v/>
      </c>
    </row>
    <row r="838" customFormat="false" ht="15" hidden="false" customHeight="fals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3"/>
      <c r="M838" s="13"/>
      <c r="N838" s="13"/>
      <c r="O838" s="14" t="str">
        <f aca="false">IF(OR(L838="",L838=0),"",(1-M838)/L838)</f>
        <v/>
      </c>
      <c r="P838" s="15"/>
      <c r="Q838" s="12"/>
      <c r="R838" s="12"/>
      <c r="S838" s="13"/>
      <c r="T838" s="16" t="str">
        <f aca="false">IF(OR(S838="",L838=""),"",L838/(1-M838)-S838)</f>
        <v/>
      </c>
      <c r="U838" s="16" t="str">
        <f aca="false">IF(OR(L838="",P838=""),"",L838*(P838-1)-N838)</f>
        <v/>
      </c>
      <c r="V838" s="13"/>
      <c r="W838" s="17"/>
      <c r="X838" s="12"/>
      <c r="Y838" s="12"/>
      <c r="Z838" s="12"/>
      <c r="AA838" s="18" t="str">
        <f aca="false">IF(K838&lt;&gt;"ВИРТУАЛЬНЫЙ ВЫБОР","",IF(Z838="✅ ЗАШЛО",W838*(P838-1),IF(Z838="❌ НЕ ЗАШЛО",-W838,IF(Z838="½ ЗАШЛО",W838*(P838-1)/2,IF(Z838="½ НЕ ЗАШЛО",-W838/2,IF(Z838="ВОЗВРАТ",0,""))))))</f>
        <v/>
      </c>
      <c r="AB838" s="18" t="str">
        <f aca="false">IF(AND(K838="ВИРТУАЛЬНЫЙ ВЫБОР",OR(Z838="✅ ЗАШЛО",Z838="❌ НЕ ЗАШЛО",Z838="½ ЗАШЛО",Z838="½ НЕ ЗАШЛО",Z838="ВОЗВРАТ")),W838,"")</f>
        <v/>
      </c>
      <c r="AC838" s="15"/>
      <c r="AD838" s="16" t="str">
        <f aca="false">IF(OR(AC838="",P838=""),"",P838/AC838-1)</f>
        <v/>
      </c>
      <c r="AE838" s="19" t="str">
        <f aca="false">IF(AND(M838=0,OR(Z838="✅ ЗАШЛО",Z838="❌ НЕ ЗАШЛО"),L838&lt;&gt;""),(L838-IF(Z838="✅ ЗАШЛО",1,0))^2,"")</f>
        <v/>
      </c>
      <c r="AF838" s="15"/>
      <c r="AG838" s="15"/>
      <c r="AH838" s="13"/>
      <c r="AI838" s="13"/>
      <c r="AJ838" s="13"/>
      <c r="AK838" s="20" t="str">
        <f aca="false">IF(AH838="","",IF(ABS(AH838+AI838+AJ838-1)&lt;0.000001,"OK","ОШИБКА"))</f>
        <v/>
      </c>
      <c r="AL838" s="13"/>
      <c r="AM838" s="12"/>
      <c r="AN838" s="12"/>
      <c r="AO838" s="12"/>
      <c r="AP838" s="12"/>
      <c r="AQ838" s="18" t="str">
        <f aca="false">IF(A838="","",N(AQ837)+N(AA838))</f>
        <v/>
      </c>
      <c r="AR838" s="18" t="str">
        <f aca="false">IF(AQ838="","",MAX(0,MAX($AQ$8:AQ838))-AQ838)</f>
        <v/>
      </c>
    </row>
    <row r="839" customFormat="false" ht="15" hidden="false" customHeight="fals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3"/>
      <c r="M839" s="13"/>
      <c r="N839" s="13"/>
      <c r="O839" s="14" t="str">
        <f aca="false">IF(OR(L839="",L839=0),"",(1-M839)/L839)</f>
        <v/>
      </c>
      <c r="P839" s="15"/>
      <c r="Q839" s="12"/>
      <c r="R839" s="12"/>
      <c r="S839" s="13"/>
      <c r="T839" s="16" t="str">
        <f aca="false">IF(OR(S839="",L839=""),"",L839/(1-M839)-S839)</f>
        <v/>
      </c>
      <c r="U839" s="16" t="str">
        <f aca="false">IF(OR(L839="",P839=""),"",L839*(P839-1)-N839)</f>
        <v/>
      </c>
      <c r="V839" s="13"/>
      <c r="W839" s="17"/>
      <c r="X839" s="12"/>
      <c r="Y839" s="12"/>
      <c r="Z839" s="12"/>
      <c r="AA839" s="18" t="str">
        <f aca="false">IF(K839&lt;&gt;"ВИРТУАЛЬНЫЙ ВЫБОР","",IF(Z839="✅ ЗАШЛО",W839*(P839-1),IF(Z839="❌ НЕ ЗАШЛО",-W839,IF(Z839="½ ЗАШЛО",W839*(P839-1)/2,IF(Z839="½ НЕ ЗАШЛО",-W839/2,IF(Z839="ВОЗВРАТ",0,""))))))</f>
        <v/>
      </c>
      <c r="AB839" s="18" t="str">
        <f aca="false">IF(AND(K839="ВИРТУАЛЬНЫЙ ВЫБОР",OR(Z839="✅ ЗАШЛО",Z839="❌ НЕ ЗАШЛО",Z839="½ ЗАШЛО",Z839="½ НЕ ЗАШЛО",Z839="ВОЗВРАТ")),W839,"")</f>
        <v/>
      </c>
      <c r="AC839" s="15"/>
      <c r="AD839" s="16" t="str">
        <f aca="false">IF(OR(AC839="",P839=""),"",P839/AC839-1)</f>
        <v/>
      </c>
      <c r="AE839" s="19" t="str">
        <f aca="false">IF(AND(M839=0,OR(Z839="✅ ЗАШЛО",Z839="❌ НЕ ЗАШЛО"),L839&lt;&gt;""),(L839-IF(Z839="✅ ЗАШЛО",1,0))^2,"")</f>
        <v/>
      </c>
      <c r="AF839" s="15"/>
      <c r="AG839" s="15"/>
      <c r="AH839" s="13"/>
      <c r="AI839" s="13"/>
      <c r="AJ839" s="13"/>
      <c r="AK839" s="20" t="str">
        <f aca="false">IF(AH839="","",IF(ABS(AH839+AI839+AJ839-1)&lt;0.000001,"OK","ОШИБКА"))</f>
        <v/>
      </c>
      <c r="AL839" s="13"/>
      <c r="AM839" s="12"/>
      <c r="AN839" s="12"/>
      <c r="AO839" s="12"/>
      <c r="AP839" s="12"/>
      <c r="AQ839" s="18" t="str">
        <f aca="false">IF(A839="","",N(AQ838)+N(AA839))</f>
        <v/>
      </c>
      <c r="AR839" s="18" t="str">
        <f aca="false">IF(AQ839="","",MAX(0,MAX($AQ$8:AQ839))-AQ839)</f>
        <v/>
      </c>
    </row>
    <row r="840" customFormat="false" ht="15" hidden="false" customHeight="fals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3"/>
      <c r="M840" s="13"/>
      <c r="N840" s="13"/>
      <c r="O840" s="14" t="str">
        <f aca="false">IF(OR(L840="",L840=0),"",(1-M840)/L840)</f>
        <v/>
      </c>
      <c r="P840" s="15"/>
      <c r="Q840" s="12"/>
      <c r="R840" s="12"/>
      <c r="S840" s="13"/>
      <c r="T840" s="16" t="str">
        <f aca="false">IF(OR(S840="",L840=""),"",L840/(1-M840)-S840)</f>
        <v/>
      </c>
      <c r="U840" s="16" t="str">
        <f aca="false">IF(OR(L840="",P840=""),"",L840*(P840-1)-N840)</f>
        <v/>
      </c>
      <c r="V840" s="13"/>
      <c r="W840" s="17"/>
      <c r="X840" s="12"/>
      <c r="Y840" s="12"/>
      <c r="Z840" s="12"/>
      <c r="AA840" s="18" t="str">
        <f aca="false">IF(K840&lt;&gt;"ВИРТУАЛЬНЫЙ ВЫБОР","",IF(Z840="✅ ЗАШЛО",W840*(P840-1),IF(Z840="❌ НЕ ЗАШЛО",-W840,IF(Z840="½ ЗАШЛО",W840*(P840-1)/2,IF(Z840="½ НЕ ЗАШЛО",-W840/2,IF(Z840="ВОЗВРАТ",0,""))))))</f>
        <v/>
      </c>
      <c r="AB840" s="18" t="str">
        <f aca="false">IF(AND(K840="ВИРТУАЛЬНЫЙ ВЫБОР",OR(Z840="✅ ЗАШЛО",Z840="❌ НЕ ЗАШЛО",Z840="½ ЗАШЛО",Z840="½ НЕ ЗАШЛО",Z840="ВОЗВРАТ")),W840,"")</f>
        <v/>
      </c>
      <c r="AC840" s="15"/>
      <c r="AD840" s="16" t="str">
        <f aca="false">IF(OR(AC840="",P840=""),"",P840/AC840-1)</f>
        <v/>
      </c>
      <c r="AE840" s="19" t="str">
        <f aca="false">IF(AND(M840=0,OR(Z840="✅ ЗАШЛО",Z840="❌ НЕ ЗАШЛО"),L840&lt;&gt;""),(L840-IF(Z840="✅ ЗАШЛО",1,0))^2,"")</f>
        <v/>
      </c>
      <c r="AF840" s="15"/>
      <c r="AG840" s="15"/>
      <c r="AH840" s="13"/>
      <c r="AI840" s="13"/>
      <c r="AJ840" s="13"/>
      <c r="AK840" s="20" t="str">
        <f aca="false">IF(AH840="","",IF(ABS(AH840+AI840+AJ840-1)&lt;0.000001,"OK","ОШИБКА"))</f>
        <v/>
      </c>
      <c r="AL840" s="13"/>
      <c r="AM840" s="12"/>
      <c r="AN840" s="12"/>
      <c r="AO840" s="12"/>
      <c r="AP840" s="12"/>
      <c r="AQ840" s="18" t="str">
        <f aca="false">IF(A840="","",N(AQ839)+N(AA840))</f>
        <v/>
      </c>
      <c r="AR840" s="18" t="str">
        <f aca="false">IF(AQ840="","",MAX(0,MAX($AQ$8:AQ840))-AQ840)</f>
        <v/>
      </c>
    </row>
    <row r="841" customFormat="false" ht="15" hidden="false" customHeight="fals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3"/>
      <c r="M841" s="13"/>
      <c r="N841" s="13"/>
      <c r="O841" s="14" t="str">
        <f aca="false">IF(OR(L841="",L841=0),"",(1-M841)/L841)</f>
        <v/>
      </c>
      <c r="P841" s="15"/>
      <c r="Q841" s="12"/>
      <c r="R841" s="12"/>
      <c r="S841" s="13"/>
      <c r="T841" s="16" t="str">
        <f aca="false">IF(OR(S841="",L841=""),"",L841/(1-M841)-S841)</f>
        <v/>
      </c>
      <c r="U841" s="16" t="str">
        <f aca="false">IF(OR(L841="",P841=""),"",L841*(P841-1)-N841)</f>
        <v/>
      </c>
      <c r="V841" s="13"/>
      <c r="W841" s="17"/>
      <c r="X841" s="12"/>
      <c r="Y841" s="12"/>
      <c r="Z841" s="12"/>
      <c r="AA841" s="18" t="str">
        <f aca="false">IF(K841&lt;&gt;"ВИРТУАЛЬНЫЙ ВЫБОР","",IF(Z841="✅ ЗАШЛО",W841*(P841-1),IF(Z841="❌ НЕ ЗАШЛО",-W841,IF(Z841="½ ЗАШЛО",W841*(P841-1)/2,IF(Z841="½ НЕ ЗАШЛО",-W841/2,IF(Z841="ВОЗВРАТ",0,""))))))</f>
        <v/>
      </c>
      <c r="AB841" s="18" t="str">
        <f aca="false">IF(AND(K841="ВИРТУАЛЬНЫЙ ВЫБОР",OR(Z841="✅ ЗАШЛО",Z841="❌ НЕ ЗАШЛО",Z841="½ ЗАШЛО",Z841="½ НЕ ЗАШЛО",Z841="ВОЗВРАТ")),W841,"")</f>
        <v/>
      </c>
      <c r="AC841" s="15"/>
      <c r="AD841" s="16" t="str">
        <f aca="false">IF(OR(AC841="",P841=""),"",P841/AC841-1)</f>
        <v/>
      </c>
      <c r="AE841" s="19" t="str">
        <f aca="false">IF(AND(M841=0,OR(Z841="✅ ЗАШЛО",Z841="❌ НЕ ЗАШЛО"),L841&lt;&gt;""),(L841-IF(Z841="✅ ЗАШЛО",1,0))^2,"")</f>
        <v/>
      </c>
      <c r="AF841" s="15"/>
      <c r="AG841" s="15"/>
      <c r="AH841" s="13"/>
      <c r="AI841" s="13"/>
      <c r="AJ841" s="13"/>
      <c r="AK841" s="20" t="str">
        <f aca="false">IF(AH841="","",IF(ABS(AH841+AI841+AJ841-1)&lt;0.000001,"OK","ОШИБКА"))</f>
        <v/>
      </c>
      <c r="AL841" s="13"/>
      <c r="AM841" s="12"/>
      <c r="AN841" s="12"/>
      <c r="AO841" s="12"/>
      <c r="AP841" s="12"/>
      <c r="AQ841" s="18" t="str">
        <f aca="false">IF(A841="","",N(AQ840)+N(AA841))</f>
        <v/>
      </c>
      <c r="AR841" s="18" t="str">
        <f aca="false">IF(AQ841="","",MAX(0,MAX($AQ$8:AQ841))-AQ841)</f>
        <v/>
      </c>
    </row>
    <row r="842" customFormat="false" ht="15" hidden="false" customHeight="fals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3"/>
      <c r="M842" s="13"/>
      <c r="N842" s="13"/>
      <c r="O842" s="14" t="str">
        <f aca="false">IF(OR(L842="",L842=0),"",(1-M842)/L842)</f>
        <v/>
      </c>
      <c r="P842" s="15"/>
      <c r="Q842" s="12"/>
      <c r="R842" s="12"/>
      <c r="S842" s="13"/>
      <c r="T842" s="16" t="str">
        <f aca="false">IF(OR(S842="",L842=""),"",L842/(1-M842)-S842)</f>
        <v/>
      </c>
      <c r="U842" s="16" t="str">
        <f aca="false">IF(OR(L842="",P842=""),"",L842*(P842-1)-N842)</f>
        <v/>
      </c>
      <c r="V842" s="13"/>
      <c r="W842" s="17"/>
      <c r="X842" s="12"/>
      <c r="Y842" s="12"/>
      <c r="Z842" s="12"/>
      <c r="AA842" s="18" t="str">
        <f aca="false">IF(K842&lt;&gt;"ВИРТУАЛЬНЫЙ ВЫБОР","",IF(Z842="✅ ЗАШЛО",W842*(P842-1),IF(Z842="❌ НЕ ЗАШЛО",-W842,IF(Z842="½ ЗАШЛО",W842*(P842-1)/2,IF(Z842="½ НЕ ЗАШЛО",-W842/2,IF(Z842="ВОЗВРАТ",0,""))))))</f>
        <v/>
      </c>
      <c r="AB842" s="18" t="str">
        <f aca="false">IF(AND(K842="ВИРТУАЛЬНЫЙ ВЫБОР",OR(Z842="✅ ЗАШЛО",Z842="❌ НЕ ЗАШЛО",Z842="½ ЗАШЛО",Z842="½ НЕ ЗАШЛО",Z842="ВОЗВРАТ")),W842,"")</f>
        <v/>
      </c>
      <c r="AC842" s="15"/>
      <c r="AD842" s="16" t="str">
        <f aca="false">IF(OR(AC842="",P842=""),"",P842/AC842-1)</f>
        <v/>
      </c>
      <c r="AE842" s="19" t="str">
        <f aca="false">IF(AND(M842=0,OR(Z842="✅ ЗАШЛО",Z842="❌ НЕ ЗАШЛО"),L842&lt;&gt;""),(L842-IF(Z842="✅ ЗАШЛО",1,0))^2,"")</f>
        <v/>
      </c>
      <c r="AF842" s="15"/>
      <c r="AG842" s="15"/>
      <c r="AH842" s="13"/>
      <c r="AI842" s="13"/>
      <c r="AJ842" s="13"/>
      <c r="AK842" s="20" t="str">
        <f aca="false">IF(AH842="","",IF(ABS(AH842+AI842+AJ842-1)&lt;0.000001,"OK","ОШИБКА"))</f>
        <v/>
      </c>
      <c r="AL842" s="13"/>
      <c r="AM842" s="12"/>
      <c r="AN842" s="12"/>
      <c r="AO842" s="12"/>
      <c r="AP842" s="12"/>
      <c r="AQ842" s="18" t="str">
        <f aca="false">IF(A842="","",N(AQ841)+N(AA842))</f>
        <v/>
      </c>
      <c r="AR842" s="18" t="str">
        <f aca="false">IF(AQ842="","",MAX(0,MAX($AQ$8:AQ842))-AQ842)</f>
        <v/>
      </c>
    </row>
    <row r="843" customFormat="false" ht="15" hidden="false" customHeight="fals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3"/>
      <c r="M843" s="13"/>
      <c r="N843" s="13"/>
      <c r="O843" s="14" t="str">
        <f aca="false">IF(OR(L843="",L843=0),"",(1-M843)/L843)</f>
        <v/>
      </c>
      <c r="P843" s="15"/>
      <c r="Q843" s="12"/>
      <c r="R843" s="12"/>
      <c r="S843" s="13"/>
      <c r="T843" s="16" t="str">
        <f aca="false">IF(OR(S843="",L843=""),"",L843/(1-M843)-S843)</f>
        <v/>
      </c>
      <c r="U843" s="16" t="str">
        <f aca="false">IF(OR(L843="",P843=""),"",L843*(P843-1)-N843)</f>
        <v/>
      </c>
      <c r="V843" s="13"/>
      <c r="W843" s="17"/>
      <c r="X843" s="12"/>
      <c r="Y843" s="12"/>
      <c r="Z843" s="12"/>
      <c r="AA843" s="18" t="str">
        <f aca="false">IF(K843&lt;&gt;"ВИРТУАЛЬНЫЙ ВЫБОР","",IF(Z843="✅ ЗАШЛО",W843*(P843-1),IF(Z843="❌ НЕ ЗАШЛО",-W843,IF(Z843="½ ЗАШЛО",W843*(P843-1)/2,IF(Z843="½ НЕ ЗАШЛО",-W843/2,IF(Z843="ВОЗВРАТ",0,""))))))</f>
        <v/>
      </c>
      <c r="AB843" s="18" t="str">
        <f aca="false">IF(AND(K843="ВИРТУАЛЬНЫЙ ВЫБОР",OR(Z843="✅ ЗАШЛО",Z843="❌ НЕ ЗАШЛО",Z843="½ ЗАШЛО",Z843="½ НЕ ЗАШЛО",Z843="ВОЗВРАТ")),W843,"")</f>
        <v/>
      </c>
      <c r="AC843" s="15"/>
      <c r="AD843" s="16" t="str">
        <f aca="false">IF(OR(AC843="",P843=""),"",P843/AC843-1)</f>
        <v/>
      </c>
      <c r="AE843" s="19" t="str">
        <f aca="false">IF(AND(M843=0,OR(Z843="✅ ЗАШЛО",Z843="❌ НЕ ЗАШЛО"),L843&lt;&gt;""),(L843-IF(Z843="✅ ЗАШЛО",1,0))^2,"")</f>
        <v/>
      </c>
      <c r="AF843" s="15"/>
      <c r="AG843" s="15"/>
      <c r="AH843" s="13"/>
      <c r="AI843" s="13"/>
      <c r="AJ843" s="13"/>
      <c r="AK843" s="20" t="str">
        <f aca="false">IF(AH843="","",IF(ABS(AH843+AI843+AJ843-1)&lt;0.000001,"OK","ОШИБКА"))</f>
        <v/>
      </c>
      <c r="AL843" s="13"/>
      <c r="AM843" s="12"/>
      <c r="AN843" s="12"/>
      <c r="AO843" s="12"/>
      <c r="AP843" s="12"/>
      <c r="AQ843" s="18" t="str">
        <f aca="false">IF(A843="","",N(AQ842)+N(AA843))</f>
        <v/>
      </c>
      <c r="AR843" s="18" t="str">
        <f aca="false">IF(AQ843="","",MAX(0,MAX($AQ$8:AQ843))-AQ843)</f>
        <v/>
      </c>
    </row>
    <row r="844" customFormat="false" ht="15" hidden="false" customHeight="fals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3"/>
      <c r="M844" s="13"/>
      <c r="N844" s="13"/>
      <c r="O844" s="14" t="str">
        <f aca="false">IF(OR(L844="",L844=0),"",(1-M844)/L844)</f>
        <v/>
      </c>
      <c r="P844" s="15"/>
      <c r="Q844" s="12"/>
      <c r="R844" s="12"/>
      <c r="S844" s="13"/>
      <c r="T844" s="16" t="str">
        <f aca="false">IF(OR(S844="",L844=""),"",L844/(1-M844)-S844)</f>
        <v/>
      </c>
      <c r="U844" s="16" t="str">
        <f aca="false">IF(OR(L844="",P844=""),"",L844*(P844-1)-N844)</f>
        <v/>
      </c>
      <c r="V844" s="13"/>
      <c r="W844" s="17"/>
      <c r="X844" s="12"/>
      <c r="Y844" s="12"/>
      <c r="Z844" s="12"/>
      <c r="AA844" s="18" t="str">
        <f aca="false">IF(K844&lt;&gt;"ВИРТУАЛЬНЫЙ ВЫБОР","",IF(Z844="✅ ЗАШЛО",W844*(P844-1),IF(Z844="❌ НЕ ЗАШЛО",-W844,IF(Z844="½ ЗАШЛО",W844*(P844-1)/2,IF(Z844="½ НЕ ЗАШЛО",-W844/2,IF(Z844="ВОЗВРАТ",0,""))))))</f>
        <v/>
      </c>
      <c r="AB844" s="18" t="str">
        <f aca="false">IF(AND(K844="ВИРТУАЛЬНЫЙ ВЫБОР",OR(Z844="✅ ЗАШЛО",Z844="❌ НЕ ЗАШЛО",Z844="½ ЗАШЛО",Z844="½ НЕ ЗАШЛО",Z844="ВОЗВРАТ")),W844,"")</f>
        <v/>
      </c>
      <c r="AC844" s="15"/>
      <c r="AD844" s="16" t="str">
        <f aca="false">IF(OR(AC844="",P844=""),"",P844/AC844-1)</f>
        <v/>
      </c>
      <c r="AE844" s="19" t="str">
        <f aca="false">IF(AND(M844=0,OR(Z844="✅ ЗАШЛО",Z844="❌ НЕ ЗАШЛО"),L844&lt;&gt;""),(L844-IF(Z844="✅ ЗАШЛО",1,0))^2,"")</f>
        <v/>
      </c>
      <c r="AF844" s="15"/>
      <c r="AG844" s="15"/>
      <c r="AH844" s="13"/>
      <c r="AI844" s="13"/>
      <c r="AJ844" s="13"/>
      <c r="AK844" s="20" t="str">
        <f aca="false">IF(AH844="","",IF(ABS(AH844+AI844+AJ844-1)&lt;0.000001,"OK","ОШИБКА"))</f>
        <v/>
      </c>
      <c r="AL844" s="13"/>
      <c r="AM844" s="12"/>
      <c r="AN844" s="12"/>
      <c r="AO844" s="12"/>
      <c r="AP844" s="12"/>
      <c r="AQ844" s="18" t="str">
        <f aca="false">IF(A844="","",N(AQ843)+N(AA844))</f>
        <v/>
      </c>
      <c r="AR844" s="18" t="str">
        <f aca="false">IF(AQ844="","",MAX(0,MAX($AQ$8:AQ844))-AQ844)</f>
        <v/>
      </c>
    </row>
    <row r="845" customFormat="false" ht="15" hidden="false" customHeight="fals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3"/>
      <c r="M845" s="13"/>
      <c r="N845" s="13"/>
      <c r="O845" s="14" t="str">
        <f aca="false">IF(OR(L845="",L845=0),"",(1-M845)/L845)</f>
        <v/>
      </c>
      <c r="P845" s="15"/>
      <c r="Q845" s="12"/>
      <c r="R845" s="12"/>
      <c r="S845" s="13"/>
      <c r="T845" s="16" t="str">
        <f aca="false">IF(OR(S845="",L845=""),"",L845/(1-M845)-S845)</f>
        <v/>
      </c>
      <c r="U845" s="16" t="str">
        <f aca="false">IF(OR(L845="",P845=""),"",L845*(P845-1)-N845)</f>
        <v/>
      </c>
      <c r="V845" s="13"/>
      <c r="W845" s="17"/>
      <c r="X845" s="12"/>
      <c r="Y845" s="12"/>
      <c r="Z845" s="12"/>
      <c r="AA845" s="18" t="str">
        <f aca="false">IF(K845&lt;&gt;"ВИРТУАЛЬНЫЙ ВЫБОР","",IF(Z845="✅ ЗАШЛО",W845*(P845-1),IF(Z845="❌ НЕ ЗАШЛО",-W845,IF(Z845="½ ЗАШЛО",W845*(P845-1)/2,IF(Z845="½ НЕ ЗАШЛО",-W845/2,IF(Z845="ВОЗВРАТ",0,""))))))</f>
        <v/>
      </c>
      <c r="AB845" s="18" t="str">
        <f aca="false">IF(AND(K845="ВИРТУАЛЬНЫЙ ВЫБОР",OR(Z845="✅ ЗАШЛО",Z845="❌ НЕ ЗАШЛО",Z845="½ ЗАШЛО",Z845="½ НЕ ЗАШЛО",Z845="ВОЗВРАТ")),W845,"")</f>
        <v/>
      </c>
      <c r="AC845" s="15"/>
      <c r="AD845" s="16" t="str">
        <f aca="false">IF(OR(AC845="",P845=""),"",P845/AC845-1)</f>
        <v/>
      </c>
      <c r="AE845" s="19" t="str">
        <f aca="false">IF(AND(M845=0,OR(Z845="✅ ЗАШЛО",Z845="❌ НЕ ЗАШЛО"),L845&lt;&gt;""),(L845-IF(Z845="✅ ЗАШЛО",1,0))^2,"")</f>
        <v/>
      </c>
      <c r="AF845" s="15"/>
      <c r="AG845" s="15"/>
      <c r="AH845" s="13"/>
      <c r="AI845" s="13"/>
      <c r="AJ845" s="13"/>
      <c r="AK845" s="20" t="str">
        <f aca="false">IF(AH845="","",IF(ABS(AH845+AI845+AJ845-1)&lt;0.000001,"OK","ОШИБКА"))</f>
        <v/>
      </c>
      <c r="AL845" s="13"/>
      <c r="AM845" s="12"/>
      <c r="AN845" s="12"/>
      <c r="AO845" s="12"/>
      <c r="AP845" s="12"/>
      <c r="AQ845" s="18" t="str">
        <f aca="false">IF(A845="","",N(AQ844)+N(AA845))</f>
        <v/>
      </c>
      <c r="AR845" s="18" t="str">
        <f aca="false">IF(AQ845="","",MAX(0,MAX($AQ$8:AQ845))-AQ845)</f>
        <v/>
      </c>
    </row>
    <row r="846" customFormat="false" ht="15" hidden="false" customHeight="fals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3"/>
      <c r="M846" s="13"/>
      <c r="N846" s="13"/>
      <c r="O846" s="14" t="str">
        <f aca="false">IF(OR(L846="",L846=0),"",(1-M846)/L846)</f>
        <v/>
      </c>
      <c r="P846" s="15"/>
      <c r="Q846" s="12"/>
      <c r="R846" s="12"/>
      <c r="S846" s="13"/>
      <c r="T846" s="16" t="str">
        <f aca="false">IF(OR(S846="",L846=""),"",L846/(1-M846)-S846)</f>
        <v/>
      </c>
      <c r="U846" s="16" t="str">
        <f aca="false">IF(OR(L846="",P846=""),"",L846*(P846-1)-N846)</f>
        <v/>
      </c>
      <c r="V846" s="13"/>
      <c r="W846" s="17"/>
      <c r="X846" s="12"/>
      <c r="Y846" s="12"/>
      <c r="Z846" s="12"/>
      <c r="AA846" s="18" t="str">
        <f aca="false">IF(K846&lt;&gt;"ВИРТУАЛЬНЫЙ ВЫБОР","",IF(Z846="✅ ЗАШЛО",W846*(P846-1),IF(Z846="❌ НЕ ЗАШЛО",-W846,IF(Z846="½ ЗАШЛО",W846*(P846-1)/2,IF(Z846="½ НЕ ЗАШЛО",-W846/2,IF(Z846="ВОЗВРАТ",0,""))))))</f>
        <v/>
      </c>
      <c r="AB846" s="18" t="str">
        <f aca="false">IF(AND(K846="ВИРТУАЛЬНЫЙ ВЫБОР",OR(Z846="✅ ЗАШЛО",Z846="❌ НЕ ЗАШЛО",Z846="½ ЗАШЛО",Z846="½ НЕ ЗАШЛО",Z846="ВОЗВРАТ")),W846,"")</f>
        <v/>
      </c>
      <c r="AC846" s="15"/>
      <c r="AD846" s="16" t="str">
        <f aca="false">IF(OR(AC846="",P846=""),"",P846/AC846-1)</f>
        <v/>
      </c>
      <c r="AE846" s="19" t="str">
        <f aca="false">IF(AND(M846=0,OR(Z846="✅ ЗАШЛО",Z846="❌ НЕ ЗАШЛО"),L846&lt;&gt;""),(L846-IF(Z846="✅ ЗАШЛО",1,0))^2,"")</f>
        <v/>
      </c>
      <c r="AF846" s="15"/>
      <c r="AG846" s="15"/>
      <c r="AH846" s="13"/>
      <c r="AI846" s="13"/>
      <c r="AJ846" s="13"/>
      <c r="AK846" s="20" t="str">
        <f aca="false">IF(AH846="","",IF(ABS(AH846+AI846+AJ846-1)&lt;0.000001,"OK","ОШИБКА"))</f>
        <v/>
      </c>
      <c r="AL846" s="13"/>
      <c r="AM846" s="12"/>
      <c r="AN846" s="12"/>
      <c r="AO846" s="12"/>
      <c r="AP846" s="12"/>
      <c r="AQ846" s="18" t="str">
        <f aca="false">IF(A846="","",N(AQ845)+N(AA846))</f>
        <v/>
      </c>
      <c r="AR846" s="18" t="str">
        <f aca="false">IF(AQ846="","",MAX(0,MAX($AQ$8:AQ846))-AQ846)</f>
        <v/>
      </c>
    </row>
    <row r="847" customFormat="false" ht="15" hidden="false" customHeight="fals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3"/>
      <c r="M847" s="13"/>
      <c r="N847" s="13"/>
      <c r="O847" s="14" t="str">
        <f aca="false">IF(OR(L847="",L847=0),"",(1-M847)/L847)</f>
        <v/>
      </c>
      <c r="P847" s="15"/>
      <c r="Q847" s="12"/>
      <c r="R847" s="12"/>
      <c r="S847" s="13"/>
      <c r="T847" s="16" t="str">
        <f aca="false">IF(OR(S847="",L847=""),"",L847/(1-M847)-S847)</f>
        <v/>
      </c>
      <c r="U847" s="16" t="str">
        <f aca="false">IF(OR(L847="",P847=""),"",L847*(P847-1)-N847)</f>
        <v/>
      </c>
      <c r="V847" s="13"/>
      <c r="W847" s="17"/>
      <c r="X847" s="12"/>
      <c r="Y847" s="12"/>
      <c r="Z847" s="12"/>
      <c r="AA847" s="18" t="str">
        <f aca="false">IF(K847&lt;&gt;"ВИРТУАЛЬНЫЙ ВЫБОР","",IF(Z847="✅ ЗАШЛО",W847*(P847-1),IF(Z847="❌ НЕ ЗАШЛО",-W847,IF(Z847="½ ЗАШЛО",W847*(P847-1)/2,IF(Z847="½ НЕ ЗАШЛО",-W847/2,IF(Z847="ВОЗВРАТ",0,""))))))</f>
        <v/>
      </c>
      <c r="AB847" s="18" t="str">
        <f aca="false">IF(AND(K847="ВИРТУАЛЬНЫЙ ВЫБОР",OR(Z847="✅ ЗАШЛО",Z847="❌ НЕ ЗАШЛО",Z847="½ ЗАШЛО",Z847="½ НЕ ЗАШЛО",Z847="ВОЗВРАТ")),W847,"")</f>
        <v/>
      </c>
      <c r="AC847" s="15"/>
      <c r="AD847" s="16" t="str">
        <f aca="false">IF(OR(AC847="",P847=""),"",P847/AC847-1)</f>
        <v/>
      </c>
      <c r="AE847" s="19" t="str">
        <f aca="false">IF(AND(M847=0,OR(Z847="✅ ЗАШЛО",Z847="❌ НЕ ЗАШЛО"),L847&lt;&gt;""),(L847-IF(Z847="✅ ЗАШЛО",1,0))^2,"")</f>
        <v/>
      </c>
      <c r="AF847" s="15"/>
      <c r="AG847" s="15"/>
      <c r="AH847" s="13"/>
      <c r="AI847" s="13"/>
      <c r="AJ847" s="13"/>
      <c r="AK847" s="20" t="str">
        <f aca="false">IF(AH847="","",IF(ABS(AH847+AI847+AJ847-1)&lt;0.000001,"OK","ОШИБКА"))</f>
        <v/>
      </c>
      <c r="AL847" s="13"/>
      <c r="AM847" s="12"/>
      <c r="AN847" s="12"/>
      <c r="AO847" s="12"/>
      <c r="AP847" s="12"/>
      <c r="AQ847" s="18" t="str">
        <f aca="false">IF(A847="","",N(AQ846)+N(AA847))</f>
        <v/>
      </c>
      <c r="AR847" s="18" t="str">
        <f aca="false">IF(AQ847="","",MAX(0,MAX($AQ$8:AQ847))-AQ847)</f>
        <v/>
      </c>
    </row>
    <row r="848" customFormat="false" ht="15" hidden="false" customHeight="fals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3"/>
      <c r="M848" s="13"/>
      <c r="N848" s="13"/>
      <c r="O848" s="14" t="str">
        <f aca="false">IF(OR(L848="",L848=0),"",(1-M848)/L848)</f>
        <v/>
      </c>
      <c r="P848" s="15"/>
      <c r="Q848" s="12"/>
      <c r="R848" s="12"/>
      <c r="S848" s="13"/>
      <c r="T848" s="16" t="str">
        <f aca="false">IF(OR(S848="",L848=""),"",L848/(1-M848)-S848)</f>
        <v/>
      </c>
      <c r="U848" s="16" t="str">
        <f aca="false">IF(OR(L848="",P848=""),"",L848*(P848-1)-N848)</f>
        <v/>
      </c>
      <c r="V848" s="13"/>
      <c r="W848" s="17"/>
      <c r="X848" s="12"/>
      <c r="Y848" s="12"/>
      <c r="Z848" s="12"/>
      <c r="AA848" s="18" t="str">
        <f aca="false">IF(K848&lt;&gt;"ВИРТУАЛЬНЫЙ ВЫБОР","",IF(Z848="✅ ЗАШЛО",W848*(P848-1),IF(Z848="❌ НЕ ЗАШЛО",-W848,IF(Z848="½ ЗАШЛО",W848*(P848-1)/2,IF(Z848="½ НЕ ЗАШЛО",-W848/2,IF(Z848="ВОЗВРАТ",0,""))))))</f>
        <v/>
      </c>
      <c r="AB848" s="18" t="str">
        <f aca="false">IF(AND(K848="ВИРТУАЛЬНЫЙ ВЫБОР",OR(Z848="✅ ЗАШЛО",Z848="❌ НЕ ЗАШЛО",Z848="½ ЗАШЛО",Z848="½ НЕ ЗАШЛО",Z848="ВОЗВРАТ")),W848,"")</f>
        <v/>
      </c>
      <c r="AC848" s="15"/>
      <c r="AD848" s="16" t="str">
        <f aca="false">IF(OR(AC848="",P848=""),"",P848/AC848-1)</f>
        <v/>
      </c>
      <c r="AE848" s="19" t="str">
        <f aca="false">IF(AND(M848=0,OR(Z848="✅ ЗАШЛО",Z848="❌ НЕ ЗАШЛО"),L848&lt;&gt;""),(L848-IF(Z848="✅ ЗАШЛО",1,0))^2,"")</f>
        <v/>
      </c>
      <c r="AF848" s="15"/>
      <c r="AG848" s="15"/>
      <c r="AH848" s="13"/>
      <c r="AI848" s="13"/>
      <c r="AJ848" s="13"/>
      <c r="AK848" s="20" t="str">
        <f aca="false">IF(AH848="","",IF(ABS(AH848+AI848+AJ848-1)&lt;0.000001,"OK","ОШИБКА"))</f>
        <v/>
      </c>
      <c r="AL848" s="13"/>
      <c r="AM848" s="12"/>
      <c r="AN848" s="12"/>
      <c r="AO848" s="12"/>
      <c r="AP848" s="12"/>
      <c r="AQ848" s="18" t="str">
        <f aca="false">IF(A848="","",N(AQ847)+N(AA848))</f>
        <v/>
      </c>
      <c r="AR848" s="18" t="str">
        <f aca="false">IF(AQ848="","",MAX(0,MAX($AQ$8:AQ848))-AQ848)</f>
        <v/>
      </c>
    </row>
    <row r="849" customFormat="false" ht="15" hidden="false" customHeight="fals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3"/>
      <c r="M849" s="13"/>
      <c r="N849" s="13"/>
      <c r="O849" s="14" t="str">
        <f aca="false">IF(OR(L849="",L849=0),"",(1-M849)/L849)</f>
        <v/>
      </c>
      <c r="P849" s="15"/>
      <c r="Q849" s="12"/>
      <c r="R849" s="12"/>
      <c r="S849" s="13"/>
      <c r="T849" s="16" t="str">
        <f aca="false">IF(OR(S849="",L849=""),"",L849/(1-M849)-S849)</f>
        <v/>
      </c>
      <c r="U849" s="16" t="str">
        <f aca="false">IF(OR(L849="",P849=""),"",L849*(P849-1)-N849)</f>
        <v/>
      </c>
      <c r="V849" s="13"/>
      <c r="W849" s="17"/>
      <c r="X849" s="12"/>
      <c r="Y849" s="12"/>
      <c r="Z849" s="12"/>
      <c r="AA849" s="18" t="str">
        <f aca="false">IF(K849&lt;&gt;"ВИРТУАЛЬНЫЙ ВЫБОР","",IF(Z849="✅ ЗАШЛО",W849*(P849-1),IF(Z849="❌ НЕ ЗАШЛО",-W849,IF(Z849="½ ЗАШЛО",W849*(P849-1)/2,IF(Z849="½ НЕ ЗАШЛО",-W849/2,IF(Z849="ВОЗВРАТ",0,""))))))</f>
        <v/>
      </c>
      <c r="AB849" s="18" t="str">
        <f aca="false">IF(AND(K849="ВИРТУАЛЬНЫЙ ВЫБОР",OR(Z849="✅ ЗАШЛО",Z849="❌ НЕ ЗАШЛО",Z849="½ ЗАШЛО",Z849="½ НЕ ЗАШЛО",Z849="ВОЗВРАТ")),W849,"")</f>
        <v/>
      </c>
      <c r="AC849" s="15"/>
      <c r="AD849" s="16" t="str">
        <f aca="false">IF(OR(AC849="",P849=""),"",P849/AC849-1)</f>
        <v/>
      </c>
      <c r="AE849" s="19" t="str">
        <f aca="false">IF(AND(M849=0,OR(Z849="✅ ЗАШЛО",Z849="❌ НЕ ЗАШЛО"),L849&lt;&gt;""),(L849-IF(Z849="✅ ЗАШЛО",1,0))^2,"")</f>
        <v/>
      </c>
      <c r="AF849" s="15"/>
      <c r="AG849" s="15"/>
      <c r="AH849" s="13"/>
      <c r="AI849" s="13"/>
      <c r="AJ849" s="13"/>
      <c r="AK849" s="20" t="str">
        <f aca="false">IF(AH849="","",IF(ABS(AH849+AI849+AJ849-1)&lt;0.000001,"OK","ОШИБКА"))</f>
        <v/>
      </c>
      <c r="AL849" s="13"/>
      <c r="AM849" s="12"/>
      <c r="AN849" s="12"/>
      <c r="AO849" s="12"/>
      <c r="AP849" s="12"/>
      <c r="AQ849" s="18" t="str">
        <f aca="false">IF(A849="","",N(AQ848)+N(AA849))</f>
        <v/>
      </c>
      <c r="AR849" s="18" t="str">
        <f aca="false">IF(AQ849="","",MAX(0,MAX($AQ$8:AQ849))-AQ849)</f>
        <v/>
      </c>
    </row>
    <row r="850" customFormat="false" ht="15" hidden="false" customHeight="fals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3"/>
      <c r="M850" s="13"/>
      <c r="N850" s="13"/>
      <c r="O850" s="14" t="str">
        <f aca="false">IF(OR(L850="",L850=0),"",(1-M850)/L850)</f>
        <v/>
      </c>
      <c r="P850" s="15"/>
      <c r="Q850" s="12"/>
      <c r="R850" s="12"/>
      <c r="S850" s="13"/>
      <c r="T850" s="16" t="str">
        <f aca="false">IF(OR(S850="",L850=""),"",L850/(1-M850)-S850)</f>
        <v/>
      </c>
      <c r="U850" s="16" t="str">
        <f aca="false">IF(OR(L850="",P850=""),"",L850*(P850-1)-N850)</f>
        <v/>
      </c>
      <c r="V850" s="13"/>
      <c r="W850" s="17"/>
      <c r="X850" s="12"/>
      <c r="Y850" s="12"/>
      <c r="Z850" s="12"/>
      <c r="AA850" s="18" t="str">
        <f aca="false">IF(K850&lt;&gt;"ВИРТУАЛЬНЫЙ ВЫБОР","",IF(Z850="✅ ЗАШЛО",W850*(P850-1),IF(Z850="❌ НЕ ЗАШЛО",-W850,IF(Z850="½ ЗАШЛО",W850*(P850-1)/2,IF(Z850="½ НЕ ЗАШЛО",-W850/2,IF(Z850="ВОЗВРАТ",0,""))))))</f>
        <v/>
      </c>
      <c r="AB850" s="18" t="str">
        <f aca="false">IF(AND(K850="ВИРТУАЛЬНЫЙ ВЫБОР",OR(Z850="✅ ЗАШЛО",Z850="❌ НЕ ЗАШЛО",Z850="½ ЗАШЛО",Z850="½ НЕ ЗАШЛО",Z850="ВОЗВРАТ")),W850,"")</f>
        <v/>
      </c>
      <c r="AC850" s="15"/>
      <c r="AD850" s="16" t="str">
        <f aca="false">IF(OR(AC850="",P850=""),"",P850/AC850-1)</f>
        <v/>
      </c>
      <c r="AE850" s="19" t="str">
        <f aca="false">IF(AND(M850=0,OR(Z850="✅ ЗАШЛО",Z850="❌ НЕ ЗАШЛО"),L850&lt;&gt;""),(L850-IF(Z850="✅ ЗАШЛО",1,0))^2,"")</f>
        <v/>
      </c>
      <c r="AF850" s="15"/>
      <c r="AG850" s="15"/>
      <c r="AH850" s="13"/>
      <c r="AI850" s="13"/>
      <c r="AJ850" s="13"/>
      <c r="AK850" s="20" t="str">
        <f aca="false">IF(AH850="","",IF(ABS(AH850+AI850+AJ850-1)&lt;0.000001,"OK","ОШИБКА"))</f>
        <v/>
      </c>
      <c r="AL850" s="13"/>
      <c r="AM850" s="12"/>
      <c r="AN850" s="12"/>
      <c r="AO850" s="12"/>
      <c r="AP850" s="12"/>
      <c r="AQ850" s="18" t="str">
        <f aca="false">IF(A850="","",N(AQ849)+N(AA850))</f>
        <v/>
      </c>
      <c r="AR850" s="18" t="str">
        <f aca="false">IF(AQ850="","",MAX(0,MAX($AQ$8:AQ850))-AQ850)</f>
        <v/>
      </c>
    </row>
    <row r="851" customFormat="false" ht="15" hidden="false" customHeight="fals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3"/>
      <c r="M851" s="13"/>
      <c r="N851" s="13"/>
      <c r="O851" s="14" t="str">
        <f aca="false">IF(OR(L851="",L851=0),"",(1-M851)/L851)</f>
        <v/>
      </c>
      <c r="P851" s="15"/>
      <c r="Q851" s="12"/>
      <c r="R851" s="12"/>
      <c r="S851" s="13"/>
      <c r="T851" s="16" t="str">
        <f aca="false">IF(OR(S851="",L851=""),"",L851/(1-M851)-S851)</f>
        <v/>
      </c>
      <c r="U851" s="16" t="str">
        <f aca="false">IF(OR(L851="",P851=""),"",L851*(P851-1)-N851)</f>
        <v/>
      </c>
      <c r="V851" s="13"/>
      <c r="W851" s="17"/>
      <c r="X851" s="12"/>
      <c r="Y851" s="12"/>
      <c r="Z851" s="12"/>
      <c r="AA851" s="18" t="str">
        <f aca="false">IF(K851&lt;&gt;"ВИРТУАЛЬНЫЙ ВЫБОР","",IF(Z851="✅ ЗАШЛО",W851*(P851-1),IF(Z851="❌ НЕ ЗАШЛО",-W851,IF(Z851="½ ЗАШЛО",W851*(P851-1)/2,IF(Z851="½ НЕ ЗАШЛО",-W851/2,IF(Z851="ВОЗВРАТ",0,""))))))</f>
        <v/>
      </c>
      <c r="AB851" s="18" t="str">
        <f aca="false">IF(AND(K851="ВИРТУАЛЬНЫЙ ВЫБОР",OR(Z851="✅ ЗАШЛО",Z851="❌ НЕ ЗАШЛО",Z851="½ ЗАШЛО",Z851="½ НЕ ЗАШЛО",Z851="ВОЗВРАТ")),W851,"")</f>
        <v/>
      </c>
      <c r="AC851" s="15"/>
      <c r="AD851" s="16" t="str">
        <f aca="false">IF(OR(AC851="",P851=""),"",P851/AC851-1)</f>
        <v/>
      </c>
      <c r="AE851" s="19" t="str">
        <f aca="false">IF(AND(M851=0,OR(Z851="✅ ЗАШЛО",Z851="❌ НЕ ЗАШЛО"),L851&lt;&gt;""),(L851-IF(Z851="✅ ЗАШЛО",1,0))^2,"")</f>
        <v/>
      </c>
      <c r="AF851" s="15"/>
      <c r="AG851" s="15"/>
      <c r="AH851" s="13"/>
      <c r="AI851" s="13"/>
      <c r="AJ851" s="13"/>
      <c r="AK851" s="20" t="str">
        <f aca="false">IF(AH851="","",IF(ABS(AH851+AI851+AJ851-1)&lt;0.000001,"OK","ОШИБКА"))</f>
        <v/>
      </c>
      <c r="AL851" s="13"/>
      <c r="AM851" s="12"/>
      <c r="AN851" s="12"/>
      <c r="AO851" s="12"/>
      <c r="AP851" s="12"/>
      <c r="AQ851" s="18" t="str">
        <f aca="false">IF(A851="","",N(AQ850)+N(AA851))</f>
        <v/>
      </c>
      <c r="AR851" s="18" t="str">
        <f aca="false">IF(AQ851="","",MAX(0,MAX($AQ$8:AQ851))-AQ851)</f>
        <v/>
      </c>
    </row>
    <row r="852" customFormat="false" ht="15" hidden="false" customHeight="fals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3"/>
      <c r="M852" s="13"/>
      <c r="N852" s="13"/>
      <c r="O852" s="14" t="str">
        <f aca="false">IF(OR(L852="",L852=0),"",(1-M852)/L852)</f>
        <v/>
      </c>
      <c r="P852" s="15"/>
      <c r="Q852" s="12"/>
      <c r="R852" s="12"/>
      <c r="S852" s="13"/>
      <c r="T852" s="16" t="str">
        <f aca="false">IF(OR(S852="",L852=""),"",L852/(1-M852)-S852)</f>
        <v/>
      </c>
      <c r="U852" s="16" t="str">
        <f aca="false">IF(OR(L852="",P852=""),"",L852*(P852-1)-N852)</f>
        <v/>
      </c>
      <c r="V852" s="13"/>
      <c r="W852" s="17"/>
      <c r="X852" s="12"/>
      <c r="Y852" s="12"/>
      <c r="Z852" s="12"/>
      <c r="AA852" s="18" t="str">
        <f aca="false">IF(K852&lt;&gt;"ВИРТУАЛЬНЫЙ ВЫБОР","",IF(Z852="✅ ЗАШЛО",W852*(P852-1),IF(Z852="❌ НЕ ЗАШЛО",-W852,IF(Z852="½ ЗАШЛО",W852*(P852-1)/2,IF(Z852="½ НЕ ЗАШЛО",-W852/2,IF(Z852="ВОЗВРАТ",0,""))))))</f>
        <v/>
      </c>
      <c r="AB852" s="18" t="str">
        <f aca="false">IF(AND(K852="ВИРТУАЛЬНЫЙ ВЫБОР",OR(Z852="✅ ЗАШЛО",Z852="❌ НЕ ЗАШЛО",Z852="½ ЗАШЛО",Z852="½ НЕ ЗАШЛО",Z852="ВОЗВРАТ")),W852,"")</f>
        <v/>
      </c>
      <c r="AC852" s="15"/>
      <c r="AD852" s="16" t="str">
        <f aca="false">IF(OR(AC852="",P852=""),"",P852/AC852-1)</f>
        <v/>
      </c>
      <c r="AE852" s="19" t="str">
        <f aca="false">IF(AND(M852=0,OR(Z852="✅ ЗАШЛО",Z852="❌ НЕ ЗАШЛО"),L852&lt;&gt;""),(L852-IF(Z852="✅ ЗАШЛО",1,0))^2,"")</f>
        <v/>
      </c>
      <c r="AF852" s="15"/>
      <c r="AG852" s="15"/>
      <c r="AH852" s="13"/>
      <c r="AI852" s="13"/>
      <c r="AJ852" s="13"/>
      <c r="AK852" s="20" t="str">
        <f aca="false">IF(AH852="","",IF(ABS(AH852+AI852+AJ852-1)&lt;0.000001,"OK","ОШИБКА"))</f>
        <v/>
      </c>
      <c r="AL852" s="13"/>
      <c r="AM852" s="12"/>
      <c r="AN852" s="12"/>
      <c r="AO852" s="12"/>
      <c r="AP852" s="12"/>
      <c r="AQ852" s="18" t="str">
        <f aca="false">IF(A852="","",N(AQ851)+N(AA852))</f>
        <v/>
      </c>
      <c r="AR852" s="18" t="str">
        <f aca="false">IF(AQ852="","",MAX(0,MAX($AQ$8:AQ852))-AQ852)</f>
        <v/>
      </c>
    </row>
    <row r="853" customFormat="false" ht="15" hidden="false" customHeight="fals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3"/>
      <c r="M853" s="13"/>
      <c r="N853" s="13"/>
      <c r="O853" s="14" t="str">
        <f aca="false">IF(OR(L853="",L853=0),"",(1-M853)/L853)</f>
        <v/>
      </c>
      <c r="P853" s="15"/>
      <c r="Q853" s="12"/>
      <c r="R853" s="12"/>
      <c r="S853" s="13"/>
      <c r="T853" s="16" t="str">
        <f aca="false">IF(OR(S853="",L853=""),"",L853/(1-M853)-S853)</f>
        <v/>
      </c>
      <c r="U853" s="16" t="str">
        <f aca="false">IF(OR(L853="",P853=""),"",L853*(P853-1)-N853)</f>
        <v/>
      </c>
      <c r="V853" s="13"/>
      <c r="W853" s="17"/>
      <c r="X853" s="12"/>
      <c r="Y853" s="12"/>
      <c r="Z853" s="12"/>
      <c r="AA853" s="18" t="str">
        <f aca="false">IF(K853&lt;&gt;"ВИРТУАЛЬНЫЙ ВЫБОР","",IF(Z853="✅ ЗАШЛО",W853*(P853-1),IF(Z853="❌ НЕ ЗАШЛО",-W853,IF(Z853="½ ЗАШЛО",W853*(P853-1)/2,IF(Z853="½ НЕ ЗАШЛО",-W853/2,IF(Z853="ВОЗВРАТ",0,""))))))</f>
        <v/>
      </c>
      <c r="AB853" s="18" t="str">
        <f aca="false">IF(AND(K853="ВИРТУАЛЬНЫЙ ВЫБОР",OR(Z853="✅ ЗАШЛО",Z853="❌ НЕ ЗАШЛО",Z853="½ ЗАШЛО",Z853="½ НЕ ЗАШЛО",Z853="ВОЗВРАТ")),W853,"")</f>
        <v/>
      </c>
      <c r="AC853" s="15"/>
      <c r="AD853" s="16" t="str">
        <f aca="false">IF(OR(AC853="",P853=""),"",P853/AC853-1)</f>
        <v/>
      </c>
      <c r="AE853" s="19" t="str">
        <f aca="false">IF(AND(M853=0,OR(Z853="✅ ЗАШЛО",Z853="❌ НЕ ЗАШЛО"),L853&lt;&gt;""),(L853-IF(Z853="✅ ЗАШЛО",1,0))^2,"")</f>
        <v/>
      </c>
      <c r="AF853" s="15"/>
      <c r="AG853" s="15"/>
      <c r="AH853" s="13"/>
      <c r="AI853" s="13"/>
      <c r="AJ853" s="13"/>
      <c r="AK853" s="20" t="str">
        <f aca="false">IF(AH853="","",IF(ABS(AH853+AI853+AJ853-1)&lt;0.000001,"OK","ОШИБКА"))</f>
        <v/>
      </c>
      <c r="AL853" s="13"/>
      <c r="AM853" s="12"/>
      <c r="AN853" s="12"/>
      <c r="AO853" s="12"/>
      <c r="AP853" s="12"/>
      <c r="AQ853" s="18" t="str">
        <f aca="false">IF(A853="","",N(AQ852)+N(AA853))</f>
        <v/>
      </c>
      <c r="AR853" s="18" t="str">
        <f aca="false">IF(AQ853="","",MAX(0,MAX($AQ$8:AQ853))-AQ853)</f>
        <v/>
      </c>
    </row>
    <row r="854" customFormat="false" ht="15" hidden="false" customHeight="fals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3"/>
      <c r="M854" s="13"/>
      <c r="N854" s="13"/>
      <c r="O854" s="14" t="str">
        <f aca="false">IF(OR(L854="",L854=0),"",(1-M854)/L854)</f>
        <v/>
      </c>
      <c r="P854" s="15"/>
      <c r="Q854" s="12"/>
      <c r="R854" s="12"/>
      <c r="S854" s="13"/>
      <c r="T854" s="16" t="str">
        <f aca="false">IF(OR(S854="",L854=""),"",L854/(1-M854)-S854)</f>
        <v/>
      </c>
      <c r="U854" s="16" t="str">
        <f aca="false">IF(OR(L854="",P854=""),"",L854*(P854-1)-N854)</f>
        <v/>
      </c>
      <c r="V854" s="13"/>
      <c r="W854" s="17"/>
      <c r="X854" s="12"/>
      <c r="Y854" s="12"/>
      <c r="Z854" s="12"/>
      <c r="AA854" s="18" t="str">
        <f aca="false">IF(K854&lt;&gt;"ВИРТУАЛЬНЫЙ ВЫБОР","",IF(Z854="✅ ЗАШЛО",W854*(P854-1),IF(Z854="❌ НЕ ЗАШЛО",-W854,IF(Z854="½ ЗАШЛО",W854*(P854-1)/2,IF(Z854="½ НЕ ЗАШЛО",-W854/2,IF(Z854="ВОЗВРАТ",0,""))))))</f>
        <v/>
      </c>
      <c r="AB854" s="18" t="str">
        <f aca="false">IF(AND(K854="ВИРТУАЛЬНЫЙ ВЫБОР",OR(Z854="✅ ЗАШЛО",Z854="❌ НЕ ЗАШЛО",Z854="½ ЗАШЛО",Z854="½ НЕ ЗАШЛО",Z854="ВОЗВРАТ")),W854,"")</f>
        <v/>
      </c>
      <c r="AC854" s="15"/>
      <c r="AD854" s="16" t="str">
        <f aca="false">IF(OR(AC854="",P854=""),"",P854/AC854-1)</f>
        <v/>
      </c>
      <c r="AE854" s="19" t="str">
        <f aca="false">IF(AND(M854=0,OR(Z854="✅ ЗАШЛО",Z854="❌ НЕ ЗАШЛО"),L854&lt;&gt;""),(L854-IF(Z854="✅ ЗАШЛО",1,0))^2,"")</f>
        <v/>
      </c>
      <c r="AF854" s="15"/>
      <c r="AG854" s="15"/>
      <c r="AH854" s="13"/>
      <c r="AI854" s="13"/>
      <c r="AJ854" s="13"/>
      <c r="AK854" s="20" t="str">
        <f aca="false">IF(AH854="","",IF(ABS(AH854+AI854+AJ854-1)&lt;0.000001,"OK","ОШИБКА"))</f>
        <v/>
      </c>
      <c r="AL854" s="13"/>
      <c r="AM854" s="12"/>
      <c r="AN854" s="12"/>
      <c r="AO854" s="12"/>
      <c r="AP854" s="12"/>
      <c r="AQ854" s="18" t="str">
        <f aca="false">IF(A854="","",N(AQ853)+N(AA854))</f>
        <v/>
      </c>
      <c r="AR854" s="18" t="str">
        <f aca="false">IF(AQ854="","",MAX(0,MAX($AQ$8:AQ854))-AQ854)</f>
        <v/>
      </c>
    </row>
    <row r="855" customFormat="false" ht="15" hidden="false" customHeight="fals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3"/>
      <c r="M855" s="13"/>
      <c r="N855" s="13"/>
      <c r="O855" s="14" t="str">
        <f aca="false">IF(OR(L855="",L855=0),"",(1-M855)/L855)</f>
        <v/>
      </c>
      <c r="P855" s="15"/>
      <c r="Q855" s="12"/>
      <c r="R855" s="12"/>
      <c r="S855" s="13"/>
      <c r="T855" s="16" t="str">
        <f aca="false">IF(OR(S855="",L855=""),"",L855/(1-M855)-S855)</f>
        <v/>
      </c>
      <c r="U855" s="16" t="str">
        <f aca="false">IF(OR(L855="",P855=""),"",L855*(P855-1)-N855)</f>
        <v/>
      </c>
      <c r="V855" s="13"/>
      <c r="W855" s="17"/>
      <c r="X855" s="12"/>
      <c r="Y855" s="12"/>
      <c r="Z855" s="12"/>
      <c r="AA855" s="18" t="str">
        <f aca="false">IF(K855&lt;&gt;"ВИРТУАЛЬНЫЙ ВЫБОР","",IF(Z855="✅ ЗАШЛО",W855*(P855-1),IF(Z855="❌ НЕ ЗАШЛО",-W855,IF(Z855="½ ЗАШЛО",W855*(P855-1)/2,IF(Z855="½ НЕ ЗАШЛО",-W855/2,IF(Z855="ВОЗВРАТ",0,""))))))</f>
        <v/>
      </c>
      <c r="AB855" s="18" t="str">
        <f aca="false">IF(AND(K855="ВИРТУАЛЬНЫЙ ВЫБОР",OR(Z855="✅ ЗАШЛО",Z855="❌ НЕ ЗАШЛО",Z855="½ ЗАШЛО",Z855="½ НЕ ЗАШЛО",Z855="ВОЗВРАТ")),W855,"")</f>
        <v/>
      </c>
      <c r="AC855" s="15"/>
      <c r="AD855" s="16" t="str">
        <f aca="false">IF(OR(AC855="",P855=""),"",P855/AC855-1)</f>
        <v/>
      </c>
      <c r="AE855" s="19" t="str">
        <f aca="false">IF(AND(M855=0,OR(Z855="✅ ЗАШЛО",Z855="❌ НЕ ЗАШЛО"),L855&lt;&gt;""),(L855-IF(Z855="✅ ЗАШЛО",1,0))^2,"")</f>
        <v/>
      </c>
      <c r="AF855" s="15"/>
      <c r="AG855" s="15"/>
      <c r="AH855" s="13"/>
      <c r="AI855" s="13"/>
      <c r="AJ855" s="13"/>
      <c r="AK855" s="20" t="str">
        <f aca="false">IF(AH855="","",IF(ABS(AH855+AI855+AJ855-1)&lt;0.000001,"OK","ОШИБКА"))</f>
        <v/>
      </c>
      <c r="AL855" s="13"/>
      <c r="AM855" s="12"/>
      <c r="AN855" s="12"/>
      <c r="AO855" s="12"/>
      <c r="AP855" s="12"/>
      <c r="AQ855" s="18" t="str">
        <f aca="false">IF(A855="","",N(AQ854)+N(AA855))</f>
        <v/>
      </c>
      <c r="AR855" s="18" t="str">
        <f aca="false">IF(AQ855="","",MAX(0,MAX($AQ$8:AQ855))-AQ855)</f>
        <v/>
      </c>
    </row>
    <row r="856" customFormat="false" ht="15" hidden="false" customHeight="fals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3"/>
      <c r="M856" s="13"/>
      <c r="N856" s="13"/>
      <c r="O856" s="14" t="str">
        <f aca="false">IF(OR(L856="",L856=0),"",(1-M856)/L856)</f>
        <v/>
      </c>
      <c r="P856" s="15"/>
      <c r="Q856" s="12"/>
      <c r="R856" s="12"/>
      <c r="S856" s="13"/>
      <c r="T856" s="16" t="str">
        <f aca="false">IF(OR(S856="",L856=""),"",L856/(1-M856)-S856)</f>
        <v/>
      </c>
      <c r="U856" s="16" t="str">
        <f aca="false">IF(OR(L856="",P856=""),"",L856*(P856-1)-N856)</f>
        <v/>
      </c>
      <c r="V856" s="13"/>
      <c r="W856" s="17"/>
      <c r="X856" s="12"/>
      <c r="Y856" s="12"/>
      <c r="Z856" s="12"/>
      <c r="AA856" s="18" t="str">
        <f aca="false">IF(K856&lt;&gt;"ВИРТУАЛЬНЫЙ ВЫБОР","",IF(Z856="✅ ЗАШЛО",W856*(P856-1),IF(Z856="❌ НЕ ЗАШЛО",-W856,IF(Z856="½ ЗАШЛО",W856*(P856-1)/2,IF(Z856="½ НЕ ЗАШЛО",-W856/2,IF(Z856="ВОЗВРАТ",0,""))))))</f>
        <v/>
      </c>
      <c r="AB856" s="18" t="str">
        <f aca="false">IF(AND(K856="ВИРТУАЛЬНЫЙ ВЫБОР",OR(Z856="✅ ЗАШЛО",Z856="❌ НЕ ЗАШЛО",Z856="½ ЗАШЛО",Z856="½ НЕ ЗАШЛО",Z856="ВОЗВРАТ")),W856,"")</f>
        <v/>
      </c>
      <c r="AC856" s="15"/>
      <c r="AD856" s="16" t="str">
        <f aca="false">IF(OR(AC856="",P856=""),"",P856/AC856-1)</f>
        <v/>
      </c>
      <c r="AE856" s="19" t="str">
        <f aca="false">IF(AND(M856=0,OR(Z856="✅ ЗАШЛО",Z856="❌ НЕ ЗАШЛО"),L856&lt;&gt;""),(L856-IF(Z856="✅ ЗАШЛО",1,0))^2,"")</f>
        <v/>
      </c>
      <c r="AF856" s="15"/>
      <c r="AG856" s="15"/>
      <c r="AH856" s="13"/>
      <c r="AI856" s="13"/>
      <c r="AJ856" s="13"/>
      <c r="AK856" s="20" t="str">
        <f aca="false">IF(AH856="","",IF(ABS(AH856+AI856+AJ856-1)&lt;0.000001,"OK","ОШИБКА"))</f>
        <v/>
      </c>
      <c r="AL856" s="13"/>
      <c r="AM856" s="12"/>
      <c r="AN856" s="12"/>
      <c r="AO856" s="12"/>
      <c r="AP856" s="12"/>
      <c r="AQ856" s="18" t="str">
        <f aca="false">IF(A856="","",N(AQ855)+N(AA856))</f>
        <v/>
      </c>
      <c r="AR856" s="18" t="str">
        <f aca="false">IF(AQ856="","",MAX(0,MAX($AQ$8:AQ856))-AQ856)</f>
        <v/>
      </c>
    </row>
    <row r="857" customFormat="false" ht="15" hidden="false" customHeight="fals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3"/>
      <c r="M857" s="13"/>
      <c r="N857" s="13"/>
      <c r="O857" s="14" t="str">
        <f aca="false">IF(OR(L857="",L857=0),"",(1-M857)/L857)</f>
        <v/>
      </c>
      <c r="P857" s="15"/>
      <c r="Q857" s="12"/>
      <c r="R857" s="12"/>
      <c r="S857" s="13"/>
      <c r="T857" s="16" t="str">
        <f aca="false">IF(OR(S857="",L857=""),"",L857/(1-M857)-S857)</f>
        <v/>
      </c>
      <c r="U857" s="16" t="str">
        <f aca="false">IF(OR(L857="",P857=""),"",L857*(P857-1)-N857)</f>
        <v/>
      </c>
      <c r="V857" s="13"/>
      <c r="W857" s="17"/>
      <c r="X857" s="12"/>
      <c r="Y857" s="12"/>
      <c r="Z857" s="12"/>
      <c r="AA857" s="18" t="str">
        <f aca="false">IF(K857&lt;&gt;"ВИРТУАЛЬНЫЙ ВЫБОР","",IF(Z857="✅ ЗАШЛО",W857*(P857-1),IF(Z857="❌ НЕ ЗАШЛО",-W857,IF(Z857="½ ЗАШЛО",W857*(P857-1)/2,IF(Z857="½ НЕ ЗАШЛО",-W857/2,IF(Z857="ВОЗВРАТ",0,""))))))</f>
        <v/>
      </c>
      <c r="AB857" s="18" t="str">
        <f aca="false">IF(AND(K857="ВИРТУАЛЬНЫЙ ВЫБОР",OR(Z857="✅ ЗАШЛО",Z857="❌ НЕ ЗАШЛО",Z857="½ ЗАШЛО",Z857="½ НЕ ЗАШЛО",Z857="ВОЗВРАТ")),W857,"")</f>
        <v/>
      </c>
      <c r="AC857" s="15"/>
      <c r="AD857" s="16" t="str">
        <f aca="false">IF(OR(AC857="",P857=""),"",P857/AC857-1)</f>
        <v/>
      </c>
      <c r="AE857" s="19" t="str">
        <f aca="false">IF(AND(M857=0,OR(Z857="✅ ЗАШЛО",Z857="❌ НЕ ЗАШЛО"),L857&lt;&gt;""),(L857-IF(Z857="✅ ЗАШЛО",1,0))^2,"")</f>
        <v/>
      </c>
      <c r="AF857" s="15"/>
      <c r="AG857" s="15"/>
      <c r="AH857" s="13"/>
      <c r="AI857" s="13"/>
      <c r="AJ857" s="13"/>
      <c r="AK857" s="20" t="str">
        <f aca="false">IF(AH857="","",IF(ABS(AH857+AI857+AJ857-1)&lt;0.000001,"OK","ОШИБКА"))</f>
        <v/>
      </c>
      <c r="AL857" s="13"/>
      <c r="AM857" s="12"/>
      <c r="AN857" s="12"/>
      <c r="AO857" s="12"/>
      <c r="AP857" s="12"/>
      <c r="AQ857" s="18" t="str">
        <f aca="false">IF(A857="","",N(AQ856)+N(AA857))</f>
        <v/>
      </c>
      <c r="AR857" s="18" t="str">
        <f aca="false">IF(AQ857="","",MAX(0,MAX($AQ$8:AQ857))-AQ857)</f>
        <v/>
      </c>
    </row>
    <row r="858" customFormat="false" ht="15" hidden="false" customHeight="fals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3"/>
      <c r="M858" s="13"/>
      <c r="N858" s="13"/>
      <c r="O858" s="14" t="str">
        <f aca="false">IF(OR(L858="",L858=0),"",(1-M858)/L858)</f>
        <v/>
      </c>
      <c r="P858" s="15"/>
      <c r="Q858" s="12"/>
      <c r="R858" s="12"/>
      <c r="S858" s="13"/>
      <c r="T858" s="16" t="str">
        <f aca="false">IF(OR(S858="",L858=""),"",L858/(1-M858)-S858)</f>
        <v/>
      </c>
      <c r="U858" s="16" t="str">
        <f aca="false">IF(OR(L858="",P858=""),"",L858*(P858-1)-N858)</f>
        <v/>
      </c>
      <c r="V858" s="13"/>
      <c r="W858" s="17"/>
      <c r="X858" s="12"/>
      <c r="Y858" s="12"/>
      <c r="Z858" s="12"/>
      <c r="AA858" s="18" t="str">
        <f aca="false">IF(K858&lt;&gt;"ВИРТУАЛЬНЫЙ ВЫБОР","",IF(Z858="✅ ЗАШЛО",W858*(P858-1),IF(Z858="❌ НЕ ЗАШЛО",-W858,IF(Z858="½ ЗАШЛО",W858*(P858-1)/2,IF(Z858="½ НЕ ЗАШЛО",-W858/2,IF(Z858="ВОЗВРАТ",0,""))))))</f>
        <v/>
      </c>
      <c r="AB858" s="18" t="str">
        <f aca="false">IF(AND(K858="ВИРТУАЛЬНЫЙ ВЫБОР",OR(Z858="✅ ЗАШЛО",Z858="❌ НЕ ЗАШЛО",Z858="½ ЗАШЛО",Z858="½ НЕ ЗАШЛО",Z858="ВОЗВРАТ")),W858,"")</f>
        <v/>
      </c>
      <c r="AC858" s="15"/>
      <c r="AD858" s="16" t="str">
        <f aca="false">IF(OR(AC858="",P858=""),"",P858/AC858-1)</f>
        <v/>
      </c>
      <c r="AE858" s="19" t="str">
        <f aca="false">IF(AND(M858=0,OR(Z858="✅ ЗАШЛО",Z858="❌ НЕ ЗАШЛО"),L858&lt;&gt;""),(L858-IF(Z858="✅ ЗАШЛО",1,0))^2,"")</f>
        <v/>
      </c>
      <c r="AF858" s="15"/>
      <c r="AG858" s="15"/>
      <c r="AH858" s="13"/>
      <c r="AI858" s="13"/>
      <c r="AJ858" s="13"/>
      <c r="AK858" s="20" t="str">
        <f aca="false">IF(AH858="","",IF(ABS(AH858+AI858+AJ858-1)&lt;0.000001,"OK","ОШИБКА"))</f>
        <v/>
      </c>
      <c r="AL858" s="13"/>
      <c r="AM858" s="12"/>
      <c r="AN858" s="12"/>
      <c r="AO858" s="12"/>
      <c r="AP858" s="12"/>
      <c r="AQ858" s="18" t="str">
        <f aca="false">IF(A858="","",N(AQ857)+N(AA858))</f>
        <v/>
      </c>
      <c r="AR858" s="18" t="str">
        <f aca="false">IF(AQ858="","",MAX(0,MAX($AQ$8:AQ858))-AQ858)</f>
        <v/>
      </c>
    </row>
    <row r="859" customFormat="false" ht="15" hidden="false" customHeight="fals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3"/>
      <c r="M859" s="13"/>
      <c r="N859" s="13"/>
      <c r="O859" s="14" t="str">
        <f aca="false">IF(OR(L859="",L859=0),"",(1-M859)/L859)</f>
        <v/>
      </c>
      <c r="P859" s="15"/>
      <c r="Q859" s="12"/>
      <c r="R859" s="12"/>
      <c r="S859" s="13"/>
      <c r="T859" s="16" t="str">
        <f aca="false">IF(OR(S859="",L859=""),"",L859/(1-M859)-S859)</f>
        <v/>
      </c>
      <c r="U859" s="16" t="str">
        <f aca="false">IF(OR(L859="",P859=""),"",L859*(P859-1)-N859)</f>
        <v/>
      </c>
      <c r="V859" s="13"/>
      <c r="W859" s="17"/>
      <c r="X859" s="12"/>
      <c r="Y859" s="12"/>
      <c r="Z859" s="12"/>
      <c r="AA859" s="18" t="str">
        <f aca="false">IF(K859&lt;&gt;"ВИРТУАЛЬНЫЙ ВЫБОР","",IF(Z859="✅ ЗАШЛО",W859*(P859-1),IF(Z859="❌ НЕ ЗАШЛО",-W859,IF(Z859="½ ЗАШЛО",W859*(P859-1)/2,IF(Z859="½ НЕ ЗАШЛО",-W859/2,IF(Z859="ВОЗВРАТ",0,""))))))</f>
        <v/>
      </c>
      <c r="AB859" s="18" t="str">
        <f aca="false">IF(AND(K859="ВИРТУАЛЬНЫЙ ВЫБОР",OR(Z859="✅ ЗАШЛО",Z859="❌ НЕ ЗАШЛО",Z859="½ ЗАШЛО",Z859="½ НЕ ЗАШЛО",Z859="ВОЗВРАТ")),W859,"")</f>
        <v/>
      </c>
      <c r="AC859" s="15"/>
      <c r="AD859" s="16" t="str">
        <f aca="false">IF(OR(AC859="",P859=""),"",P859/AC859-1)</f>
        <v/>
      </c>
      <c r="AE859" s="19" t="str">
        <f aca="false">IF(AND(M859=0,OR(Z859="✅ ЗАШЛО",Z859="❌ НЕ ЗАШЛО"),L859&lt;&gt;""),(L859-IF(Z859="✅ ЗАШЛО",1,0))^2,"")</f>
        <v/>
      </c>
      <c r="AF859" s="15"/>
      <c r="AG859" s="15"/>
      <c r="AH859" s="13"/>
      <c r="AI859" s="13"/>
      <c r="AJ859" s="13"/>
      <c r="AK859" s="20" t="str">
        <f aca="false">IF(AH859="","",IF(ABS(AH859+AI859+AJ859-1)&lt;0.000001,"OK","ОШИБКА"))</f>
        <v/>
      </c>
      <c r="AL859" s="13"/>
      <c r="AM859" s="12"/>
      <c r="AN859" s="12"/>
      <c r="AO859" s="12"/>
      <c r="AP859" s="12"/>
      <c r="AQ859" s="18" t="str">
        <f aca="false">IF(A859="","",N(AQ858)+N(AA859))</f>
        <v/>
      </c>
      <c r="AR859" s="18" t="str">
        <f aca="false">IF(AQ859="","",MAX(0,MAX($AQ$8:AQ859))-AQ859)</f>
        <v/>
      </c>
    </row>
    <row r="860" customFormat="false" ht="15" hidden="false" customHeight="fals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3"/>
      <c r="M860" s="13"/>
      <c r="N860" s="13"/>
      <c r="O860" s="14" t="str">
        <f aca="false">IF(OR(L860="",L860=0),"",(1-M860)/L860)</f>
        <v/>
      </c>
      <c r="P860" s="15"/>
      <c r="Q860" s="12"/>
      <c r="R860" s="12"/>
      <c r="S860" s="13"/>
      <c r="T860" s="16" t="str">
        <f aca="false">IF(OR(S860="",L860=""),"",L860/(1-M860)-S860)</f>
        <v/>
      </c>
      <c r="U860" s="16" t="str">
        <f aca="false">IF(OR(L860="",P860=""),"",L860*(P860-1)-N860)</f>
        <v/>
      </c>
      <c r="V860" s="13"/>
      <c r="W860" s="17"/>
      <c r="X860" s="12"/>
      <c r="Y860" s="12"/>
      <c r="Z860" s="12"/>
      <c r="AA860" s="18" t="str">
        <f aca="false">IF(K860&lt;&gt;"ВИРТУАЛЬНЫЙ ВЫБОР","",IF(Z860="✅ ЗАШЛО",W860*(P860-1),IF(Z860="❌ НЕ ЗАШЛО",-W860,IF(Z860="½ ЗАШЛО",W860*(P860-1)/2,IF(Z860="½ НЕ ЗАШЛО",-W860/2,IF(Z860="ВОЗВРАТ",0,""))))))</f>
        <v/>
      </c>
      <c r="AB860" s="18" t="str">
        <f aca="false">IF(AND(K860="ВИРТУАЛЬНЫЙ ВЫБОР",OR(Z860="✅ ЗАШЛО",Z860="❌ НЕ ЗАШЛО",Z860="½ ЗАШЛО",Z860="½ НЕ ЗАШЛО",Z860="ВОЗВРАТ")),W860,"")</f>
        <v/>
      </c>
      <c r="AC860" s="15"/>
      <c r="AD860" s="16" t="str">
        <f aca="false">IF(OR(AC860="",P860=""),"",P860/AC860-1)</f>
        <v/>
      </c>
      <c r="AE860" s="19" t="str">
        <f aca="false">IF(AND(M860=0,OR(Z860="✅ ЗАШЛО",Z860="❌ НЕ ЗАШЛО"),L860&lt;&gt;""),(L860-IF(Z860="✅ ЗАШЛО",1,0))^2,"")</f>
        <v/>
      </c>
      <c r="AF860" s="15"/>
      <c r="AG860" s="15"/>
      <c r="AH860" s="13"/>
      <c r="AI860" s="13"/>
      <c r="AJ860" s="13"/>
      <c r="AK860" s="20" t="str">
        <f aca="false">IF(AH860="","",IF(ABS(AH860+AI860+AJ860-1)&lt;0.000001,"OK","ОШИБКА"))</f>
        <v/>
      </c>
      <c r="AL860" s="13"/>
      <c r="AM860" s="12"/>
      <c r="AN860" s="12"/>
      <c r="AO860" s="12"/>
      <c r="AP860" s="12"/>
      <c r="AQ860" s="18" t="str">
        <f aca="false">IF(A860="","",N(AQ859)+N(AA860))</f>
        <v/>
      </c>
      <c r="AR860" s="18" t="str">
        <f aca="false">IF(AQ860="","",MAX(0,MAX($AQ$8:AQ860))-AQ860)</f>
        <v/>
      </c>
    </row>
    <row r="861" customFormat="false" ht="15" hidden="false" customHeight="fals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3"/>
      <c r="M861" s="13"/>
      <c r="N861" s="13"/>
      <c r="O861" s="14" t="str">
        <f aca="false">IF(OR(L861="",L861=0),"",(1-M861)/L861)</f>
        <v/>
      </c>
      <c r="P861" s="15"/>
      <c r="Q861" s="12"/>
      <c r="R861" s="12"/>
      <c r="S861" s="13"/>
      <c r="T861" s="16" t="str">
        <f aca="false">IF(OR(S861="",L861=""),"",L861/(1-M861)-S861)</f>
        <v/>
      </c>
      <c r="U861" s="16" t="str">
        <f aca="false">IF(OR(L861="",P861=""),"",L861*(P861-1)-N861)</f>
        <v/>
      </c>
      <c r="V861" s="13"/>
      <c r="W861" s="17"/>
      <c r="X861" s="12"/>
      <c r="Y861" s="12"/>
      <c r="Z861" s="12"/>
      <c r="AA861" s="18" t="str">
        <f aca="false">IF(K861&lt;&gt;"ВИРТУАЛЬНЫЙ ВЫБОР","",IF(Z861="✅ ЗАШЛО",W861*(P861-1),IF(Z861="❌ НЕ ЗАШЛО",-W861,IF(Z861="½ ЗАШЛО",W861*(P861-1)/2,IF(Z861="½ НЕ ЗАШЛО",-W861/2,IF(Z861="ВОЗВРАТ",0,""))))))</f>
        <v/>
      </c>
      <c r="AB861" s="18" t="str">
        <f aca="false">IF(AND(K861="ВИРТУАЛЬНЫЙ ВЫБОР",OR(Z861="✅ ЗАШЛО",Z861="❌ НЕ ЗАШЛО",Z861="½ ЗАШЛО",Z861="½ НЕ ЗАШЛО",Z861="ВОЗВРАТ")),W861,"")</f>
        <v/>
      </c>
      <c r="AC861" s="15"/>
      <c r="AD861" s="16" t="str">
        <f aca="false">IF(OR(AC861="",P861=""),"",P861/AC861-1)</f>
        <v/>
      </c>
      <c r="AE861" s="19" t="str">
        <f aca="false">IF(AND(M861=0,OR(Z861="✅ ЗАШЛО",Z861="❌ НЕ ЗАШЛО"),L861&lt;&gt;""),(L861-IF(Z861="✅ ЗАШЛО",1,0))^2,"")</f>
        <v/>
      </c>
      <c r="AF861" s="15"/>
      <c r="AG861" s="15"/>
      <c r="AH861" s="13"/>
      <c r="AI861" s="13"/>
      <c r="AJ861" s="13"/>
      <c r="AK861" s="20" t="str">
        <f aca="false">IF(AH861="","",IF(ABS(AH861+AI861+AJ861-1)&lt;0.000001,"OK","ОШИБКА"))</f>
        <v/>
      </c>
      <c r="AL861" s="13"/>
      <c r="AM861" s="12"/>
      <c r="AN861" s="12"/>
      <c r="AO861" s="12"/>
      <c r="AP861" s="12"/>
      <c r="AQ861" s="18" t="str">
        <f aca="false">IF(A861="","",N(AQ860)+N(AA861))</f>
        <v/>
      </c>
      <c r="AR861" s="18" t="str">
        <f aca="false">IF(AQ861="","",MAX(0,MAX($AQ$8:AQ861))-AQ861)</f>
        <v/>
      </c>
    </row>
    <row r="862" customFormat="false" ht="15" hidden="false" customHeight="fals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3"/>
      <c r="M862" s="13"/>
      <c r="N862" s="13"/>
      <c r="O862" s="14" t="str">
        <f aca="false">IF(OR(L862="",L862=0),"",(1-M862)/L862)</f>
        <v/>
      </c>
      <c r="P862" s="15"/>
      <c r="Q862" s="12"/>
      <c r="R862" s="12"/>
      <c r="S862" s="13"/>
      <c r="T862" s="16" t="str">
        <f aca="false">IF(OR(S862="",L862=""),"",L862/(1-M862)-S862)</f>
        <v/>
      </c>
      <c r="U862" s="16" t="str">
        <f aca="false">IF(OR(L862="",P862=""),"",L862*(P862-1)-N862)</f>
        <v/>
      </c>
      <c r="V862" s="13"/>
      <c r="W862" s="17"/>
      <c r="X862" s="12"/>
      <c r="Y862" s="12"/>
      <c r="Z862" s="12"/>
      <c r="AA862" s="18" t="str">
        <f aca="false">IF(K862&lt;&gt;"ВИРТУАЛЬНЫЙ ВЫБОР","",IF(Z862="✅ ЗАШЛО",W862*(P862-1),IF(Z862="❌ НЕ ЗАШЛО",-W862,IF(Z862="½ ЗАШЛО",W862*(P862-1)/2,IF(Z862="½ НЕ ЗАШЛО",-W862/2,IF(Z862="ВОЗВРАТ",0,""))))))</f>
        <v/>
      </c>
      <c r="AB862" s="18" t="str">
        <f aca="false">IF(AND(K862="ВИРТУАЛЬНЫЙ ВЫБОР",OR(Z862="✅ ЗАШЛО",Z862="❌ НЕ ЗАШЛО",Z862="½ ЗАШЛО",Z862="½ НЕ ЗАШЛО",Z862="ВОЗВРАТ")),W862,"")</f>
        <v/>
      </c>
      <c r="AC862" s="15"/>
      <c r="AD862" s="16" t="str">
        <f aca="false">IF(OR(AC862="",P862=""),"",P862/AC862-1)</f>
        <v/>
      </c>
      <c r="AE862" s="19" t="str">
        <f aca="false">IF(AND(M862=0,OR(Z862="✅ ЗАШЛО",Z862="❌ НЕ ЗАШЛО"),L862&lt;&gt;""),(L862-IF(Z862="✅ ЗАШЛО",1,0))^2,"")</f>
        <v/>
      </c>
      <c r="AF862" s="15"/>
      <c r="AG862" s="15"/>
      <c r="AH862" s="13"/>
      <c r="AI862" s="13"/>
      <c r="AJ862" s="13"/>
      <c r="AK862" s="20" t="str">
        <f aca="false">IF(AH862="","",IF(ABS(AH862+AI862+AJ862-1)&lt;0.000001,"OK","ОШИБКА"))</f>
        <v/>
      </c>
      <c r="AL862" s="13"/>
      <c r="AM862" s="12"/>
      <c r="AN862" s="12"/>
      <c r="AO862" s="12"/>
      <c r="AP862" s="12"/>
      <c r="AQ862" s="18" t="str">
        <f aca="false">IF(A862="","",N(AQ861)+N(AA862))</f>
        <v/>
      </c>
      <c r="AR862" s="18" t="str">
        <f aca="false">IF(AQ862="","",MAX(0,MAX($AQ$8:AQ862))-AQ862)</f>
        <v/>
      </c>
    </row>
    <row r="863" customFormat="false" ht="15" hidden="false" customHeight="fals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3"/>
      <c r="M863" s="13"/>
      <c r="N863" s="13"/>
      <c r="O863" s="14" t="str">
        <f aca="false">IF(OR(L863="",L863=0),"",(1-M863)/L863)</f>
        <v/>
      </c>
      <c r="P863" s="15"/>
      <c r="Q863" s="12"/>
      <c r="R863" s="12"/>
      <c r="S863" s="13"/>
      <c r="T863" s="16" t="str">
        <f aca="false">IF(OR(S863="",L863=""),"",L863/(1-M863)-S863)</f>
        <v/>
      </c>
      <c r="U863" s="16" t="str">
        <f aca="false">IF(OR(L863="",P863=""),"",L863*(P863-1)-N863)</f>
        <v/>
      </c>
      <c r="V863" s="13"/>
      <c r="W863" s="17"/>
      <c r="X863" s="12"/>
      <c r="Y863" s="12"/>
      <c r="Z863" s="12"/>
      <c r="AA863" s="18" t="str">
        <f aca="false">IF(K863&lt;&gt;"ВИРТУАЛЬНЫЙ ВЫБОР","",IF(Z863="✅ ЗАШЛО",W863*(P863-1),IF(Z863="❌ НЕ ЗАШЛО",-W863,IF(Z863="½ ЗАШЛО",W863*(P863-1)/2,IF(Z863="½ НЕ ЗАШЛО",-W863/2,IF(Z863="ВОЗВРАТ",0,""))))))</f>
        <v/>
      </c>
      <c r="AB863" s="18" t="str">
        <f aca="false">IF(AND(K863="ВИРТУАЛЬНЫЙ ВЫБОР",OR(Z863="✅ ЗАШЛО",Z863="❌ НЕ ЗАШЛО",Z863="½ ЗАШЛО",Z863="½ НЕ ЗАШЛО",Z863="ВОЗВРАТ")),W863,"")</f>
        <v/>
      </c>
      <c r="AC863" s="15"/>
      <c r="AD863" s="16" t="str">
        <f aca="false">IF(OR(AC863="",P863=""),"",P863/AC863-1)</f>
        <v/>
      </c>
      <c r="AE863" s="19" t="str">
        <f aca="false">IF(AND(M863=0,OR(Z863="✅ ЗАШЛО",Z863="❌ НЕ ЗАШЛО"),L863&lt;&gt;""),(L863-IF(Z863="✅ ЗАШЛО",1,0))^2,"")</f>
        <v/>
      </c>
      <c r="AF863" s="15"/>
      <c r="AG863" s="15"/>
      <c r="AH863" s="13"/>
      <c r="AI863" s="13"/>
      <c r="AJ863" s="13"/>
      <c r="AK863" s="20" t="str">
        <f aca="false">IF(AH863="","",IF(ABS(AH863+AI863+AJ863-1)&lt;0.000001,"OK","ОШИБКА"))</f>
        <v/>
      </c>
      <c r="AL863" s="13"/>
      <c r="AM863" s="12"/>
      <c r="AN863" s="12"/>
      <c r="AO863" s="12"/>
      <c r="AP863" s="12"/>
      <c r="AQ863" s="18" t="str">
        <f aca="false">IF(A863="","",N(AQ862)+N(AA863))</f>
        <v/>
      </c>
      <c r="AR863" s="18" t="str">
        <f aca="false">IF(AQ863="","",MAX(0,MAX($AQ$8:AQ863))-AQ863)</f>
        <v/>
      </c>
    </row>
    <row r="864" customFormat="false" ht="15" hidden="false" customHeight="fals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3"/>
      <c r="M864" s="13"/>
      <c r="N864" s="13"/>
      <c r="O864" s="14" t="str">
        <f aca="false">IF(OR(L864="",L864=0),"",(1-M864)/L864)</f>
        <v/>
      </c>
      <c r="P864" s="15"/>
      <c r="Q864" s="12"/>
      <c r="R864" s="12"/>
      <c r="S864" s="13"/>
      <c r="T864" s="16" t="str">
        <f aca="false">IF(OR(S864="",L864=""),"",L864/(1-M864)-S864)</f>
        <v/>
      </c>
      <c r="U864" s="16" t="str">
        <f aca="false">IF(OR(L864="",P864=""),"",L864*(P864-1)-N864)</f>
        <v/>
      </c>
      <c r="V864" s="13"/>
      <c r="W864" s="17"/>
      <c r="X864" s="12"/>
      <c r="Y864" s="12"/>
      <c r="Z864" s="12"/>
      <c r="AA864" s="18" t="str">
        <f aca="false">IF(K864&lt;&gt;"ВИРТУАЛЬНЫЙ ВЫБОР","",IF(Z864="✅ ЗАШЛО",W864*(P864-1),IF(Z864="❌ НЕ ЗАШЛО",-W864,IF(Z864="½ ЗАШЛО",W864*(P864-1)/2,IF(Z864="½ НЕ ЗАШЛО",-W864/2,IF(Z864="ВОЗВРАТ",0,""))))))</f>
        <v/>
      </c>
      <c r="AB864" s="18" t="str">
        <f aca="false">IF(AND(K864="ВИРТУАЛЬНЫЙ ВЫБОР",OR(Z864="✅ ЗАШЛО",Z864="❌ НЕ ЗАШЛО",Z864="½ ЗАШЛО",Z864="½ НЕ ЗАШЛО",Z864="ВОЗВРАТ")),W864,"")</f>
        <v/>
      </c>
      <c r="AC864" s="15"/>
      <c r="AD864" s="16" t="str">
        <f aca="false">IF(OR(AC864="",P864=""),"",P864/AC864-1)</f>
        <v/>
      </c>
      <c r="AE864" s="19" t="str">
        <f aca="false">IF(AND(M864=0,OR(Z864="✅ ЗАШЛО",Z864="❌ НЕ ЗАШЛО"),L864&lt;&gt;""),(L864-IF(Z864="✅ ЗАШЛО",1,0))^2,"")</f>
        <v/>
      </c>
      <c r="AF864" s="15"/>
      <c r="AG864" s="15"/>
      <c r="AH864" s="13"/>
      <c r="AI864" s="13"/>
      <c r="AJ864" s="13"/>
      <c r="AK864" s="20" t="str">
        <f aca="false">IF(AH864="","",IF(ABS(AH864+AI864+AJ864-1)&lt;0.000001,"OK","ОШИБКА"))</f>
        <v/>
      </c>
      <c r="AL864" s="13"/>
      <c r="AM864" s="12"/>
      <c r="AN864" s="12"/>
      <c r="AO864" s="12"/>
      <c r="AP864" s="12"/>
      <c r="AQ864" s="18" t="str">
        <f aca="false">IF(A864="","",N(AQ863)+N(AA864))</f>
        <v/>
      </c>
      <c r="AR864" s="18" t="str">
        <f aca="false">IF(AQ864="","",MAX(0,MAX($AQ$8:AQ864))-AQ864)</f>
        <v/>
      </c>
    </row>
    <row r="865" customFormat="false" ht="15" hidden="false" customHeight="fals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3"/>
      <c r="M865" s="13"/>
      <c r="N865" s="13"/>
      <c r="O865" s="14" t="str">
        <f aca="false">IF(OR(L865="",L865=0),"",(1-M865)/L865)</f>
        <v/>
      </c>
      <c r="P865" s="15"/>
      <c r="Q865" s="12"/>
      <c r="R865" s="12"/>
      <c r="S865" s="13"/>
      <c r="T865" s="16" t="str">
        <f aca="false">IF(OR(S865="",L865=""),"",L865/(1-M865)-S865)</f>
        <v/>
      </c>
      <c r="U865" s="16" t="str">
        <f aca="false">IF(OR(L865="",P865=""),"",L865*(P865-1)-N865)</f>
        <v/>
      </c>
      <c r="V865" s="13"/>
      <c r="W865" s="17"/>
      <c r="X865" s="12"/>
      <c r="Y865" s="12"/>
      <c r="Z865" s="12"/>
      <c r="AA865" s="18" t="str">
        <f aca="false">IF(K865&lt;&gt;"ВИРТУАЛЬНЫЙ ВЫБОР","",IF(Z865="✅ ЗАШЛО",W865*(P865-1),IF(Z865="❌ НЕ ЗАШЛО",-W865,IF(Z865="½ ЗАШЛО",W865*(P865-1)/2,IF(Z865="½ НЕ ЗАШЛО",-W865/2,IF(Z865="ВОЗВРАТ",0,""))))))</f>
        <v/>
      </c>
      <c r="AB865" s="18" t="str">
        <f aca="false">IF(AND(K865="ВИРТУАЛЬНЫЙ ВЫБОР",OR(Z865="✅ ЗАШЛО",Z865="❌ НЕ ЗАШЛО",Z865="½ ЗАШЛО",Z865="½ НЕ ЗАШЛО",Z865="ВОЗВРАТ")),W865,"")</f>
        <v/>
      </c>
      <c r="AC865" s="15"/>
      <c r="AD865" s="16" t="str">
        <f aca="false">IF(OR(AC865="",P865=""),"",P865/AC865-1)</f>
        <v/>
      </c>
      <c r="AE865" s="19" t="str">
        <f aca="false">IF(AND(M865=0,OR(Z865="✅ ЗАШЛО",Z865="❌ НЕ ЗАШЛО"),L865&lt;&gt;""),(L865-IF(Z865="✅ ЗАШЛО",1,0))^2,"")</f>
        <v/>
      </c>
      <c r="AF865" s="15"/>
      <c r="AG865" s="15"/>
      <c r="AH865" s="13"/>
      <c r="AI865" s="13"/>
      <c r="AJ865" s="13"/>
      <c r="AK865" s="20" t="str">
        <f aca="false">IF(AH865="","",IF(ABS(AH865+AI865+AJ865-1)&lt;0.000001,"OK","ОШИБКА"))</f>
        <v/>
      </c>
      <c r="AL865" s="13"/>
      <c r="AM865" s="12"/>
      <c r="AN865" s="12"/>
      <c r="AO865" s="12"/>
      <c r="AP865" s="12"/>
      <c r="AQ865" s="18" t="str">
        <f aca="false">IF(A865="","",N(AQ864)+N(AA865))</f>
        <v/>
      </c>
      <c r="AR865" s="18" t="str">
        <f aca="false">IF(AQ865="","",MAX(0,MAX($AQ$8:AQ865))-AQ865)</f>
        <v/>
      </c>
    </row>
    <row r="866" customFormat="false" ht="15" hidden="false" customHeight="fals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3"/>
      <c r="M866" s="13"/>
      <c r="N866" s="13"/>
      <c r="O866" s="14" t="str">
        <f aca="false">IF(OR(L866="",L866=0),"",(1-M866)/L866)</f>
        <v/>
      </c>
      <c r="P866" s="15"/>
      <c r="Q866" s="12"/>
      <c r="R866" s="12"/>
      <c r="S866" s="13"/>
      <c r="T866" s="16" t="str">
        <f aca="false">IF(OR(S866="",L866=""),"",L866/(1-M866)-S866)</f>
        <v/>
      </c>
      <c r="U866" s="16" t="str">
        <f aca="false">IF(OR(L866="",P866=""),"",L866*(P866-1)-N866)</f>
        <v/>
      </c>
      <c r="V866" s="13"/>
      <c r="W866" s="17"/>
      <c r="X866" s="12"/>
      <c r="Y866" s="12"/>
      <c r="Z866" s="12"/>
      <c r="AA866" s="18" t="str">
        <f aca="false">IF(K866&lt;&gt;"ВИРТУАЛЬНЫЙ ВЫБОР","",IF(Z866="✅ ЗАШЛО",W866*(P866-1),IF(Z866="❌ НЕ ЗАШЛО",-W866,IF(Z866="½ ЗАШЛО",W866*(P866-1)/2,IF(Z866="½ НЕ ЗАШЛО",-W866/2,IF(Z866="ВОЗВРАТ",0,""))))))</f>
        <v/>
      </c>
      <c r="AB866" s="18" t="str">
        <f aca="false">IF(AND(K866="ВИРТУАЛЬНЫЙ ВЫБОР",OR(Z866="✅ ЗАШЛО",Z866="❌ НЕ ЗАШЛО",Z866="½ ЗАШЛО",Z866="½ НЕ ЗАШЛО",Z866="ВОЗВРАТ")),W866,"")</f>
        <v/>
      </c>
      <c r="AC866" s="15"/>
      <c r="AD866" s="16" t="str">
        <f aca="false">IF(OR(AC866="",P866=""),"",P866/AC866-1)</f>
        <v/>
      </c>
      <c r="AE866" s="19" t="str">
        <f aca="false">IF(AND(M866=0,OR(Z866="✅ ЗАШЛО",Z866="❌ НЕ ЗАШЛО"),L866&lt;&gt;""),(L866-IF(Z866="✅ ЗАШЛО",1,0))^2,"")</f>
        <v/>
      </c>
      <c r="AF866" s="15"/>
      <c r="AG866" s="15"/>
      <c r="AH866" s="13"/>
      <c r="AI866" s="13"/>
      <c r="AJ866" s="13"/>
      <c r="AK866" s="20" t="str">
        <f aca="false">IF(AH866="","",IF(ABS(AH866+AI866+AJ866-1)&lt;0.000001,"OK","ОШИБКА"))</f>
        <v/>
      </c>
      <c r="AL866" s="13"/>
      <c r="AM866" s="12"/>
      <c r="AN866" s="12"/>
      <c r="AO866" s="12"/>
      <c r="AP866" s="12"/>
      <c r="AQ866" s="18" t="str">
        <f aca="false">IF(A866="","",N(AQ865)+N(AA866))</f>
        <v/>
      </c>
      <c r="AR866" s="18" t="str">
        <f aca="false">IF(AQ866="","",MAX(0,MAX($AQ$8:AQ866))-AQ866)</f>
        <v/>
      </c>
    </row>
    <row r="867" customFormat="false" ht="15" hidden="false" customHeight="fals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3"/>
      <c r="M867" s="13"/>
      <c r="N867" s="13"/>
      <c r="O867" s="14" t="str">
        <f aca="false">IF(OR(L867="",L867=0),"",(1-M867)/L867)</f>
        <v/>
      </c>
      <c r="P867" s="15"/>
      <c r="Q867" s="12"/>
      <c r="R867" s="12"/>
      <c r="S867" s="13"/>
      <c r="T867" s="16" t="str">
        <f aca="false">IF(OR(S867="",L867=""),"",L867/(1-M867)-S867)</f>
        <v/>
      </c>
      <c r="U867" s="16" t="str">
        <f aca="false">IF(OR(L867="",P867=""),"",L867*(P867-1)-N867)</f>
        <v/>
      </c>
      <c r="V867" s="13"/>
      <c r="W867" s="17"/>
      <c r="X867" s="12"/>
      <c r="Y867" s="12"/>
      <c r="Z867" s="12"/>
      <c r="AA867" s="18" t="str">
        <f aca="false">IF(K867&lt;&gt;"ВИРТУАЛЬНЫЙ ВЫБОР","",IF(Z867="✅ ЗАШЛО",W867*(P867-1),IF(Z867="❌ НЕ ЗАШЛО",-W867,IF(Z867="½ ЗАШЛО",W867*(P867-1)/2,IF(Z867="½ НЕ ЗАШЛО",-W867/2,IF(Z867="ВОЗВРАТ",0,""))))))</f>
        <v/>
      </c>
      <c r="AB867" s="18" t="str">
        <f aca="false">IF(AND(K867="ВИРТУАЛЬНЫЙ ВЫБОР",OR(Z867="✅ ЗАШЛО",Z867="❌ НЕ ЗАШЛО",Z867="½ ЗАШЛО",Z867="½ НЕ ЗАШЛО",Z867="ВОЗВРАТ")),W867,"")</f>
        <v/>
      </c>
      <c r="AC867" s="15"/>
      <c r="AD867" s="16" t="str">
        <f aca="false">IF(OR(AC867="",P867=""),"",P867/AC867-1)</f>
        <v/>
      </c>
      <c r="AE867" s="19" t="str">
        <f aca="false">IF(AND(M867=0,OR(Z867="✅ ЗАШЛО",Z867="❌ НЕ ЗАШЛО"),L867&lt;&gt;""),(L867-IF(Z867="✅ ЗАШЛО",1,0))^2,"")</f>
        <v/>
      </c>
      <c r="AF867" s="15"/>
      <c r="AG867" s="15"/>
      <c r="AH867" s="13"/>
      <c r="AI867" s="13"/>
      <c r="AJ867" s="13"/>
      <c r="AK867" s="20" t="str">
        <f aca="false">IF(AH867="","",IF(ABS(AH867+AI867+AJ867-1)&lt;0.000001,"OK","ОШИБКА"))</f>
        <v/>
      </c>
      <c r="AL867" s="13"/>
      <c r="AM867" s="12"/>
      <c r="AN867" s="12"/>
      <c r="AO867" s="12"/>
      <c r="AP867" s="12"/>
      <c r="AQ867" s="18" t="str">
        <f aca="false">IF(A867="","",N(AQ866)+N(AA867))</f>
        <v/>
      </c>
      <c r="AR867" s="18" t="str">
        <f aca="false">IF(AQ867="","",MAX(0,MAX($AQ$8:AQ867))-AQ867)</f>
        <v/>
      </c>
    </row>
    <row r="868" customFormat="false" ht="15" hidden="false" customHeight="fals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3"/>
      <c r="M868" s="13"/>
      <c r="N868" s="13"/>
      <c r="O868" s="14" t="str">
        <f aca="false">IF(OR(L868="",L868=0),"",(1-M868)/L868)</f>
        <v/>
      </c>
      <c r="P868" s="15"/>
      <c r="Q868" s="12"/>
      <c r="R868" s="12"/>
      <c r="S868" s="13"/>
      <c r="T868" s="16" t="str">
        <f aca="false">IF(OR(S868="",L868=""),"",L868/(1-M868)-S868)</f>
        <v/>
      </c>
      <c r="U868" s="16" t="str">
        <f aca="false">IF(OR(L868="",P868=""),"",L868*(P868-1)-N868)</f>
        <v/>
      </c>
      <c r="V868" s="13"/>
      <c r="W868" s="17"/>
      <c r="X868" s="12"/>
      <c r="Y868" s="12"/>
      <c r="Z868" s="12"/>
      <c r="AA868" s="18" t="str">
        <f aca="false">IF(K868&lt;&gt;"ВИРТУАЛЬНЫЙ ВЫБОР","",IF(Z868="✅ ЗАШЛО",W868*(P868-1),IF(Z868="❌ НЕ ЗАШЛО",-W868,IF(Z868="½ ЗАШЛО",W868*(P868-1)/2,IF(Z868="½ НЕ ЗАШЛО",-W868/2,IF(Z868="ВОЗВРАТ",0,""))))))</f>
        <v/>
      </c>
      <c r="AB868" s="18" t="str">
        <f aca="false">IF(AND(K868="ВИРТУАЛЬНЫЙ ВЫБОР",OR(Z868="✅ ЗАШЛО",Z868="❌ НЕ ЗАШЛО",Z868="½ ЗАШЛО",Z868="½ НЕ ЗАШЛО",Z868="ВОЗВРАТ")),W868,"")</f>
        <v/>
      </c>
      <c r="AC868" s="15"/>
      <c r="AD868" s="16" t="str">
        <f aca="false">IF(OR(AC868="",P868=""),"",P868/AC868-1)</f>
        <v/>
      </c>
      <c r="AE868" s="19" t="str">
        <f aca="false">IF(AND(M868=0,OR(Z868="✅ ЗАШЛО",Z868="❌ НЕ ЗАШЛО"),L868&lt;&gt;""),(L868-IF(Z868="✅ ЗАШЛО",1,0))^2,"")</f>
        <v/>
      </c>
      <c r="AF868" s="15"/>
      <c r="AG868" s="15"/>
      <c r="AH868" s="13"/>
      <c r="AI868" s="13"/>
      <c r="AJ868" s="13"/>
      <c r="AK868" s="20" t="str">
        <f aca="false">IF(AH868="","",IF(ABS(AH868+AI868+AJ868-1)&lt;0.000001,"OK","ОШИБКА"))</f>
        <v/>
      </c>
      <c r="AL868" s="13"/>
      <c r="AM868" s="12"/>
      <c r="AN868" s="12"/>
      <c r="AO868" s="12"/>
      <c r="AP868" s="12"/>
      <c r="AQ868" s="18" t="str">
        <f aca="false">IF(A868="","",N(AQ867)+N(AA868))</f>
        <v/>
      </c>
      <c r="AR868" s="18" t="str">
        <f aca="false">IF(AQ868="","",MAX(0,MAX($AQ$8:AQ868))-AQ868)</f>
        <v/>
      </c>
    </row>
    <row r="869" customFormat="false" ht="15" hidden="false" customHeight="fals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3"/>
      <c r="M869" s="13"/>
      <c r="N869" s="13"/>
      <c r="O869" s="14" t="str">
        <f aca="false">IF(OR(L869="",L869=0),"",(1-M869)/L869)</f>
        <v/>
      </c>
      <c r="P869" s="15"/>
      <c r="Q869" s="12"/>
      <c r="R869" s="12"/>
      <c r="S869" s="13"/>
      <c r="T869" s="16" t="str">
        <f aca="false">IF(OR(S869="",L869=""),"",L869/(1-M869)-S869)</f>
        <v/>
      </c>
      <c r="U869" s="16" t="str">
        <f aca="false">IF(OR(L869="",P869=""),"",L869*(P869-1)-N869)</f>
        <v/>
      </c>
      <c r="V869" s="13"/>
      <c r="W869" s="17"/>
      <c r="X869" s="12"/>
      <c r="Y869" s="12"/>
      <c r="Z869" s="12"/>
      <c r="AA869" s="18" t="str">
        <f aca="false">IF(K869&lt;&gt;"ВИРТУАЛЬНЫЙ ВЫБОР","",IF(Z869="✅ ЗАШЛО",W869*(P869-1),IF(Z869="❌ НЕ ЗАШЛО",-W869,IF(Z869="½ ЗАШЛО",W869*(P869-1)/2,IF(Z869="½ НЕ ЗАШЛО",-W869/2,IF(Z869="ВОЗВРАТ",0,""))))))</f>
        <v/>
      </c>
      <c r="AB869" s="18" t="str">
        <f aca="false">IF(AND(K869="ВИРТУАЛЬНЫЙ ВЫБОР",OR(Z869="✅ ЗАШЛО",Z869="❌ НЕ ЗАШЛО",Z869="½ ЗАШЛО",Z869="½ НЕ ЗАШЛО",Z869="ВОЗВРАТ")),W869,"")</f>
        <v/>
      </c>
      <c r="AC869" s="15"/>
      <c r="AD869" s="16" t="str">
        <f aca="false">IF(OR(AC869="",P869=""),"",P869/AC869-1)</f>
        <v/>
      </c>
      <c r="AE869" s="19" t="str">
        <f aca="false">IF(AND(M869=0,OR(Z869="✅ ЗАШЛО",Z869="❌ НЕ ЗАШЛО"),L869&lt;&gt;""),(L869-IF(Z869="✅ ЗАШЛО",1,0))^2,"")</f>
        <v/>
      </c>
      <c r="AF869" s="15"/>
      <c r="AG869" s="15"/>
      <c r="AH869" s="13"/>
      <c r="AI869" s="13"/>
      <c r="AJ869" s="13"/>
      <c r="AK869" s="20" t="str">
        <f aca="false">IF(AH869="","",IF(ABS(AH869+AI869+AJ869-1)&lt;0.000001,"OK","ОШИБКА"))</f>
        <v/>
      </c>
      <c r="AL869" s="13"/>
      <c r="AM869" s="12"/>
      <c r="AN869" s="12"/>
      <c r="AO869" s="12"/>
      <c r="AP869" s="12"/>
      <c r="AQ869" s="18" t="str">
        <f aca="false">IF(A869="","",N(AQ868)+N(AA869))</f>
        <v/>
      </c>
      <c r="AR869" s="18" t="str">
        <f aca="false">IF(AQ869="","",MAX(0,MAX($AQ$8:AQ869))-AQ869)</f>
        <v/>
      </c>
    </row>
    <row r="870" customFormat="false" ht="15" hidden="false" customHeight="fals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3"/>
      <c r="M870" s="13"/>
      <c r="N870" s="13"/>
      <c r="O870" s="14" t="str">
        <f aca="false">IF(OR(L870="",L870=0),"",(1-M870)/L870)</f>
        <v/>
      </c>
      <c r="P870" s="15"/>
      <c r="Q870" s="12"/>
      <c r="R870" s="12"/>
      <c r="S870" s="13"/>
      <c r="T870" s="16" t="str">
        <f aca="false">IF(OR(S870="",L870=""),"",L870/(1-M870)-S870)</f>
        <v/>
      </c>
      <c r="U870" s="16" t="str">
        <f aca="false">IF(OR(L870="",P870=""),"",L870*(P870-1)-N870)</f>
        <v/>
      </c>
      <c r="V870" s="13"/>
      <c r="W870" s="17"/>
      <c r="X870" s="12"/>
      <c r="Y870" s="12"/>
      <c r="Z870" s="12"/>
      <c r="AA870" s="18" t="str">
        <f aca="false">IF(K870&lt;&gt;"ВИРТУАЛЬНЫЙ ВЫБОР","",IF(Z870="✅ ЗАШЛО",W870*(P870-1),IF(Z870="❌ НЕ ЗАШЛО",-W870,IF(Z870="½ ЗАШЛО",W870*(P870-1)/2,IF(Z870="½ НЕ ЗАШЛО",-W870/2,IF(Z870="ВОЗВРАТ",0,""))))))</f>
        <v/>
      </c>
      <c r="AB870" s="18" t="str">
        <f aca="false">IF(AND(K870="ВИРТУАЛЬНЫЙ ВЫБОР",OR(Z870="✅ ЗАШЛО",Z870="❌ НЕ ЗАШЛО",Z870="½ ЗАШЛО",Z870="½ НЕ ЗАШЛО",Z870="ВОЗВРАТ")),W870,"")</f>
        <v/>
      </c>
      <c r="AC870" s="15"/>
      <c r="AD870" s="16" t="str">
        <f aca="false">IF(OR(AC870="",P870=""),"",P870/AC870-1)</f>
        <v/>
      </c>
      <c r="AE870" s="19" t="str">
        <f aca="false">IF(AND(M870=0,OR(Z870="✅ ЗАШЛО",Z870="❌ НЕ ЗАШЛО"),L870&lt;&gt;""),(L870-IF(Z870="✅ ЗАШЛО",1,0))^2,"")</f>
        <v/>
      </c>
      <c r="AF870" s="15"/>
      <c r="AG870" s="15"/>
      <c r="AH870" s="13"/>
      <c r="AI870" s="13"/>
      <c r="AJ870" s="13"/>
      <c r="AK870" s="20" t="str">
        <f aca="false">IF(AH870="","",IF(ABS(AH870+AI870+AJ870-1)&lt;0.000001,"OK","ОШИБКА"))</f>
        <v/>
      </c>
      <c r="AL870" s="13"/>
      <c r="AM870" s="12"/>
      <c r="AN870" s="12"/>
      <c r="AO870" s="12"/>
      <c r="AP870" s="12"/>
      <c r="AQ870" s="18" t="str">
        <f aca="false">IF(A870="","",N(AQ869)+N(AA870))</f>
        <v/>
      </c>
      <c r="AR870" s="18" t="str">
        <f aca="false">IF(AQ870="","",MAX(0,MAX($AQ$8:AQ870))-AQ870)</f>
        <v/>
      </c>
    </row>
    <row r="871" customFormat="false" ht="15" hidden="false" customHeight="fals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3"/>
      <c r="M871" s="13"/>
      <c r="N871" s="13"/>
      <c r="O871" s="14" t="str">
        <f aca="false">IF(OR(L871="",L871=0),"",(1-M871)/L871)</f>
        <v/>
      </c>
      <c r="P871" s="15"/>
      <c r="Q871" s="12"/>
      <c r="R871" s="12"/>
      <c r="S871" s="13"/>
      <c r="T871" s="16" t="str">
        <f aca="false">IF(OR(S871="",L871=""),"",L871/(1-M871)-S871)</f>
        <v/>
      </c>
      <c r="U871" s="16" t="str">
        <f aca="false">IF(OR(L871="",P871=""),"",L871*(P871-1)-N871)</f>
        <v/>
      </c>
      <c r="V871" s="13"/>
      <c r="W871" s="17"/>
      <c r="X871" s="12"/>
      <c r="Y871" s="12"/>
      <c r="Z871" s="12"/>
      <c r="AA871" s="18" t="str">
        <f aca="false">IF(K871&lt;&gt;"ВИРТУАЛЬНЫЙ ВЫБОР","",IF(Z871="✅ ЗАШЛО",W871*(P871-1),IF(Z871="❌ НЕ ЗАШЛО",-W871,IF(Z871="½ ЗАШЛО",W871*(P871-1)/2,IF(Z871="½ НЕ ЗАШЛО",-W871/2,IF(Z871="ВОЗВРАТ",0,""))))))</f>
        <v/>
      </c>
      <c r="AB871" s="18" t="str">
        <f aca="false">IF(AND(K871="ВИРТУАЛЬНЫЙ ВЫБОР",OR(Z871="✅ ЗАШЛО",Z871="❌ НЕ ЗАШЛО",Z871="½ ЗАШЛО",Z871="½ НЕ ЗАШЛО",Z871="ВОЗВРАТ")),W871,"")</f>
        <v/>
      </c>
      <c r="AC871" s="15"/>
      <c r="AD871" s="16" t="str">
        <f aca="false">IF(OR(AC871="",P871=""),"",P871/AC871-1)</f>
        <v/>
      </c>
      <c r="AE871" s="19" t="str">
        <f aca="false">IF(AND(M871=0,OR(Z871="✅ ЗАШЛО",Z871="❌ НЕ ЗАШЛО"),L871&lt;&gt;""),(L871-IF(Z871="✅ ЗАШЛО",1,0))^2,"")</f>
        <v/>
      </c>
      <c r="AF871" s="15"/>
      <c r="AG871" s="15"/>
      <c r="AH871" s="13"/>
      <c r="AI871" s="13"/>
      <c r="AJ871" s="13"/>
      <c r="AK871" s="20" t="str">
        <f aca="false">IF(AH871="","",IF(ABS(AH871+AI871+AJ871-1)&lt;0.000001,"OK","ОШИБКА"))</f>
        <v/>
      </c>
      <c r="AL871" s="13"/>
      <c r="AM871" s="12"/>
      <c r="AN871" s="12"/>
      <c r="AO871" s="12"/>
      <c r="AP871" s="12"/>
      <c r="AQ871" s="18" t="str">
        <f aca="false">IF(A871="","",N(AQ870)+N(AA871))</f>
        <v/>
      </c>
      <c r="AR871" s="18" t="str">
        <f aca="false">IF(AQ871="","",MAX(0,MAX($AQ$8:AQ871))-AQ871)</f>
        <v/>
      </c>
    </row>
    <row r="872" customFormat="false" ht="15" hidden="false" customHeight="fals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3"/>
      <c r="M872" s="13"/>
      <c r="N872" s="13"/>
      <c r="O872" s="14" t="str">
        <f aca="false">IF(OR(L872="",L872=0),"",(1-M872)/L872)</f>
        <v/>
      </c>
      <c r="P872" s="15"/>
      <c r="Q872" s="12"/>
      <c r="R872" s="12"/>
      <c r="S872" s="13"/>
      <c r="T872" s="16" t="str">
        <f aca="false">IF(OR(S872="",L872=""),"",L872/(1-M872)-S872)</f>
        <v/>
      </c>
      <c r="U872" s="16" t="str">
        <f aca="false">IF(OR(L872="",P872=""),"",L872*(P872-1)-N872)</f>
        <v/>
      </c>
      <c r="V872" s="13"/>
      <c r="W872" s="17"/>
      <c r="X872" s="12"/>
      <c r="Y872" s="12"/>
      <c r="Z872" s="12"/>
      <c r="AA872" s="18" t="str">
        <f aca="false">IF(K872&lt;&gt;"ВИРТУАЛЬНЫЙ ВЫБОР","",IF(Z872="✅ ЗАШЛО",W872*(P872-1),IF(Z872="❌ НЕ ЗАШЛО",-W872,IF(Z872="½ ЗАШЛО",W872*(P872-1)/2,IF(Z872="½ НЕ ЗАШЛО",-W872/2,IF(Z872="ВОЗВРАТ",0,""))))))</f>
        <v/>
      </c>
      <c r="AB872" s="18" t="str">
        <f aca="false">IF(AND(K872="ВИРТУАЛЬНЫЙ ВЫБОР",OR(Z872="✅ ЗАШЛО",Z872="❌ НЕ ЗАШЛО",Z872="½ ЗАШЛО",Z872="½ НЕ ЗАШЛО",Z872="ВОЗВРАТ")),W872,"")</f>
        <v/>
      </c>
      <c r="AC872" s="15"/>
      <c r="AD872" s="16" t="str">
        <f aca="false">IF(OR(AC872="",P872=""),"",P872/AC872-1)</f>
        <v/>
      </c>
      <c r="AE872" s="19" t="str">
        <f aca="false">IF(AND(M872=0,OR(Z872="✅ ЗАШЛО",Z872="❌ НЕ ЗАШЛО"),L872&lt;&gt;""),(L872-IF(Z872="✅ ЗАШЛО",1,0))^2,"")</f>
        <v/>
      </c>
      <c r="AF872" s="15"/>
      <c r="AG872" s="15"/>
      <c r="AH872" s="13"/>
      <c r="AI872" s="13"/>
      <c r="AJ872" s="13"/>
      <c r="AK872" s="20" t="str">
        <f aca="false">IF(AH872="","",IF(ABS(AH872+AI872+AJ872-1)&lt;0.000001,"OK","ОШИБКА"))</f>
        <v/>
      </c>
      <c r="AL872" s="13"/>
      <c r="AM872" s="12"/>
      <c r="AN872" s="12"/>
      <c r="AO872" s="12"/>
      <c r="AP872" s="12"/>
      <c r="AQ872" s="18" t="str">
        <f aca="false">IF(A872="","",N(AQ871)+N(AA872))</f>
        <v/>
      </c>
      <c r="AR872" s="18" t="str">
        <f aca="false">IF(AQ872="","",MAX(0,MAX($AQ$8:AQ872))-AQ872)</f>
        <v/>
      </c>
    </row>
    <row r="873" customFormat="false" ht="15" hidden="false" customHeight="fals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3"/>
      <c r="M873" s="13"/>
      <c r="N873" s="13"/>
      <c r="O873" s="14" t="str">
        <f aca="false">IF(OR(L873="",L873=0),"",(1-M873)/L873)</f>
        <v/>
      </c>
      <c r="P873" s="15"/>
      <c r="Q873" s="12"/>
      <c r="R873" s="12"/>
      <c r="S873" s="13"/>
      <c r="T873" s="16" t="str">
        <f aca="false">IF(OR(S873="",L873=""),"",L873/(1-M873)-S873)</f>
        <v/>
      </c>
      <c r="U873" s="16" t="str">
        <f aca="false">IF(OR(L873="",P873=""),"",L873*(P873-1)-N873)</f>
        <v/>
      </c>
      <c r="V873" s="13"/>
      <c r="W873" s="17"/>
      <c r="X873" s="12"/>
      <c r="Y873" s="12"/>
      <c r="Z873" s="12"/>
      <c r="AA873" s="18" t="str">
        <f aca="false">IF(K873&lt;&gt;"ВИРТУАЛЬНЫЙ ВЫБОР","",IF(Z873="✅ ЗАШЛО",W873*(P873-1),IF(Z873="❌ НЕ ЗАШЛО",-W873,IF(Z873="½ ЗАШЛО",W873*(P873-1)/2,IF(Z873="½ НЕ ЗАШЛО",-W873/2,IF(Z873="ВОЗВРАТ",0,""))))))</f>
        <v/>
      </c>
      <c r="AB873" s="18" t="str">
        <f aca="false">IF(AND(K873="ВИРТУАЛЬНЫЙ ВЫБОР",OR(Z873="✅ ЗАШЛО",Z873="❌ НЕ ЗАШЛО",Z873="½ ЗАШЛО",Z873="½ НЕ ЗАШЛО",Z873="ВОЗВРАТ")),W873,"")</f>
        <v/>
      </c>
      <c r="AC873" s="15"/>
      <c r="AD873" s="16" t="str">
        <f aca="false">IF(OR(AC873="",P873=""),"",P873/AC873-1)</f>
        <v/>
      </c>
      <c r="AE873" s="19" t="str">
        <f aca="false">IF(AND(M873=0,OR(Z873="✅ ЗАШЛО",Z873="❌ НЕ ЗАШЛО"),L873&lt;&gt;""),(L873-IF(Z873="✅ ЗАШЛО",1,0))^2,"")</f>
        <v/>
      </c>
      <c r="AF873" s="15"/>
      <c r="AG873" s="15"/>
      <c r="AH873" s="13"/>
      <c r="AI873" s="13"/>
      <c r="AJ873" s="13"/>
      <c r="AK873" s="20" t="str">
        <f aca="false">IF(AH873="","",IF(ABS(AH873+AI873+AJ873-1)&lt;0.000001,"OK","ОШИБКА"))</f>
        <v/>
      </c>
      <c r="AL873" s="13"/>
      <c r="AM873" s="12"/>
      <c r="AN873" s="12"/>
      <c r="AO873" s="12"/>
      <c r="AP873" s="12"/>
      <c r="AQ873" s="18" t="str">
        <f aca="false">IF(A873="","",N(AQ872)+N(AA873))</f>
        <v/>
      </c>
      <c r="AR873" s="18" t="str">
        <f aca="false">IF(AQ873="","",MAX(0,MAX($AQ$8:AQ873))-AQ873)</f>
        <v/>
      </c>
    </row>
    <row r="874" customFormat="false" ht="15" hidden="false" customHeight="fals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3"/>
      <c r="M874" s="13"/>
      <c r="N874" s="13"/>
      <c r="O874" s="14" t="str">
        <f aca="false">IF(OR(L874="",L874=0),"",(1-M874)/L874)</f>
        <v/>
      </c>
      <c r="P874" s="15"/>
      <c r="Q874" s="12"/>
      <c r="R874" s="12"/>
      <c r="S874" s="13"/>
      <c r="T874" s="16" t="str">
        <f aca="false">IF(OR(S874="",L874=""),"",L874/(1-M874)-S874)</f>
        <v/>
      </c>
      <c r="U874" s="16" t="str">
        <f aca="false">IF(OR(L874="",P874=""),"",L874*(P874-1)-N874)</f>
        <v/>
      </c>
      <c r="V874" s="13"/>
      <c r="W874" s="17"/>
      <c r="X874" s="12"/>
      <c r="Y874" s="12"/>
      <c r="Z874" s="12"/>
      <c r="AA874" s="18" t="str">
        <f aca="false">IF(K874&lt;&gt;"ВИРТУАЛЬНЫЙ ВЫБОР","",IF(Z874="✅ ЗАШЛО",W874*(P874-1),IF(Z874="❌ НЕ ЗАШЛО",-W874,IF(Z874="½ ЗАШЛО",W874*(P874-1)/2,IF(Z874="½ НЕ ЗАШЛО",-W874/2,IF(Z874="ВОЗВРАТ",0,""))))))</f>
        <v/>
      </c>
      <c r="AB874" s="18" t="str">
        <f aca="false">IF(AND(K874="ВИРТУАЛЬНЫЙ ВЫБОР",OR(Z874="✅ ЗАШЛО",Z874="❌ НЕ ЗАШЛО",Z874="½ ЗАШЛО",Z874="½ НЕ ЗАШЛО",Z874="ВОЗВРАТ")),W874,"")</f>
        <v/>
      </c>
      <c r="AC874" s="15"/>
      <c r="AD874" s="16" t="str">
        <f aca="false">IF(OR(AC874="",P874=""),"",P874/AC874-1)</f>
        <v/>
      </c>
      <c r="AE874" s="19" t="str">
        <f aca="false">IF(AND(M874=0,OR(Z874="✅ ЗАШЛО",Z874="❌ НЕ ЗАШЛО"),L874&lt;&gt;""),(L874-IF(Z874="✅ ЗАШЛО",1,0))^2,"")</f>
        <v/>
      </c>
      <c r="AF874" s="15"/>
      <c r="AG874" s="15"/>
      <c r="AH874" s="13"/>
      <c r="AI874" s="13"/>
      <c r="AJ874" s="13"/>
      <c r="AK874" s="20" t="str">
        <f aca="false">IF(AH874="","",IF(ABS(AH874+AI874+AJ874-1)&lt;0.000001,"OK","ОШИБКА"))</f>
        <v/>
      </c>
      <c r="AL874" s="13"/>
      <c r="AM874" s="12"/>
      <c r="AN874" s="12"/>
      <c r="AO874" s="12"/>
      <c r="AP874" s="12"/>
      <c r="AQ874" s="18" t="str">
        <f aca="false">IF(A874="","",N(AQ873)+N(AA874))</f>
        <v/>
      </c>
      <c r="AR874" s="18" t="str">
        <f aca="false">IF(AQ874="","",MAX(0,MAX($AQ$8:AQ874))-AQ874)</f>
        <v/>
      </c>
    </row>
    <row r="875" customFormat="false" ht="15" hidden="false" customHeight="fals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3"/>
      <c r="M875" s="13"/>
      <c r="N875" s="13"/>
      <c r="O875" s="14" t="str">
        <f aca="false">IF(OR(L875="",L875=0),"",(1-M875)/L875)</f>
        <v/>
      </c>
      <c r="P875" s="15"/>
      <c r="Q875" s="12"/>
      <c r="R875" s="12"/>
      <c r="S875" s="13"/>
      <c r="T875" s="16" t="str">
        <f aca="false">IF(OR(S875="",L875=""),"",L875/(1-M875)-S875)</f>
        <v/>
      </c>
      <c r="U875" s="16" t="str">
        <f aca="false">IF(OR(L875="",P875=""),"",L875*(P875-1)-N875)</f>
        <v/>
      </c>
      <c r="V875" s="13"/>
      <c r="W875" s="17"/>
      <c r="X875" s="12"/>
      <c r="Y875" s="12"/>
      <c r="Z875" s="12"/>
      <c r="AA875" s="18" t="str">
        <f aca="false">IF(K875&lt;&gt;"ВИРТУАЛЬНЫЙ ВЫБОР","",IF(Z875="✅ ЗАШЛО",W875*(P875-1),IF(Z875="❌ НЕ ЗАШЛО",-W875,IF(Z875="½ ЗАШЛО",W875*(P875-1)/2,IF(Z875="½ НЕ ЗАШЛО",-W875/2,IF(Z875="ВОЗВРАТ",0,""))))))</f>
        <v/>
      </c>
      <c r="AB875" s="18" t="str">
        <f aca="false">IF(AND(K875="ВИРТУАЛЬНЫЙ ВЫБОР",OR(Z875="✅ ЗАШЛО",Z875="❌ НЕ ЗАШЛО",Z875="½ ЗАШЛО",Z875="½ НЕ ЗАШЛО",Z875="ВОЗВРАТ")),W875,"")</f>
        <v/>
      </c>
      <c r="AC875" s="15"/>
      <c r="AD875" s="16" t="str">
        <f aca="false">IF(OR(AC875="",P875=""),"",P875/AC875-1)</f>
        <v/>
      </c>
      <c r="AE875" s="19" t="str">
        <f aca="false">IF(AND(M875=0,OR(Z875="✅ ЗАШЛО",Z875="❌ НЕ ЗАШЛО"),L875&lt;&gt;""),(L875-IF(Z875="✅ ЗАШЛО",1,0))^2,"")</f>
        <v/>
      </c>
      <c r="AF875" s="15"/>
      <c r="AG875" s="15"/>
      <c r="AH875" s="13"/>
      <c r="AI875" s="13"/>
      <c r="AJ875" s="13"/>
      <c r="AK875" s="20" t="str">
        <f aca="false">IF(AH875="","",IF(ABS(AH875+AI875+AJ875-1)&lt;0.000001,"OK","ОШИБКА"))</f>
        <v/>
      </c>
      <c r="AL875" s="13"/>
      <c r="AM875" s="12"/>
      <c r="AN875" s="12"/>
      <c r="AO875" s="12"/>
      <c r="AP875" s="12"/>
      <c r="AQ875" s="18" t="str">
        <f aca="false">IF(A875="","",N(AQ874)+N(AA875))</f>
        <v/>
      </c>
      <c r="AR875" s="18" t="str">
        <f aca="false">IF(AQ875="","",MAX(0,MAX($AQ$8:AQ875))-AQ875)</f>
        <v/>
      </c>
    </row>
    <row r="876" customFormat="false" ht="15" hidden="false" customHeight="fals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3"/>
      <c r="M876" s="13"/>
      <c r="N876" s="13"/>
      <c r="O876" s="14" t="str">
        <f aca="false">IF(OR(L876="",L876=0),"",(1-M876)/L876)</f>
        <v/>
      </c>
      <c r="P876" s="15"/>
      <c r="Q876" s="12"/>
      <c r="R876" s="12"/>
      <c r="S876" s="13"/>
      <c r="T876" s="16" t="str">
        <f aca="false">IF(OR(S876="",L876=""),"",L876/(1-M876)-S876)</f>
        <v/>
      </c>
      <c r="U876" s="16" t="str">
        <f aca="false">IF(OR(L876="",P876=""),"",L876*(P876-1)-N876)</f>
        <v/>
      </c>
      <c r="V876" s="13"/>
      <c r="W876" s="17"/>
      <c r="X876" s="12"/>
      <c r="Y876" s="12"/>
      <c r="Z876" s="12"/>
      <c r="AA876" s="18" t="str">
        <f aca="false">IF(K876&lt;&gt;"ВИРТУАЛЬНЫЙ ВЫБОР","",IF(Z876="✅ ЗАШЛО",W876*(P876-1),IF(Z876="❌ НЕ ЗАШЛО",-W876,IF(Z876="½ ЗАШЛО",W876*(P876-1)/2,IF(Z876="½ НЕ ЗАШЛО",-W876/2,IF(Z876="ВОЗВРАТ",0,""))))))</f>
        <v/>
      </c>
      <c r="AB876" s="18" t="str">
        <f aca="false">IF(AND(K876="ВИРТУАЛЬНЫЙ ВЫБОР",OR(Z876="✅ ЗАШЛО",Z876="❌ НЕ ЗАШЛО",Z876="½ ЗАШЛО",Z876="½ НЕ ЗАШЛО",Z876="ВОЗВРАТ")),W876,"")</f>
        <v/>
      </c>
      <c r="AC876" s="15"/>
      <c r="AD876" s="16" t="str">
        <f aca="false">IF(OR(AC876="",P876=""),"",P876/AC876-1)</f>
        <v/>
      </c>
      <c r="AE876" s="19" t="str">
        <f aca="false">IF(AND(M876=0,OR(Z876="✅ ЗАШЛО",Z876="❌ НЕ ЗАШЛО"),L876&lt;&gt;""),(L876-IF(Z876="✅ ЗАШЛО",1,0))^2,"")</f>
        <v/>
      </c>
      <c r="AF876" s="15"/>
      <c r="AG876" s="15"/>
      <c r="AH876" s="13"/>
      <c r="AI876" s="13"/>
      <c r="AJ876" s="13"/>
      <c r="AK876" s="20" t="str">
        <f aca="false">IF(AH876="","",IF(ABS(AH876+AI876+AJ876-1)&lt;0.000001,"OK","ОШИБКА"))</f>
        <v/>
      </c>
      <c r="AL876" s="13"/>
      <c r="AM876" s="12"/>
      <c r="AN876" s="12"/>
      <c r="AO876" s="12"/>
      <c r="AP876" s="12"/>
      <c r="AQ876" s="18" t="str">
        <f aca="false">IF(A876="","",N(AQ875)+N(AA876))</f>
        <v/>
      </c>
      <c r="AR876" s="18" t="str">
        <f aca="false">IF(AQ876="","",MAX(0,MAX($AQ$8:AQ876))-AQ876)</f>
        <v/>
      </c>
    </row>
    <row r="877" customFormat="false" ht="15" hidden="false" customHeight="fals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3"/>
      <c r="M877" s="13"/>
      <c r="N877" s="13"/>
      <c r="O877" s="14" t="str">
        <f aca="false">IF(OR(L877="",L877=0),"",(1-M877)/L877)</f>
        <v/>
      </c>
      <c r="P877" s="15"/>
      <c r="Q877" s="12"/>
      <c r="R877" s="12"/>
      <c r="S877" s="13"/>
      <c r="T877" s="16" t="str">
        <f aca="false">IF(OR(S877="",L877=""),"",L877/(1-M877)-S877)</f>
        <v/>
      </c>
      <c r="U877" s="16" t="str">
        <f aca="false">IF(OR(L877="",P877=""),"",L877*(P877-1)-N877)</f>
        <v/>
      </c>
      <c r="V877" s="13"/>
      <c r="W877" s="17"/>
      <c r="X877" s="12"/>
      <c r="Y877" s="12"/>
      <c r="Z877" s="12"/>
      <c r="AA877" s="18" t="str">
        <f aca="false">IF(K877&lt;&gt;"ВИРТУАЛЬНЫЙ ВЫБОР","",IF(Z877="✅ ЗАШЛО",W877*(P877-1),IF(Z877="❌ НЕ ЗАШЛО",-W877,IF(Z877="½ ЗАШЛО",W877*(P877-1)/2,IF(Z877="½ НЕ ЗАШЛО",-W877/2,IF(Z877="ВОЗВРАТ",0,""))))))</f>
        <v/>
      </c>
      <c r="AB877" s="18" t="str">
        <f aca="false">IF(AND(K877="ВИРТУАЛЬНЫЙ ВЫБОР",OR(Z877="✅ ЗАШЛО",Z877="❌ НЕ ЗАШЛО",Z877="½ ЗАШЛО",Z877="½ НЕ ЗАШЛО",Z877="ВОЗВРАТ")),W877,"")</f>
        <v/>
      </c>
      <c r="AC877" s="15"/>
      <c r="AD877" s="16" t="str">
        <f aca="false">IF(OR(AC877="",P877=""),"",P877/AC877-1)</f>
        <v/>
      </c>
      <c r="AE877" s="19" t="str">
        <f aca="false">IF(AND(M877=0,OR(Z877="✅ ЗАШЛО",Z877="❌ НЕ ЗАШЛО"),L877&lt;&gt;""),(L877-IF(Z877="✅ ЗАШЛО",1,0))^2,"")</f>
        <v/>
      </c>
      <c r="AF877" s="15"/>
      <c r="AG877" s="15"/>
      <c r="AH877" s="13"/>
      <c r="AI877" s="13"/>
      <c r="AJ877" s="13"/>
      <c r="AK877" s="20" t="str">
        <f aca="false">IF(AH877="","",IF(ABS(AH877+AI877+AJ877-1)&lt;0.000001,"OK","ОШИБКА"))</f>
        <v/>
      </c>
      <c r="AL877" s="13"/>
      <c r="AM877" s="12"/>
      <c r="AN877" s="12"/>
      <c r="AO877" s="12"/>
      <c r="AP877" s="12"/>
      <c r="AQ877" s="18" t="str">
        <f aca="false">IF(A877="","",N(AQ876)+N(AA877))</f>
        <v/>
      </c>
      <c r="AR877" s="18" t="str">
        <f aca="false">IF(AQ877="","",MAX(0,MAX($AQ$8:AQ877))-AQ877)</f>
        <v/>
      </c>
    </row>
    <row r="878" customFormat="false" ht="15" hidden="false" customHeight="fals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3"/>
      <c r="M878" s="13"/>
      <c r="N878" s="13"/>
      <c r="O878" s="14" t="str">
        <f aca="false">IF(OR(L878="",L878=0),"",(1-M878)/L878)</f>
        <v/>
      </c>
      <c r="P878" s="15"/>
      <c r="Q878" s="12"/>
      <c r="R878" s="12"/>
      <c r="S878" s="13"/>
      <c r="T878" s="16" t="str">
        <f aca="false">IF(OR(S878="",L878=""),"",L878/(1-M878)-S878)</f>
        <v/>
      </c>
      <c r="U878" s="16" t="str">
        <f aca="false">IF(OR(L878="",P878=""),"",L878*(P878-1)-N878)</f>
        <v/>
      </c>
      <c r="V878" s="13"/>
      <c r="W878" s="17"/>
      <c r="X878" s="12"/>
      <c r="Y878" s="12"/>
      <c r="Z878" s="12"/>
      <c r="AA878" s="18" t="str">
        <f aca="false">IF(K878&lt;&gt;"ВИРТУАЛЬНЫЙ ВЫБОР","",IF(Z878="✅ ЗАШЛО",W878*(P878-1),IF(Z878="❌ НЕ ЗАШЛО",-W878,IF(Z878="½ ЗАШЛО",W878*(P878-1)/2,IF(Z878="½ НЕ ЗАШЛО",-W878/2,IF(Z878="ВОЗВРАТ",0,""))))))</f>
        <v/>
      </c>
      <c r="AB878" s="18" t="str">
        <f aca="false">IF(AND(K878="ВИРТУАЛЬНЫЙ ВЫБОР",OR(Z878="✅ ЗАШЛО",Z878="❌ НЕ ЗАШЛО",Z878="½ ЗАШЛО",Z878="½ НЕ ЗАШЛО",Z878="ВОЗВРАТ")),W878,"")</f>
        <v/>
      </c>
      <c r="AC878" s="15"/>
      <c r="AD878" s="16" t="str">
        <f aca="false">IF(OR(AC878="",P878=""),"",P878/AC878-1)</f>
        <v/>
      </c>
      <c r="AE878" s="19" t="str">
        <f aca="false">IF(AND(M878=0,OR(Z878="✅ ЗАШЛО",Z878="❌ НЕ ЗАШЛО"),L878&lt;&gt;""),(L878-IF(Z878="✅ ЗАШЛО",1,0))^2,"")</f>
        <v/>
      </c>
      <c r="AF878" s="15"/>
      <c r="AG878" s="15"/>
      <c r="AH878" s="13"/>
      <c r="AI878" s="13"/>
      <c r="AJ878" s="13"/>
      <c r="AK878" s="20" t="str">
        <f aca="false">IF(AH878="","",IF(ABS(AH878+AI878+AJ878-1)&lt;0.000001,"OK","ОШИБКА"))</f>
        <v/>
      </c>
      <c r="AL878" s="13"/>
      <c r="AM878" s="12"/>
      <c r="AN878" s="12"/>
      <c r="AO878" s="12"/>
      <c r="AP878" s="12"/>
      <c r="AQ878" s="18" t="str">
        <f aca="false">IF(A878="","",N(AQ877)+N(AA878))</f>
        <v/>
      </c>
      <c r="AR878" s="18" t="str">
        <f aca="false">IF(AQ878="","",MAX(0,MAX($AQ$8:AQ878))-AQ878)</f>
        <v/>
      </c>
    </row>
    <row r="879" customFormat="false" ht="15" hidden="false" customHeight="fals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3"/>
      <c r="M879" s="13"/>
      <c r="N879" s="13"/>
      <c r="O879" s="14" t="str">
        <f aca="false">IF(OR(L879="",L879=0),"",(1-M879)/L879)</f>
        <v/>
      </c>
      <c r="P879" s="15"/>
      <c r="Q879" s="12"/>
      <c r="R879" s="12"/>
      <c r="S879" s="13"/>
      <c r="T879" s="16" t="str">
        <f aca="false">IF(OR(S879="",L879=""),"",L879/(1-M879)-S879)</f>
        <v/>
      </c>
      <c r="U879" s="16" t="str">
        <f aca="false">IF(OR(L879="",P879=""),"",L879*(P879-1)-N879)</f>
        <v/>
      </c>
      <c r="V879" s="13"/>
      <c r="W879" s="17"/>
      <c r="X879" s="12"/>
      <c r="Y879" s="12"/>
      <c r="Z879" s="12"/>
      <c r="AA879" s="18" t="str">
        <f aca="false">IF(K879&lt;&gt;"ВИРТУАЛЬНЫЙ ВЫБОР","",IF(Z879="✅ ЗАШЛО",W879*(P879-1),IF(Z879="❌ НЕ ЗАШЛО",-W879,IF(Z879="½ ЗАШЛО",W879*(P879-1)/2,IF(Z879="½ НЕ ЗАШЛО",-W879/2,IF(Z879="ВОЗВРАТ",0,""))))))</f>
        <v/>
      </c>
      <c r="AB879" s="18" t="str">
        <f aca="false">IF(AND(K879="ВИРТУАЛЬНЫЙ ВЫБОР",OR(Z879="✅ ЗАШЛО",Z879="❌ НЕ ЗАШЛО",Z879="½ ЗАШЛО",Z879="½ НЕ ЗАШЛО",Z879="ВОЗВРАТ")),W879,"")</f>
        <v/>
      </c>
      <c r="AC879" s="15"/>
      <c r="AD879" s="16" t="str">
        <f aca="false">IF(OR(AC879="",P879=""),"",P879/AC879-1)</f>
        <v/>
      </c>
      <c r="AE879" s="19" t="str">
        <f aca="false">IF(AND(M879=0,OR(Z879="✅ ЗАШЛО",Z879="❌ НЕ ЗАШЛО"),L879&lt;&gt;""),(L879-IF(Z879="✅ ЗАШЛО",1,0))^2,"")</f>
        <v/>
      </c>
      <c r="AF879" s="15"/>
      <c r="AG879" s="15"/>
      <c r="AH879" s="13"/>
      <c r="AI879" s="13"/>
      <c r="AJ879" s="13"/>
      <c r="AK879" s="20" t="str">
        <f aca="false">IF(AH879="","",IF(ABS(AH879+AI879+AJ879-1)&lt;0.000001,"OK","ОШИБКА"))</f>
        <v/>
      </c>
      <c r="AL879" s="13"/>
      <c r="AM879" s="12"/>
      <c r="AN879" s="12"/>
      <c r="AO879" s="12"/>
      <c r="AP879" s="12"/>
      <c r="AQ879" s="18" t="str">
        <f aca="false">IF(A879="","",N(AQ878)+N(AA879))</f>
        <v/>
      </c>
      <c r="AR879" s="18" t="str">
        <f aca="false">IF(AQ879="","",MAX(0,MAX($AQ$8:AQ879))-AQ879)</f>
        <v/>
      </c>
    </row>
    <row r="880" customFormat="false" ht="15" hidden="false" customHeight="fals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3"/>
      <c r="M880" s="13"/>
      <c r="N880" s="13"/>
      <c r="O880" s="14" t="str">
        <f aca="false">IF(OR(L880="",L880=0),"",(1-M880)/L880)</f>
        <v/>
      </c>
      <c r="P880" s="15"/>
      <c r="Q880" s="12"/>
      <c r="R880" s="12"/>
      <c r="S880" s="13"/>
      <c r="T880" s="16" t="str">
        <f aca="false">IF(OR(S880="",L880=""),"",L880/(1-M880)-S880)</f>
        <v/>
      </c>
      <c r="U880" s="16" t="str">
        <f aca="false">IF(OR(L880="",P880=""),"",L880*(P880-1)-N880)</f>
        <v/>
      </c>
      <c r="V880" s="13"/>
      <c r="W880" s="17"/>
      <c r="X880" s="12"/>
      <c r="Y880" s="12"/>
      <c r="Z880" s="12"/>
      <c r="AA880" s="18" t="str">
        <f aca="false">IF(K880&lt;&gt;"ВИРТУАЛЬНЫЙ ВЫБОР","",IF(Z880="✅ ЗАШЛО",W880*(P880-1),IF(Z880="❌ НЕ ЗАШЛО",-W880,IF(Z880="½ ЗАШЛО",W880*(P880-1)/2,IF(Z880="½ НЕ ЗАШЛО",-W880/2,IF(Z880="ВОЗВРАТ",0,""))))))</f>
        <v/>
      </c>
      <c r="AB880" s="18" t="str">
        <f aca="false">IF(AND(K880="ВИРТУАЛЬНЫЙ ВЫБОР",OR(Z880="✅ ЗАШЛО",Z880="❌ НЕ ЗАШЛО",Z880="½ ЗАШЛО",Z880="½ НЕ ЗАШЛО",Z880="ВОЗВРАТ")),W880,"")</f>
        <v/>
      </c>
      <c r="AC880" s="15"/>
      <c r="AD880" s="16" t="str">
        <f aca="false">IF(OR(AC880="",P880=""),"",P880/AC880-1)</f>
        <v/>
      </c>
      <c r="AE880" s="19" t="str">
        <f aca="false">IF(AND(M880=0,OR(Z880="✅ ЗАШЛО",Z880="❌ НЕ ЗАШЛО"),L880&lt;&gt;""),(L880-IF(Z880="✅ ЗАШЛО",1,0))^2,"")</f>
        <v/>
      </c>
      <c r="AF880" s="15"/>
      <c r="AG880" s="15"/>
      <c r="AH880" s="13"/>
      <c r="AI880" s="13"/>
      <c r="AJ880" s="13"/>
      <c r="AK880" s="20" t="str">
        <f aca="false">IF(AH880="","",IF(ABS(AH880+AI880+AJ880-1)&lt;0.000001,"OK","ОШИБКА"))</f>
        <v/>
      </c>
      <c r="AL880" s="13"/>
      <c r="AM880" s="12"/>
      <c r="AN880" s="12"/>
      <c r="AO880" s="12"/>
      <c r="AP880" s="12"/>
      <c r="AQ880" s="18" t="str">
        <f aca="false">IF(A880="","",N(AQ879)+N(AA880))</f>
        <v/>
      </c>
      <c r="AR880" s="18" t="str">
        <f aca="false">IF(AQ880="","",MAX(0,MAX($AQ$8:AQ880))-AQ880)</f>
        <v/>
      </c>
    </row>
    <row r="881" customFormat="false" ht="15" hidden="false" customHeight="fals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3"/>
      <c r="M881" s="13"/>
      <c r="N881" s="13"/>
      <c r="O881" s="14" t="str">
        <f aca="false">IF(OR(L881="",L881=0),"",(1-M881)/L881)</f>
        <v/>
      </c>
      <c r="P881" s="15"/>
      <c r="Q881" s="12"/>
      <c r="R881" s="12"/>
      <c r="S881" s="13"/>
      <c r="T881" s="16" t="str">
        <f aca="false">IF(OR(S881="",L881=""),"",L881/(1-M881)-S881)</f>
        <v/>
      </c>
      <c r="U881" s="16" t="str">
        <f aca="false">IF(OR(L881="",P881=""),"",L881*(P881-1)-N881)</f>
        <v/>
      </c>
      <c r="V881" s="13"/>
      <c r="W881" s="17"/>
      <c r="X881" s="12"/>
      <c r="Y881" s="12"/>
      <c r="Z881" s="12"/>
      <c r="AA881" s="18" t="str">
        <f aca="false">IF(K881&lt;&gt;"ВИРТУАЛЬНЫЙ ВЫБОР","",IF(Z881="✅ ЗАШЛО",W881*(P881-1),IF(Z881="❌ НЕ ЗАШЛО",-W881,IF(Z881="½ ЗАШЛО",W881*(P881-1)/2,IF(Z881="½ НЕ ЗАШЛО",-W881/2,IF(Z881="ВОЗВРАТ",0,""))))))</f>
        <v/>
      </c>
      <c r="AB881" s="18" t="str">
        <f aca="false">IF(AND(K881="ВИРТУАЛЬНЫЙ ВЫБОР",OR(Z881="✅ ЗАШЛО",Z881="❌ НЕ ЗАШЛО",Z881="½ ЗАШЛО",Z881="½ НЕ ЗАШЛО",Z881="ВОЗВРАТ")),W881,"")</f>
        <v/>
      </c>
      <c r="AC881" s="15"/>
      <c r="AD881" s="16" t="str">
        <f aca="false">IF(OR(AC881="",P881=""),"",P881/AC881-1)</f>
        <v/>
      </c>
      <c r="AE881" s="19" t="str">
        <f aca="false">IF(AND(M881=0,OR(Z881="✅ ЗАШЛО",Z881="❌ НЕ ЗАШЛО"),L881&lt;&gt;""),(L881-IF(Z881="✅ ЗАШЛО",1,0))^2,"")</f>
        <v/>
      </c>
      <c r="AF881" s="15"/>
      <c r="AG881" s="15"/>
      <c r="AH881" s="13"/>
      <c r="AI881" s="13"/>
      <c r="AJ881" s="13"/>
      <c r="AK881" s="20" t="str">
        <f aca="false">IF(AH881="","",IF(ABS(AH881+AI881+AJ881-1)&lt;0.000001,"OK","ОШИБКА"))</f>
        <v/>
      </c>
      <c r="AL881" s="13"/>
      <c r="AM881" s="12"/>
      <c r="AN881" s="12"/>
      <c r="AO881" s="12"/>
      <c r="AP881" s="12"/>
      <c r="AQ881" s="18" t="str">
        <f aca="false">IF(A881="","",N(AQ880)+N(AA881))</f>
        <v/>
      </c>
      <c r="AR881" s="18" t="str">
        <f aca="false">IF(AQ881="","",MAX(0,MAX($AQ$8:AQ881))-AQ881)</f>
        <v/>
      </c>
    </row>
    <row r="882" customFormat="false" ht="15" hidden="false" customHeight="fals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3"/>
      <c r="M882" s="13"/>
      <c r="N882" s="13"/>
      <c r="O882" s="14" t="str">
        <f aca="false">IF(OR(L882="",L882=0),"",(1-M882)/L882)</f>
        <v/>
      </c>
      <c r="P882" s="15"/>
      <c r="Q882" s="12"/>
      <c r="R882" s="12"/>
      <c r="S882" s="13"/>
      <c r="T882" s="16" t="str">
        <f aca="false">IF(OR(S882="",L882=""),"",L882/(1-M882)-S882)</f>
        <v/>
      </c>
      <c r="U882" s="16" t="str">
        <f aca="false">IF(OR(L882="",P882=""),"",L882*(P882-1)-N882)</f>
        <v/>
      </c>
      <c r="V882" s="13"/>
      <c r="W882" s="17"/>
      <c r="X882" s="12"/>
      <c r="Y882" s="12"/>
      <c r="Z882" s="12"/>
      <c r="AA882" s="18" t="str">
        <f aca="false">IF(K882&lt;&gt;"ВИРТУАЛЬНЫЙ ВЫБОР","",IF(Z882="✅ ЗАШЛО",W882*(P882-1),IF(Z882="❌ НЕ ЗАШЛО",-W882,IF(Z882="½ ЗАШЛО",W882*(P882-1)/2,IF(Z882="½ НЕ ЗАШЛО",-W882/2,IF(Z882="ВОЗВРАТ",0,""))))))</f>
        <v/>
      </c>
      <c r="AB882" s="18" t="str">
        <f aca="false">IF(AND(K882="ВИРТУАЛЬНЫЙ ВЫБОР",OR(Z882="✅ ЗАШЛО",Z882="❌ НЕ ЗАШЛО",Z882="½ ЗАШЛО",Z882="½ НЕ ЗАШЛО",Z882="ВОЗВРАТ")),W882,"")</f>
        <v/>
      </c>
      <c r="AC882" s="15"/>
      <c r="AD882" s="16" t="str">
        <f aca="false">IF(OR(AC882="",P882=""),"",P882/AC882-1)</f>
        <v/>
      </c>
      <c r="AE882" s="19" t="str">
        <f aca="false">IF(AND(M882=0,OR(Z882="✅ ЗАШЛО",Z882="❌ НЕ ЗАШЛО"),L882&lt;&gt;""),(L882-IF(Z882="✅ ЗАШЛО",1,0))^2,"")</f>
        <v/>
      </c>
      <c r="AF882" s="15"/>
      <c r="AG882" s="15"/>
      <c r="AH882" s="13"/>
      <c r="AI882" s="13"/>
      <c r="AJ882" s="13"/>
      <c r="AK882" s="20" t="str">
        <f aca="false">IF(AH882="","",IF(ABS(AH882+AI882+AJ882-1)&lt;0.000001,"OK","ОШИБКА"))</f>
        <v/>
      </c>
      <c r="AL882" s="13"/>
      <c r="AM882" s="12"/>
      <c r="AN882" s="12"/>
      <c r="AO882" s="12"/>
      <c r="AP882" s="12"/>
      <c r="AQ882" s="18" t="str">
        <f aca="false">IF(A882="","",N(AQ881)+N(AA882))</f>
        <v/>
      </c>
      <c r="AR882" s="18" t="str">
        <f aca="false">IF(AQ882="","",MAX(0,MAX($AQ$8:AQ882))-AQ882)</f>
        <v/>
      </c>
    </row>
    <row r="883" customFormat="false" ht="15" hidden="false" customHeight="fals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3"/>
      <c r="M883" s="13"/>
      <c r="N883" s="13"/>
      <c r="O883" s="14" t="str">
        <f aca="false">IF(OR(L883="",L883=0),"",(1-M883)/L883)</f>
        <v/>
      </c>
      <c r="P883" s="15"/>
      <c r="Q883" s="12"/>
      <c r="R883" s="12"/>
      <c r="S883" s="13"/>
      <c r="T883" s="16" t="str">
        <f aca="false">IF(OR(S883="",L883=""),"",L883/(1-M883)-S883)</f>
        <v/>
      </c>
      <c r="U883" s="16" t="str">
        <f aca="false">IF(OR(L883="",P883=""),"",L883*(P883-1)-N883)</f>
        <v/>
      </c>
      <c r="V883" s="13"/>
      <c r="W883" s="17"/>
      <c r="X883" s="12"/>
      <c r="Y883" s="12"/>
      <c r="Z883" s="12"/>
      <c r="AA883" s="18" t="str">
        <f aca="false">IF(K883&lt;&gt;"ВИРТУАЛЬНЫЙ ВЫБОР","",IF(Z883="✅ ЗАШЛО",W883*(P883-1),IF(Z883="❌ НЕ ЗАШЛО",-W883,IF(Z883="½ ЗАШЛО",W883*(P883-1)/2,IF(Z883="½ НЕ ЗАШЛО",-W883/2,IF(Z883="ВОЗВРАТ",0,""))))))</f>
        <v/>
      </c>
      <c r="AB883" s="18" t="str">
        <f aca="false">IF(AND(K883="ВИРТУАЛЬНЫЙ ВЫБОР",OR(Z883="✅ ЗАШЛО",Z883="❌ НЕ ЗАШЛО",Z883="½ ЗАШЛО",Z883="½ НЕ ЗАШЛО",Z883="ВОЗВРАТ")),W883,"")</f>
        <v/>
      </c>
      <c r="AC883" s="15"/>
      <c r="AD883" s="16" t="str">
        <f aca="false">IF(OR(AC883="",P883=""),"",P883/AC883-1)</f>
        <v/>
      </c>
      <c r="AE883" s="19" t="str">
        <f aca="false">IF(AND(M883=0,OR(Z883="✅ ЗАШЛО",Z883="❌ НЕ ЗАШЛО"),L883&lt;&gt;""),(L883-IF(Z883="✅ ЗАШЛО",1,0))^2,"")</f>
        <v/>
      </c>
      <c r="AF883" s="15"/>
      <c r="AG883" s="15"/>
      <c r="AH883" s="13"/>
      <c r="AI883" s="13"/>
      <c r="AJ883" s="13"/>
      <c r="AK883" s="20" t="str">
        <f aca="false">IF(AH883="","",IF(ABS(AH883+AI883+AJ883-1)&lt;0.000001,"OK","ОШИБКА"))</f>
        <v/>
      </c>
      <c r="AL883" s="13"/>
      <c r="AM883" s="12"/>
      <c r="AN883" s="12"/>
      <c r="AO883" s="12"/>
      <c r="AP883" s="12"/>
      <c r="AQ883" s="18" t="str">
        <f aca="false">IF(A883="","",N(AQ882)+N(AA883))</f>
        <v/>
      </c>
      <c r="AR883" s="18" t="str">
        <f aca="false">IF(AQ883="","",MAX(0,MAX($AQ$8:AQ883))-AQ883)</f>
        <v/>
      </c>
    </row>
    <row r="884" customFormat="false" ht="15" hidden="false" customHeight="fals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3"/>
      <c r="M884" s="13"/>
      <c r="N884" s="13"/>
      <c r="O884" s="14" t="str">
        <f aca="false">IF(OR(L884="",L884=0),"",(1-M884)/L884)</f>
        <v/>
      </c>
      <c r="P884" s="15"/>
      <c r="Q884" s="12"/>
      <c r="R884" s="12"/>
      <c r="S884" s="13"/>
      <c r="T884" s="16" t="str">
        <f aca="false">IF(OR(S884="",L884=""),"",L884/(1-M884)-S884)</f>
        <v/>
      </c>
      <c r="U884" s="16" t="str">
        <f aca="false">IF(OR(L884="",P884=""),"",L884*(P884-1)-N884)</f>
        <v/>
      </c>
      <c r="V884" s="13"/>
      <c r="W884" s="17"/>
      <c r="X884" s="12"/>
      <c r="Y884" s="12"/>
      <c r="Z884" s="12"/>
      <c r="AA884" s="18" t="str">
        <f aca="false">IF(K884&lt;&gt;"ВИРТУАЛЬНЫЙ ВЫБОР","",IF(Z884="✅ ЗАШЛО",W884*(P884-1),IF(Z884="❌ НЕ ЗАШЛО",-W884,IF(Z884="½ ЗАШЛО",W884*(P884-1)/2,IF(Z884="½ НЕ ЗАШЛО",-W884/2,IF(Z884="ВОЗВРАТ",0,""))))))</f>
        <v/>
      </c>
      <c r="AB884" s="18" t="str">
        <f aca="false">IF(AND(K884="ВИРТУАЛЬНЫЙ ВЫБОР",OR(Z884="✅ ЗАШЛО",Z884="❌ НЕ ЗАШЛО",Z884="½ ЗАШЛО",Z884="½ НЕ ЗАШЛО",Z884="ВОЗВРАТ")),W884,"")</f>
        <v/>
      </c>
      <c r="AC884" s="15"/>
      <c r="AD884" s="16" t="str">
        <f aca="false">IF(OR(AC884="",P884=""),"",P884/AC884-1)</f>
        <v/>
      </c>
      <c r="AE884" s="19" t="str">
        <f aca="false">IF(AND(M884=0,OR(Z884="✅ ЗАШЛО",Z884="❌ НЕ ЗАШЛО"),L884&lt;&gt;""),(L884-IF(Z884="✅ ЗАШЛО",1,0))^2,"")</f>
        <v/>
      </c>
      <c r="AF884" s="15"/>
      <c r="AG884" s="15"/>
      <c r="AH884" s="13"/>
      <c r="AI884" s="13"/>
      <c r="AJ884" s="13"/>
      <c r="AK884" s="20" t="str">
        <f aca="false">IF(AH884="","",IF(ABS(AH884+AI884+AJ884-1)&lt;0.000001,"OK","ОШИБКА"))</f>
        <v/>
      </c>
      <c r="AL884" s="13"/>
      <c r="AM884" s="12"/>
      <c r="AN884" s="12"/>
      <c r="AO884" s="12"/>
      <c r="AP884" s="12"/>
      <c r="AQ884" s="18" t="str">
        <f aca="false">IF(A884="","",N(AQ883)+N(AA884))</f>
        <v/>
      </c>
      <c r="AR884" s="18" t="str">
        <f aca="false">IF(AQ884="","",MAX(0,MAX($AQ$8:AQ884))-AQ884)</f>
        <v/>
      </c>
    </row>
    <row r="885" customFormat="false" ht="15" hidden="false" customHeight="fals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3"/>
      <c r="M885" s="13"/>
      <c r="N885" s="13"/>
      <c r="O885" s="14" t="str">
        <f aca="false">IF(OR(L885="",L885=0),"",(1-M885)/L885)</f>
        <v/>
      </c>
      <c r="P885" s="15"/>
      <c r="Q885" s="12"/>
      <c r="R885" s="12"/>
      <c r="S885" s="13"/>
      <c r="T885" s="16" t="str">
        <f aca="false">IF(OR(S885="",L885=""),"",L885/(1-M885)-S885)</f>
        <v/>
      </c>
      <c r="U885" s="16" t="str">
        <f aca="false">IF(OR(L885="",P885=""),"",L885*(P885-1)-N885)</f>
        <v/>
      </c>
      <c r="V885" s="13"/>
      <c r="W885" s="17"/>
      <c r="X885" s="12"/>
      <c r="Y885" s="12"/>
      <c r="Z885" s="12"/>
      <c r="AA885" s="18" t="str">
        <f aca="false">IF(K885&lt;&gt;"ВИРТУАЛЬНЫЙ ВЫБОР","",IF(Z885="✅ ЗАШЛО",W885*(P885-1),IF(Z885="❌ НЕ ЗАШЛО",-W885,IF(Z885="½ ЗАШЛО",W885*(P885-1)/2,IF(Z885="½ НЕ ЗАШЛО",-W885/2,IF(Z885="ВОЗВРАТ",0,""))))))</f>
        <v/>
      </c>
      <c r="AB885" s="18" t="str">
        <f aca="false">IF(AND(K885="ВИРТУАЛЬНЫЙ ВЫБОР",OR(Z885="✅ ЗАШЛО",Z885="❌ НЕ ЗАШЛО",Z885="½ ЗАШЛО",Z885="½ НЕ ЗАШЛО",Z885="ВОЗВРАТ")),W885,"")</f>
        <v/>
      </c>
      <c r="AC885" s="15"/>
      <c r="AD885" s="16" t="str">
        <f aca="false">IF(OR(AC885="",P885=""),"",P885/AC885-1)</f>
        <v/>
      </c>
      <c r="AE885" s="19" t="str">
        <f aca="false">IF(AND(M885=0,OR(Z885="✅ ЗАШЛО",Z885="❌ НЕ ЗАШЛО"),L885&lt;&gt;""),(L885-IF(Z885="✅ ЗАШЛО",1,0))^2,"")</f>
        <v/>
      </c>
      <c r="AF885" s="15"/>
      <c r="AG885" s="15"/>
      <c r="AH885" s="13"/>
      <c r="AI885" s="13"/>
      <c r="AJ885" s="13"/>
      <c r="AK885" s="20" t="str">
        <f aca="false">IF(AH885="","",IF(ABS(AH885+AI885+AJ885-1)&lt;0.000001,"OK","ОШИБКА"))</f>
        <v/>
      </c>
      <c r="AL885" s="13"/>
      <c r="AM885" s="12"/>
      <c r="AN885" s="12"/>
      <c r="AO885" s="12"/>
      <c r="AP885" s="12"/>
      <c r="AQ885" s="18" t="str">
        <f aca="false">IF(A885="","",N(AQ884)+N(AA885))</f>
        <v/>
      </c>
      <c r="AR885" s="18" t="str">
        <f aca="false">IF(AQ885="","",MAX(0,MAX($AQ$8:AQ885))-AQ885)</f>
        <v/>
      </c>
    </row>
    <row r="886" customFormat="false" ht="15" hidden="false" customHeight="fals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3"/>
      <c r="M886" s="13"/>
      <c r="N886" s="13"/>
      <c r="O886" s="14" t="str">
        <f aca="false">IF(OR(L886="",L886=0),"",(1-M886)/L886)</f>
        <v/>
      </c>
      <c r="P886" s="15"/>
      <c r="Q886" s="12"/>
      <c r="R886" s="12"/>
      <c r="S886" s="13"/>
      <c r="T886" s="16" t="str">
        <f aca="false">IF(OR(S886="",L886=""),"",L886/(1-M886)-S886)</f>
        <v/>
      </c>
      <c r="U886" s="16" t="str">
        <f aca="false">IF(OR(L886="",P886=""),"",L886*(P886-1)-N886)</f>
        <v/>
      </c>
      <c r="V886" s="13"/>
      <c r="W886" s="17"/>
      <c r="X886" s="12"/>
      <c r="Y886" s="12"/>
      <c r="Z886" s="12"/>
      <c r="AA886" s="18" t="str">
        <f aca="false">IF(K886&lt;&gt;"ВИРТУАЛЬНЫЙ ВЫБОР","",IF(Z886="✅ ЗАШЛО",W886*(P886-1),IF(Z886="❌ НЕ ЗАШЛО",-W886,IF(Z886="½ ЗАШЛО",W886*(P886-1)/2,IF(Z886="½ НЕ ЗАШЛО",-W886/2,IF(Z886="ВОЗВРАТ",0,""))))))</f>
        <v/>
      </c>
      <c r="AB886" s="18" t="str">
        <f aca="false">IF(AND(K886="ВИРТУАЛЬНЫЙ ВЫБОР",OR(Z886="✅ ЗАШЛО",Z886="❌ НЕ ЗАШЛО",Z886="½ ЗАШЛО",Z886="½ НЕ ЗАШЛО",Z886="ВОЗВРАТ")),W886,"")</f>
        <v/>
      </c>
      <c r="AC886" s="15"/>
      <c r="AD886" s="16" t="str">
        <f aca="false">IF(OR(AC886="",P886=""),"",P886/AC886-1)</f>
        <v/>
      </c>
      <c r="AE886" s="19" t="str">
        <f aca="false">IF(AND(M886=0,OR(Z886="✅ ЗАШЛО",Z886="❌ НЕ ЗАШЛО"),L886&lt;&gt;""),(L886-IF(Z886="✅ ЗАШЛО",1,0))^2,"")</f>
        <v/>
      </c>
      <c r="AF886" s="15"/>
      <c r="AG886" s="15"/>
      <c r="AH886" s="13"/>
      <c r="AI886" s="13"/>
      <c r="AJ886" s="13"/>
      <c r="AK886" s="20" t="str">
        <f aca="false">IF(AH886="","",IF(ABS(AH886+AI886+AJ886-1)&lt;0.000001,"OK","ОШИБКА"))</f>
        <v/>
      </c>
      <c r="AL886" s="13"/>
      <c r="AM886" s="12"/>
      <c r="AN886" s="12"/>
      <c r="AO886" s="12"/>
      <c r="AP886" s="12"/>
      <c r="AQ886" s="18" t="str">
        <f aca="false">IF(A886="","",N(AQ885)+N(AA886))</f>
        <v/>
      </c>
      <c r="AR886" s="18" t="str">
        <f aca="false">IF(AQ886="","",MAX(0,MAX($AQ$8:AQ886))-AQ886)</f>
        <v/>
      </c>
    </row>
    <row r="887" customFormat="false" ht="15" hidden="false" customHeight="fals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3"/>
      <c r="M887" s="13"/>
      <c r="N887" s="13"/>
      <c r="O887" s="14" t="str">
        <f aca="false">IF(OR(L887="",L887=0),"",(1-M887)/L887)</f>
        <v/>
      </c>
      <c r="P887" s="15"/>
      <c r="Q887" s="12"/>
      <c r="R887" s="12"/>
      <c r="S887" s="13"/>
      <c r="T887" s="16" t="str">
        <f aca="false">IF(OR(S887="",L887=""),"",L887/(1-M887)-S887)</f>
        <v/>
      </c>
      <c r="U887" s="16" t="str">
        <f aca="false">IF(OR(L887="",P887=""),"",L887*(P887-1)-N887)</f>
        <v/>
      </c>
      <c r="V887" s="13"/>
      <c r="W887" s="17"/>
      <c r="X887" s="12"/>
      <c r="Y887" s="12"/>
      <c r="Z887" s="12"/>
      <c r="AA887" s="18" t="str">
        <f aca="false">IF(K887&lt;&gt;"ВИРТУАЛЬНЫЙ ВЫБОР","",IF(Z887="✅ ЗАШЛО",W887*(P887-1),IF(Z887="❌ НЕ ЗАШЛО",-W887,IF(Z887="½ ЗАШЛО",W887*(P887-1)/2,IF(Z887="½ НЕ ЗАШЛО",-W887/2,IF(Z887="ВОЗВРАТ",0,""))))))</f>
        <v/>
      </c>
      <c r="AB887" s="18" t="str">
        <f aca="false">IF(AND(K887="ВИРТУАЛЬНЫЙ ВЫБОР",OR(Z887="✅ ЗАШЛО",Z887="❌ НЕ ЗАШЛО",Z887="½ ЗАШЛО",Z887="½ НЕ ЗАШЛО",Z887="ВОЗВРАТ")),W887,"")</f>
        <v/>
      </c>
      <c r="AC887" s="15"/>
      <c r="AD887" s="16" t="str">
        <f aca="false">IF(OR(AC887="",P887=""),"",P887/AC887-1)</f>
        <v/>
      </c>
      <c r="AE887" s="19" t="str">
        <f aca="false">IF(AND(M887=0,OR(Z887="✅ ЗАШЛО",Z887="❌ НЕ ЗАШЛО"),L887&lt;&gt;""),(L887-IF(Z887="✅ ЗАШЛО",1,0))^2,"")</f>
        <v/>
      </c>
      <c r="AF887" s="15"/>
      <c r="AG887" s="15"/>
      <c r="AH887" s="13"/>
      <c r="AI887" s="13"/>
      <c r="AJ887" s="13"/>
      <c r="AK887" s="20" t="str">
        <f aca="false">IF(AH887="","",IF(ABS(AH887+AI887+AJ887-1)&lt;0.000001,"OK","ОШИБКА"))</f>
        <v/>
      </c>
      <c r="AL887" s="13"/>
      <c r="AM887" s="12"/>
      <c r="AN887" s="12"/>
      <c r="AO887" s="12"/>
      <c r="AP887" s="12"/>
      <c r="AQ887" s="18" t="str">
        <f aca="false">IF(A887="","",N(AQ886)+N(AA887))</f>
        <v/>
      </c>
      <c r="AR887" s="18" t="str">
        <f aca="false">IF(AQ887="","",MAX(0,MAX($AQ$8:AQ887))-AQ887)</f>
        <v/>
      </c>
    </row>
    <row r="888" customFormat="false" ht="15" hidden="false" customHeight="fals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3"/>
      <c r="M888" s="13"/>
      <c r="N888" s="13"/>
      <c r="O888" s="14" t="str">
        <f aca="false">IF(OR(L888="",L888=0),"",(1-M888)/L888)</f>
        <v/>
      </c>
      <c r="P888" s="15"/>
      <c r="Q888" s="12"/>
      <c r="R888" s="12"/>
      <c r="S888" s="13"/>
      <c r="T888" s="16" t="str">
        <f aca="false">IF(OR(S888="",L888=""),"",L888/(1-M888)-S888)</f>
        <v/>
      </c>
      <c r="U888" s="16" t="str">
        <f aca="false">IF(OR(L888="",P888=""),"",L888*(P888-1)-N888)</f>
        <v/>
      </c>
      <c r="V888" s="13"/>
      <c r="W888" s="17"/>
      <c r="X888" s="12"/>
      <c r="Y888" s="12"/>
      <c r="Z888" s="12"/>
      <c r="AA888" s="18" t="str">
        <f aca="false">IF(K888&lt;&gt;"ВИРТУАЛЬНЫЙ ВЫБОР","",IF(Z888="✅ ЗАШЛО",W888*(P888-1),IF(Z888="❌ НЕ ЗАШЛО",-W888,IF(Z888="½ ЗАШЛО",W888*(P888-1)/2,IF(Z888="½ НЕ ЗАШЛО",-W888/2,IF(Z888="ВОЗВРАТ",0,""))))))</f>
        <v/>
      </c>
      <c r="AB888" s="18" t="str">
        <f aca="false">IF(AND(K888="ВИРТУАЛЬНЫЙ ВЫБОР",OR(Z888="✅ ЗАШЛО",Z888="❌ НЕ ЗАШЛО",Z888="½ ЗАШЛО",Z888="½ НЕ ЗАШЛО",Z888="ВОЗВРАТ")),W888,"")</f>
        <v/>
      </c>
      <c r="AC888" s="15"/>
      <c r="AD888" s="16" t="str">
        <f aca="false">IF(OR(AC888="",P888=""),"",P888/AC888-1)</f>
        <v/>
      </c>
      <c r="AE888" s="19" t="str">
        <f aca="false">IF(AND(M888=0,OR(Z888="✅ ЗАШЛО",Z888="❌ НЕ ЗАШЛО"),L888&lt;&gt;""),(L888-IF(Z888="✅ ЗАШЛО",1,0))^2,"")</f>
        <v/>
      </c>
      <c r="AF888" s="15"/>
      <c r="AG888" s="15"/>
      <c r="AH888" s="13"/>
      <c r="AI888" s="13"/>
      <c r="AJ888" s="13"/>
      <c r="AK888" s="20" t="str">
        <f aca="false">IF(AH888="","",IF(ABS(AH888+AI888+AJ888-1)&lt;0.000001,"OK","ОШИБКА"))</f>
        <v/>
      </c>
      <c r="AL888" s="13"/>
      <c r="AM888" s="12"/>
      <c r="AN888" s="12"/>
      <c r="AO888" s="12"/>
      <c r="AP888" s="12"/>
      <c r="AQ888" s="18" t="str">
        <f aca="false">IF(A888="","",N(AQ887)+N(AA888))</f>
        <v/>
      </c>
      <c r="AR888" s="18" t="str">
        <f aca="false">IF(AQ888="","",MAX(0,MAX($AQ$8:AQ888))-AQ888)</f>
        <v/>
      </c>
    </row>
    <row r="889" customFormat="false" ht="15" hidden="false" customHeight="fals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3"/>
      <c r="M889" s="13"/>
      <c r="N889" s="13"/>
      <c r="O889" s="14" t="str">
        <f aca="false">IF(OR(L889="",L889=0),"",(1-M889)/L889)</f>
        <v/>
      </c>
      <c r="P889" s="15"/>
      <c r="Q889" s="12"/>
      <c r="R889" s="12"/>
      <c r="S889" s="13"/>
      <c r="T889" s="16" t="str">
        <f aca="false">IF(OR(S889="",L889=""),"",L889/(1-M889)-S889)</f>
        <v/>
      </c>
      <c r="U889" s="16" t="str">
        <f aca="false">IF(OR(L889="",P889=""),"",L889*(P889-1)-N889)</f>
        <v/>
      </c>
      <c r="V889" s="13"/>
      <c r="W889" s="17"/>
      <c r="X889" s="12"/>
      <c r="Y889" s="12"/>
      <c r="Z889" s="12"/>
      <c r="AA889" s="18" t="str">
        <f aca="false">IF(K889&lt;&gt;"ВИРТУАЛЬНЫЙ ВЫБОР","",IF(Z889="✅ ЗАШЛО",W889*(P889-1),IF(Z889="❌ НЕ ЗАШЛО",-W889,IF(Z889="½ ЗАШЛО",W889*(P889-1)/2,IF(Z889="½ НЕ ЗАШЛО",-W889/2,IF(Z889="ВОЗВРАТ",0,""))))))</f>
        <v/>
      </c>
      <c r="AB889" s="18" t="str">
        <f aca="false">IF(AND(K889="ВИРТУАЛЬНЫЙ ВЫБОР",OR(Z889="✅ ЗАШЛО",Z889="❌ НЕ ЗАШЛО",Z889="½ ЗАШЛО",Z889="½ НЕ ЗАШЛО",Z889="ВОЗВРАТ")),W889,"")</f>
        <v/>
      </c>
      <c r="AC889" s="15"/>
      <c r="AD889" s="16" t="str">
        <f aca="false">IF(OR(AC889="",P889=""),"",P889/AC889-1)</f>
        <v/>
      </c>
      <c r="AE889" s="19" t="str">
        <f aca="false">IF(AND(M889=0,OR(Z889="✅ ЗАШЛО",Z889="❌ НЕ ЗАШЛО"),L889&lt;&gt;""),(L889-IF(Z889="✅ ЗАШЛО",1,0))^2,"")</f>
        <v/>
      </c>
      <c r="AF889" s="15"/>
      <c r="AG889" s="15"/>
      <c r="AH889" s="13"/>
      <c r="AI889" s="13"/>
      <c r="AJ889" s="13"/>
      <c r="AK889" s="20" t="str">
        <f aca="false">IF(AH889="","",IF(ABS(AH889+AI889+AJ889-1)&lt;0.000001,"OK","ОШИБКА"))</f>
        <v/>
      </c>
      <c r="AL889" s="13"/>
      <c r="AM889" s="12"/>
      <c r="AN889" s="12"/>
      <c r="AO889" s="12"/>
      <c r="AP889" s="12"/>
      <c r="AQ889" s="18" t="str">
        <f aca="false">IF(A889="","",N(AQ888)+N(AA889))</f>
        <v/>
      </c>
      <c r="AR889" s="18" t="str">
        <f aca="false">IF(AQ889="","",MAX(0,MAX($AQ$8:AQ889))-AQ889)</f>
        <v/>
      </c>
    </row>
    <row r="890" customFormat="false" ht="15" hidden="false" customHeight="fals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3"/>
      <c r="M890" s="13"/>
      <c r="N890" s="13"/>
      <c r="O890" s="14" t="str">
        <f aca="false">IF(OR(L890="",L890=0),"",(1-M890)/L890)</f>
        <v/>
      </c>
      <c r="P890" s="15"/>
      <c r="Q890" s="12"/>
      <c r="R890" s="12"/>
      <c r="S890" s="13"/>
      <c r="T890" s="16" t="str">
        <f aca="false">IF(OR(S890="",L890=""),"",L890/(1-M890)-S890)</f>
        <v/>
      </c>
      <c r="U890" s="16" t="str">
        <f aca="false">IF(OR(L890="",P890=""),"",L890*(P890-1)-N890)</f>
        <v/>
      </c>
      <c r="V890" s="13"/>
      <c r="W890" s="17"/>
      <c r="X890" s="12"/>
      <c r="Y890" s="12"/>
      <c r="Z890" s="12"/>
      <c r="AA890" s="18" t="str">
        <f aca="false">IF(K890&lt;&gt;"ВИРТУАЛЬНЫЙ ВЫБОР","",IF(Z890="✅ ЗАШЛО",W890*(P890-1),IF(Z890="❌ НЕ ЗАШЛО",-W890,IF(Z890="½ ЗАШЛО",W890*(P890-1)/2,IF(Z890="½ НЕ ЗАШЛО",-W890/2,IF(Z890="ВОЗВРАТ",0,""))))))</f>
        <v/>
      </c>
      <c r="AB890" s="18" t="str">
        <f aca="false">IF(AND(K890="ВИРТУАЛЬНЫЙ ВЫБОР",OR(Z890="✅ ЗАШЛО",Z890="❌ НЕ ЗАШЛО",Z890="½ ЗАШЛО",Z890="½ НЕ ЗАШЛО",Z890="ВОЗВРАТ")),W890,"")</f>
        <v/>
      </c>
      <c r="AC890" s="15"/>
      <c r="AD890" s="16" t="str">
        <f aca="false">IF(OR(AC890="",P890=""),"",P890/AC890-1)</f>
        <v/>
      </c>
      <c r="AE890" s="19" t="str">
        <f aca="false">IF(AND(M890=0,OR(Z890="✅ ЗАШЛО",Z890="❌ НЕ ЗАШЛО"),L890&lt;&gt;""),(L890-IF(Z890="✅ ЗАШЛО",1,0))^2,"")</f>
        <v/>
      </c>
      <c r="AF890" s="15"/>
      <c r="AG890" s="15"/>
      <c r="AH890" s="13"/>
      <c r="AI890" s="13"/>
      <c r="AJ890" s="13"/>
      <c r="AK890" s="20" t="str">
        <f aca="false">IF(AH890="","",IF(ABS(AH890+AI890+AJ890-1)&lt;0.000001,"OK","ОШИБКА"))</f>
        <v/>
      </c>
      <c r="AL890" s="13"/>
      <c r="AM890" s="12"/>
      <c r="AN890" s="12"/>
      <c r="AO890" s="12"/>
      <c r="AP890" s="12"/>
      <c r="AQ890" s="18" t="str">
        <f aca="false">IF(A890="","",N(AQ889)+N(AA890))</f>
        <v/>
      </c>
      <c r="AR890" s="18" t="str">
        <f aca="false">IF(AQ890="","",MAX(0,MAX($AQ$8:AQ890))-AQ890)</f>
        <v/>
      </c>
    </row>
    <row r="891" customFormat="false" ht="15" hidden="false" customHeight="fals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3"/>
      <c r="M891" s="13"/>
      <c r="N891" s="13"/>
      <c r="O891" s="14" t="str">
        <f aca="false">IF(OR(L891="",L891=0),"",(1-M891)/L891)</f>
        <v/>
      </c>
      <c r="P891" s="15"/>
      <c r="Q891" s="12"/>
      <c r="R891" s="12"/>
      <c r="S891" s="13"/>
      <c r="T891" s="16" t="str">
        <f aca="false">IF(OR(S891="",L891=""),"",L891/(1-M891)-S891)</f>
        <v/>
      </c>
      <c r="U891" s="16" t="str">
        <f aca="false">IF(OR(L891="",P891=""),"",L891*(P891-1)-N891)</f>
        <v/>
      </c>
      <c r="V891" s="13"/>
      <c r="W891" s="17"/>
      <c r="X891" s="12"/>
      <c r="Y891" s="12"/>
      <c r="Z891" s="12"/>
      <c r="AA891" s="18" t="str">
        <f aca="false">IF(K891&lt;&gt;"ВИРТУАЛЬНЫЙ ВЫБОР","",IF(Z891="✅ ЗАШЛО",W891*(P891-1),IF(Z891="❌ НЕ ЗАШЛО",-W891,IF(Z891="½ ЗАШЛО",W891*(P891-1)/2,IF(Z891="½ НЕ ЗАШЛО",-W891/2,IF(Z891="ВОЗВРАТ",0,""))))))</f>
        <v/>
      </c>
      <c r="AB891" s="18" t="str">
        <f aca="false">IF(AND(K891="ВИРТУАЛЬНЫЙ ВЫБОР",OR(Z891="✅ ЗАШЛО",Z891="❌ НЕ ЗАШЛО",Z891="½ ЗАШЛО",Z891="½ НЕ ЗАШЛО",Z891="ВОЗВРАТ")),W891,"")</f>
        <v/>
      </c>
      <c r="AC891" s="15"/>
      <c r="AD891" s="16" t="str">
        <f aca="false">IF(OR(AC891="",P891=""),"",P891/AC891-1)</f>
        <v/>
      </c>
      <c r="AE891" s="19" t="str">
        <f aca="false">IF(AND(M891=0,OR(Z891="✅ ЗАШЛО",Z891="❌ НЕ ЗАШЛО"),L891&lt;&gt;""),(L891-IF(Z891="✅ ЗАШЛО",1,0))^2,"")</f>
        <v/>
      </c>
      <c r="AF891" s="15"/>
      <c r="AG891" s="15"/>
      <c r="AH891" s="13"/>
      <c r="AI891" s="13"/>
      <c r="AJ891" s="13"/>
      <c r="AK891" s="20" t="str">
        <f aca="false">IF(AH891="","",IF(ABS(AH891+AI891+AJ891-1)&lt;0.000001,"OK","ОШИБКА"))</f>
        <v/>
      </c>
      <c r="AL891" s="13"/>
      <c r="AM891" s="12"/>
      <c r="AN891" s="12"/>
      <c r="AO891" s="12"/>
      <c r="AP891" s="12"/>
      <c r="AQ891" s="18" t="str">
        <f aca="false">IF(A891="","",N(AQ890)+N(AA891))</f>
        <v/>
      </c>
      <c r="AR891" s="18" t="str">
        <f aca="false">IF(AQ891="","",MAX(0,MAX($AQ$8:AQ891))-AQ891)</f>
        <v/>
      </c>
    </row>
    <row r="892" customFormat="false" ht="15" hidden="false" customHeight="fals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3"/>
      <c r="M892" s="13"/>
      <c r="N892" s="13"/>
      <c r="O892" s="14" t="str">
        <f aca="false">IF(OR(L892="",L892=0),"",(1-M892)/L892)</f>
        <v/>
      </c>
      <c r="P892" s="15"/>
      <c r="Q892" s="12"/>
      <c r="R892" s="12"/>
      <c r="S892" s="13"/>
      <c r="T892" s="16" t="str">
        <f aca="false">IF(OR(S892="",L892=""),"",L892/(1-M892)-S892)</f>
        <v/>
      </c>
      <c r="U892" s="16" t="str">
        <f aca="false">IF(OR(L892="",P892=""),"",L892*(P892-1)-N892)</f>
        <v/>
      </c>
      <c r="V892" s="13"/>
      <c r="W892" s="17"/>
      <c r="X892" s="12"/>
      <c r="Y892" s="12"/>
      <c r="Z892" s="12"/>
      <c r="AA892" s="18" t="str">
        <f aca="false">IF(K892&lt;&gt;"ВИРТУАЛЬНЫЙ ВЫБОР","",IF(Z892="✅ ЗАШЛО",W892*(P892-1),IF(Z892="❌ НЕ ЗАШЛО",-W892,IF(Z892="½ ЗАШЛО",W892*(P892-1)/2,IF(Z892="½ НЕ ЗАШЛО",-W892/2,IF(Z892="ВОЗВРАТ",0,""))))))</f>
        <v/>
      </c>
      <c r="AB892" s="18" t="str">
        <f aca="false">IF(AND(K892="ВИРТУАЛЬНЫЙ ВЫБОР",OR(Z892="✅ ЗАШЛО",Z892="❌ НЕ ЗАШЛО",Z892="½ ЗАШЛО",Z892="½ НЕ ЗАШЛО",Z892="ВОЗВРАТ")),W892,"")</f>
        <v/>
      </c>
      <c r="AC892" s="15"/>
      <c r="AD892" s="16" t="str">
        <f aca="false">IF(OR(AC892="",P892=""),"",P892/AC892-1)</f>
        <v/>
      </c>
      <c r="AE892" s="19" t="str">
        <f aca="false">IF(AND(M892=0,OR(Z892="✅ ЗАШЛО",Z892="❌ НЕ ЗАШЛО"),L892&lt;&gt;""),(L892-IF(Z892="✅ ЗАШЛО",1,0))^2,"")</f>
        <v/>
      </c>
      <c r="AF892" s="15"/>
      <c r="AG892" s="15"/>
      <c r="AH892" s="13"/>
      <c r="AI892" s="13"/>
      <c r="AJ892" s="13"/>
      <c r="AK892" s="20" t="str">
        <f aca="false">IF(AH892="","",IF(ABS(AH892+AI892+AJ892-1)&lt;0.000001,"OK","ОШИБКА"))</f>
        <v/>
      </c>
      <c r="AL892" s="13"/>
      <c r="AM892" s="12"/>
      <c r="AN892" s="12"/>
      <c r="AO892" s="12"/>
      <c r="AP892" s="12"/>
      <c r="AQ892" s="18" t="str">
        <f aca="false">IF(A892="","",N(AQ891)+N(AA892))</f>
        <v/>
      </c>
      <c r="AR892" s="18" t="str">
        <f aca="false">IF(AQ892="","",MAX(0,MAX($AQ$8:AQ892))-AQ892)</f>
        <v/>
      </c>
    </row>
    <row r="893" customFormat="false" ht="15" hidden="false" customHeight="fals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3"/>
      <c r="M893" s="13"/>
      <c r="N893" s="13"/>
      <c r="O893" s="14" t="str">
        <f aca="false">IF(OR(L893="",L893=0),"",(1-M893)/L893)</f>
        <v/>
      </c>
      <c r="P893" s="15"/>
      <c r="Q893" s="12"/>
      <c r="R893" s="12"/>
      <c r="S893" s="13"/>
      <c r="T893" s="16" t="str">
        <f aca="false">IF(OR(S893="",L893=""),"",L893/(1-M893)-S893)</f>
        <v/>
      </c>
      <c r="U893" s="16" t="str">
        <f aca="false">IF(OR(L893="",P893=""),"",L893*(P893-1)-N893)</f>
        <v/>
      </c>
      <c r="V893" s="13"/>
      <c r="W893" s="17"/>
      <c r="X893" s="12"/>
      <c r="Y893" s="12"/>
      <c r="Z893" s="12"/>
      <c r="AA893" s="18" t="str">
        <f aca="false">IF(K893&lt;&gt;"ВИРТУАЛЬНЫЙ ВЫБОР","",IF(Z893="✅ ЗАШЛО",W893*(P893-1),IF(Z893="❌ НЕ ЗАШЛО",-W893,IF(Z893="½ ЗАШЛО",W893*(P893-1)/2,IF(Z893="½ НЕ ЗАШЛО",-W893/2,IF(Z893="ВОЗВРАТ",0,""))))))</f>
        <v/>
      </c>
      <c r="AB893" s="18" t="str">
        <f aca="false">IF(AND(K893="ВИРТУАЛЬНЫЙ ВЫБОР",OR(Z893="✅ ЗАШЛО",Z893="❌ НЕ ЗАШЛО",Z893="½ ЗАШЛО",Z893="½ НЕ ЗАШЛО",Z893="ВОЗВРАТ")),W893,"")</f>
        <v/>
      </c>
      <c r="AC893" s="15"/>
      <c r="AD893" s="16" t="str">
        <f aca="false">IF(OR(AC893="",P893=""),"",P893/AC893-1)</f>
        <v/>
      </c>
      <c r="AE893" s="19" t="str">
        <f aca="false">IF(AND(M893=0,OR(Z893="✅ ЗАШЛО",Z893="❌ НЕ ЗАШЛО"),L893&lt;&gt;""),(L893-IF(Z893="✅ ЗАШЛО",1,0))^2,"")</f>
        <v/>
      </c>
      <c r="AF893" s="15"/>
      <c r="AG893" s="15"/>
      <c r="AH893" s="13"/>
      <c r="AI893" s="13"/>
      <c r="AJ893" s="13"/>
      <c r="AK893" s="20" t="str">
        <f aca="false">IF(AH893="","",IF(ABS(AH893+AI893+AJ893-1)&lt;0.000001,"OK","ОШИБКА"))</f>
        <v/>
      </c>
      <c r="AL893" s="13"/>
      <c r="AM893" s="12"/>
      <c r="AN893" s="12"/>
      <c r="AO893" s="12"/>
      <c r="AP893" s="12"/>
      <c r="AQ893" s="18" t="str">
        <f aca="false">IF(A893="","",N(AQ892)+N(AA893))</f>
        <v/>
      </c>
      <c r="AR893" s="18" t="str">
        <f aca="false">IF(AQ893="","",MAX(0,MAX($AQ$8:AQ893))-AQ893)</f>
        <v/>
      </c>
    </row>
    <row r="894" customFormat="false" ht="15" hidden="false" customHeight="fals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3"/>
      <c r="M894" s="13"/>
      <c r="N894" s="13"/>
      <c r="O894" s="14" t="str">
        <f aca="false">IF(OR(L894="",L894=0),"",(1-M894)/L894)</f>
        <v/>
      </c>
      <c r="P894" s="15"/>
      <c r="Q894" s="12"/>
      <c r="R894" s="12"/>
      <c r="S894" s="13"/>
      <c r="T894" s="16" t="str">
        <f aca="false">IF(OR(S894="",L894=""),"",L894/(1-M894)-S894)</f>
        <v/>
      </c>
      <c r="U894" s="16" t="str">
        <f aca="false">IF(OR(L894="",P894=""),"",L894*(P894-1)-N894)</f>
        <v/>
      </c>
      <c r="V894" s="13"/>
      <c r="W894" s="17"/>
      <c r="X894" s="12"/>
      <c r="Y894" s="12"/>
      <c r="Z894" s="12"/>
      <c r="AA894" s="18" t="str">
        <f aca="false">IF(K894&lt;&gt;"ВИРТУАЛЬНЫЙ ВЫБОР","",IF(Z894="✅ ЗАШЛО",W894*(P894-1),IF(Z894="❌ НЕ ЗАШЛО",-W894,IF(Z894="½ ЗАШЛО",W894*(P894-1)/2,IF(Z894="½ НЕ ЗАШЛО",-W894/2,IF(Z894="ВОЗВРАТ",0,""))))))</f>
        <v/>
      </c>
      <c r="AB894" s="18" t="str">
        <f aca="false">IF(AND(K894="ВИРТУАЛЬНЫЙ ВЫБОР",OR(Z894="✅ ЗАШЛО",Z894="❌ НЕ ЗАШЛО",Z894="½ ЗАШЛО",Z894="½ НЕ ЗАШЛО",Z894="ВОЗВРАТ")),W894,"")</f>
        <v/>
      </c>
      <c r="AC894" s="15"/>
      <c r="AD894" s="16" t="str">
        <f aca="false">IF(OR(AC894="",P894=""),"",P894/AC894-1)</f>
        <v/>
      </c>
      <c r="AE894" s="19" t="str">
        <f aca="false">IF(AND(M894=0,OR(Z894="✅ ЗАШЛО",Z894="❌ НЕ ЗАШЛО"),L894&lt;&gt;""),(L894-IF(Z894="✅ ЗАШЛО",1,0))^2,"")</f>
        <v/>
      </c>
      <c r="AF894" s="15"/>
      <c r="AG894" s="15"/>
      <c r="AH894" s="13"/>
      <c r="AI894" s="13"/>
      <c r="AJ894" s="13"/>
      <c r="AK894" s="20" t="str">
        <f aca="false">IF(AH894="","",IF(ABS(AH894+AI894+AJ894-1)&lt;0.000001,"OK","ОШИБКА"))</f>
        <v/>
      </c>
      <c r="AL894" s="13"/>
      <c r="AM894" s="12"/>
      <c r="AN894" s="12"/>
      <c r="AO894" s="12"/>
      <c r="AP894" s="12"/>
      <c r="AQ894" s="18" t="str">
        <f aca="false">IF(A894="","",N(AQ893)+N(AA894))</f>
        <v/>
      </c>
      <c r="AR894" s="18" t="str">
        <f aca="false">IF(AQ894="","",MAX(0,MAX($AQ$8:AQ894))-AQ894)</f>
        <v/>
      </c>
    </row>
    <row r="895" customFormat="false" ht="15" hidden="false" customHeight="fals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3"/>
      <c r="M895" s="13"/>
      <c r="N895" s="13"/>
      <c r="O895" s="14" t="str">
        <f aca="false">IF(OR(L895="",L895=0),"",(1-M895)/L895)</f>
        <v/>
      </c>
      <c r="P895" s="15"/>
      <c r="Q895" s="12"/>
      <c r="R895" s="12"/>
      <c r="S895" s="13"/>
      <c r="T895" s="16" t="str">
        <f aca="false">IF(OR(S895="",L895=""),"",L895/(1-M895)-S895)</f>
        <v/>
      </c>
      <c r="U895" s="16" t="str">
        <f aca="false">IF(OR(L895="",P895=""),"",L895*(P895-1)-N895)</f>
        <v/>
      </c>
      <c r="V895" s="13"/>
      <c r="W895" s="17"/>
      <c r="X895" s="12"/>
      <c r="Y895" s="12"/>
      <c r="Z895" s="12"/>
      <c r="AA895" s="18" t="str">
        <f aca="false">IF(K895&lt;&gt;"ВИРТУАЛЬНЫЙ ВЫБОР","",IF(Z895="✅ ЗАШЛО",W895*(P895-1),IF(Z895="❌ НЕ ЗАШЛО",-W895,IF(Z895="½ ЗАШЛО",W895*(P895-1)/2,IF(Z895="½ НЕ ЗАШЛО",-W895/2,IF(Z895="ВОЗВРАТ",0,""))))))</f>
        <v/>
      </c>
      <c r="AB895" s="18" t="str">
        <f aca="false">IF(AND(K895="ВИРТУАЛЬНЫЙ ВЫБОР",OR(Z895="✅ ЗАШЛО",Z895="❌ НЕ ЗАШЛО",Z895="½ ЗАШЛО",Z895="½ НЕ ЗАШЛО",Z895="ВОЗВРАТ")),W895,"")</f>
        <v/>
      </c>
      <c r="AC895" s="15"/>
      <c r="AD895" s="16" t="str">
        <f aca="false">IF(OR(AC895="",P895=""),"",P895/AC895-1)</f>
        <v/>
      </c>
      <c r="AE895" s="19" t="str">
        <f aca="false">IF(AND(M895=0,OR(Z895="✅ ЗАШЛО",Z895="❌ НЕ ЗАШЛО"),L895&lt;&gt;""),(L895-IF(Z895="✅ ЗАШЛО",1,0))^2,"")</f>
        <v/>
      </c>
      <c r="AF895" s="15"/>
      <c r="AG895" s="15"/>
      <c r="AH895" s="13"/>
      <c r="AI895" s="13"/>
      <c r="AJ895" s="13"/>
      <c r="AK895" s="20" t="str">
        <f aca="false">IF(AH895="","",IF(ABS(AH895+AI895+AJ895-1)&lt;0.000001,"OK","ОШИБКА"))</f>
        <v/>
      </c>
      <c r="AL895" s="13"/>
      <c r="AM895" s="12"/>
      <c r="AN895" s="12"/>
      <c r="AO895" s="12"/>
      <c r="AP895" s="12"/>
      <c r="AQ895" s="18" t="str">
        <f aca="false">IF(A895="","",N(AQ894)+N(AA895))</f>
        <v/>
      </c>
      <c r="AR895" s="18" t="str">
        <f aca="false">IF(AQ895="","",MAX(0,MAX($AQ$8:AQ895))-AQ895)</f>
        <v/>
      </c>
    </row>
    <row r="896" customFormat="false" ht="15" hidden="false" customHeight="fals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3"/>
      <c r="M896" s="13"/>
      <c r="N896" s="13"/>
      <c r="O896" s="14" t="str">
        <f aca="false">IF(OR(L896="",L896=0),"",(1-M896)/L896)</f>
        <v/>
      </c>
      <c r="P896" s="15"/>
      <c r="Q896" s="12"/>
      <c r="R896" s="12"/>
      <c r="S896" s="13"/>
      <c r="T896" s="16" t="str">
        <f aca="false">IF(OR(S896="",L896=""),"",L896/(1-M896)-S896)</f>
        <v/>
      </c>
      <c r="U896" s="16" t="str">
        <f aca="false">IF(OR(L896="",P896=""),"",L896*(P896-1)-N896)</f>
        <v/>
      </c>
      <c r="V896" s="13"/>
      <c r="W896" s="17"/>
      <c r="X896" s="12"/>
      <c r="Y896" s="12"/>
      <c r="Z896" s="12"/>
      <c r="AA896" s="18" t="str">
        <f aca="false">IF(K896&lt;&gt;"ВИРТУАЛЬНЫЙ ВЫБОР","",IF(Z896="✅ ЗАШЛО",W896*(P896-1),IF(Z896="❌ НЕ ЗАШЛО",-W896,IF(Z896="½ ЗАШЛО",W896*(P896-1)/2,IF(Z896="½ НЕ ЗАШЛО",-W896/2,IF(Z896="ВОЗВРАТ",0,""))))))</f>
        <v/>
      </c>
      <c r="AB896" s="18" t="str">
        <f aca="false">IF(AND(K896="ВИРТУАЛЬНЫЙ ВЫБОР",OR(Z896="✅ ЗАШЛО",Z896="❌ НЕ ЗАШЛО",Z896="½ ЗАШЛО",Z896="½ НЕ ЗАШЛО",Z896="ВОЗВРАТ")),W896,"")</f>
        <v/>
      </c>
      <c r="AC896" s="15"/>
      <c r="AD896" s="16" t="str">
        <f aca="false">IF(OR(AC896="",P896=""),"",P896/AC896-1)</f>
        <v/>
      </c>
      <c r="AE896" s="19" t="str">
        <f aca="false">IF(AND(M896=0,OR(Z896="✅ ЗАШЛО",Z896="❌ НЕ ЗАШЛО"),L896&lt;&gt;""),(L896-IF(Z896="✅ ЗАШЛО",1,0))^2,"")</f>
        <v/>
      </c>
      <c r="AF896" s="15"/>
      <c r="AG896" s="15"/>
      <c r="AH896" s="13"/>
      <c r="AI896" s="13"/>
      <c r="AJ896" s="13"/>
      <c r="AK896" s="20" t="str">
        <f aca="false">IF(AH896="","",IF(ABS(AH896+AI896+AJ896-1)&lt;0.000001,"OK","ОШИБКА"))</f>
        <v/>
      </c>
      <c r="AL896" s="13"/>
      <c r="AM896" s="12"/>
      <c r="AN896" s="12"/>
      <c r="AO896" s="12"/>
      <c r="AP896" s="12"/>
      <c r="AQ896" s="18" t="str">
        <f aca="false">IF(A896="","",N(AQ895)+N(AA896))</f>
        <v/>
      </c>
      <c r="AR896" s="18" t="str">
        <f aca="false">IF(AQ896="","",MAX(0,MAX($AQ$8:AQ896))-AQ896)</f>
        <v/>
      </c>
    </row>
    <row r="897" customFormat="false" ht="15" hidden="false" customHeight="fals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3"/>
      <c r="M897" s="13"/>
      <c r="N897" s="13"/>
      <c r="O897" s="14" t="str">
        <f aca="false">IF(OR(L897="",L897=0),"",(1-M897)/L897)</f>
        <v/>
      </c>
      <c r="P897" s="15"/>
      <c r="Q897" s="12"/>
      <c r="R897" s="12"/>
      <c r="S897" s="13"/>
      <c r="T897" s="16" t="str">
        <f aca="false">IF(OR(S897="",L897=""),"",L897/(1-M897)-S897)</f>
        <v/>
      </c>
      <c r="U897" s="16" t="str">
        <f aca="false">IF(OR(L897="",P897=""),"",L897*(P897-1)-N897)</f>
        <v/>
      </c>
      <c r="V897" s="13"/>
      <c r="W897" s="17"/>
      <c r="X897" s="12"/>
      <c r="Y897" s="12"/>
      <c r="Z897" s="12"/>
      <c r="AA897" s="18" t="str">
        <f aca="false">IF(K897&lt;&gt;"ВИРТУАЛЬНЫЙ ВЫБОР","",IF(Z897="✅ ЗАШЛО",W897*(P897-1),IF(Z897="❌ НЕ ЗАШЛО",-W897,IF(Z897="½ ЗАШЛО",W897*(P897-1)/2,IF(Z897="½ НЕ ЗАШЛО",-W897/2,IF(Z897="ВОЗВРАТ",0,""))))))</f>
        <v/>
      </c>
      <c r="AB897" s="18" t="str">
        <f aca="false">IF(AND(K897="ВИРТУАЛЬНЫЙ ВЫБОР",OR(Z897="✅ ЗАШЛО",Z897="❌ НЕ ЗАШЛО",Z897="½ ЗАШЛО",Z897="½ НЕ ЗАШЛО",Z897="ВОЗВРАТ")),W897,"")</f>
        <v/>
      </c>
      <c r="AC897" s="15"/>
      <c r="AD897" s="16" t="str">
        <f aca="false">IF(OR(AC897="",P897=""),"",P897/AC897-1)</f>
        <v/>
      </c>
      <c r="AE897" s="19" t="str">
        <f aca="false">IF(AND(M897=0,OR(Z897="✅ ЗАШЛО",Z897="❌ НЕ ЗАШЛО"),L897&lt;&gt;""),(L897-IF(Z897="✅ ЗАШЛО",1,0))^2,"")</f>
        <v/>
      </c>
      <c r="AF897" s="15"/>
      <c r="AG897" s="15"/>
      <c r="AH897" s="13"/>
      <c r="AI897" s="13"/>
      <c r="AJ897" s="13"/>
      <c r="AK897" s="20" t="str">
        <f aca="false">IF(AH897="","",IF(ABS(AH897+AI897+AJ897-1)&lt;0.000001,"OK","ОШИБКА"))</f>
        <v/>
      </c>
      <c r="AL897" s="13"/>
      <c r="AM897" s="12"/>
      <c r="AN897" s="12"/>
      <c r="AO897" s="12"/>
      <c r="AP897" s="12"/>
      <c r="AQ897" s="18" t="str">
        <f aca="false">IF(A897="","",N(AQ896)+N(AA897))</f>
        <v/>
      </c>
      <c r="AR897" s="18" t="str">
        <f aca="false">IF(AQ897="","",MAX(0,MAX($AQ$8:AQ897))-AQ897)</f>
        <v/>
      </c>
    </row>
    <row r="898" customFormat="false" ht="15" hidden="false" customHeight="fals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3"/>
      <c r="M898" s="13"/>
      <c r="N898" s="13"/>
      <c r="O898" s="14" t="str">
        <f aca="false">IF(OR(L898="",L898=0),"",(1-M898)/L898)</f>
        <v/>
      </c>
      <c r="P898" s="15"/>
      <c r="Q898" s="12"/>
      <c r="R898" s="12"/>
      <c r="S898" s="13"/>
      <c r="T898" s="16" t="str">
        <f aca="false">IF(OR(S898="",L898=""),"",L898/(1-M898)-S898)</f>
        <v/>
      </c>
      <c r="U898" s="16" t="str">
        <f aca="false">IF(OR(L898="",P898=""),"",L898*(P898-1)-N898)</f>
        <v/>
      </c>
      <c r="V898" s="13"/>
      <c r="W898" s="17"/>
      <c r="X898" s="12"/>
      <c r="Y898" s="12"/>
      <c r="Z898" s="12"/>
      <c r="AA898" s="18" t="str">
        <f aca="false">IF(K898&lt;&gt;"ВИРТУАЛЬНЫЙ ВЫБОР","",IF(Z898="✅ ЗАШЛО",W898*(P898-1),IF(Z898="❌ НЕ ЗАШЛО",-W898,IF(Z898="½ ЗАШЛО",W898*(P898-1)/2,IF(Z898="½ НЕ ЗАШЛО",-W898/2,IF(Z898="ВОЗВРАТ",0,""))))))</f>
        <v/>
      </c>
      <c r="AB898" s="18" t="str">
        <f aca="false">IF(AND(K898="ВИРТУАЛЬНЫЙ ВЫБОР",OR(Z898="✅ ЗАШЛО",Z898="❌ НЕ ЗАШЛО",Z898="½ ЗАШЛО",Z898="½ НЕ ЗАШЛО",Z898="ВОЗВРАТ")),W898,"")</f>
        <v/>
      </c>
      <c r="AC898" s="15"/>
      <c r="AD898" s="16" t="str">
        <f aca="false">IF(OR(AC898="",P898=""),"",P898/AC898-1)</f>
        <v/>
      </c>
      <c r="AE898" s="19" t="str">
        <f aca="false">IF(AND(M898=0,OR(Z898="✅ ЗАШЛО",Z898="❌ НЕ ЗАШЛО"),L898&lt;&gt;""),(L898-IF(Z898="✅ ЗАШЛО",1,0))^2,"")</f>
        <v/>
      </c>
      <c r="AF898" s="15"/>
      <c r="AG898" s="15"/>
      <c r="AH898" s="13"/>
      <c r="AI898" s="13"/>
      <c r="AJ898" s="13"/>
      <c r="AK898" s="20" t="str">
        <f aca="false">IF(AH898="","",IF(ABS(AH898+AI898+AJ898-1)&lt;0.000001,"OK","ОШИБКА"))</f>
        <v/>
      </c>
      <c r="AL898" s="13"/>
      <c r="AM898" s="12"/>
      <c r="AN898" s="12"/>
      <c r="AO898" s="12"/>
      <c r="AP898" s="12"/>
      <c r="AQ898" s="18" t="str">
        <f aca="false">IF(A898="","",N(AQ897)+N(AA898))</f>
        <v/>
      </c>
      <c r="AR898" s="18" t="str">
        <f aca="false">IF(AQ898="","",MAX(0,MAX($AQ$8:AQ898))-AQ898)</f>
        <v/>
      </c>
    </row>
    <row r="899" customFormat="false" ht="15" hidden="false" customHeight="fals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3"/>
      <c r="M899" s="13"/>
      <c r="N899" s="13"/>
      <c r="O899" s="14" t="str">
        <f aca="false">IF(OR(L899="",L899=0),"",(1-M899)/L899)</f>
        <v/>
      </c>
      <c r="P899" s="15"/>
      <c r="Q899" s="12"/>
      <c r="R899" s="12"/>
      <c r="S899" s="13"/>
      <c r="T899" s="16" t="str">
        <f aca="false">IF(OR(S899="",L899=""),"",L899/(1-M899)-S899)</f>
        <v/>
      </c>
      <c r="U899" s="16" t="str">
        <f aca="false">IF(OR(L899="",P899=""),"",L899*(P899-1)-N899)</f>
        <v/>
      </c>
      <c r="V899" s="13"/>
      <c r="W899" s="17"/>
      <c r="X899" s="12"/>
      <c r="Y899" s="12"/>
      <c r="Z899" s="12"/>
      <c r="AA899" s="18" t="str">
        <f aca="false">IF(K899&lt;&gt;"ВИРТУАЛЬНЫЙ ВЫБОР","",IF(Z899="✅ ЗАШЛО",W899*(P899-1),IF(Z899="❌ НЕ ЗАШЛО",-W899,IF(Z899="½ ЗАШЛО",W899*(P899-1)/2,IF(Z899="½ НЕ ЗАШЛО",-W899/2,IF(Z899="ВОЗВРАТ",0,""))))))</f>
        <v/>
      </c>
      <c r="AB899" s="18" t="str">
        <f aca="false">IF(AND(K899="ВИРТУАЛЬНЫЙ ВЫБОР",OR(Z899="✅ ЗАШЛО",Z899="❌ НЕ ЗАШЛО",Z899="½ ЗАШЛО",Z899="½ НЕ ЗАШЛО",Z899="ВОЗВРАТ")),W899,"")</f>
        <v/>
      </c>
      <c r="AC899" s="15"/>
      <c r="AD899" s="16" t="str">
        <f aca="false">IF(OR(AC899="",P899=""),"",P899/AC899-1)</f>
        <v/>
      </c>
      <c r="AE899" s="19" t="str">
        <f aca="false">IF(AND(M899=0,OR(Z899="✅ ЗАШЛО",Z899="❌ НЕ ЗАШЛО"),L899&lt;&gt;""),(L899-IF(Z899="✅ ЗАШЛО",1,0))^2,"")</f>
        <v/>
      </c>
      <c r="AF899" s="15"/>
      <c r="AG899" s="15"/>
      <c r="AH899" s="13"/>
      <c r="AI899" s="13"/>
      <c r="AJ899" s="13"/>
      <c r="AK899" s="20" t="str">
        <f aca="false">IF(AH899="","",IF(ABS(AH899+AI899+AJ899-1)&lt;0.000001,"OK","ОШИБКА"))</f>
        <v/>
      </c>
      <c r="AL899" s="13"/>
      <c r="AM899" s="12"/>
      <c r="AN899" s="12"/>
      <c r="AO899" s="12"/>
      <c r="AP899" s="12"/>
      <c r="AQ899" s="18" t="str">
        <f aca="false">IF(A899="","",N(AQ898)+N(AA899))</f>
        <v/>
      </c>
      <c r="AR899" s="18" t="str">
        <f aca="false">IF(AQ899="","",MAX(0,MAX($AQ$8:AQ899))-AQ899)</f>
        <v/>
      </c>
    </row>
    <row r="900" customFormat="false" ht="15" hidden="false" customHeight="fals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3"/>
      <c r="M900" s="13"/>
      <c r="N900" s="13"/>
      <c r="O900" s="14" t="str">
        <f aca="false">IF(OR(L900="",L900=0),"",(1-M900)/L900)</f>
        <v/>
      </c>
      <c r="P900" s="15"/>
      <c r="Q900" s="12"/>
      <c r="R900" s="12"/>
      <c r="S900" s="13"/>
      <c r="T900" s="16" t="str">
        <f aca="false">IF(OR(S900="",L900=""),"",L900/(1-M900)-S900)</f>
        <v/>
      </c>
      <c r="U900" s="16" t="str">
        <f aca="false">IF(OR(L900="",P900=""),"",L900*(P900-1)-N900)</f>
        <v/>
      </c>
      <c r="V900" s="13"/>
      <c r="W900" s="17"/>
      <c r="X900" s="12"/>
      <c r="Y900" s="12"/>
      <c r="Z900" s="12"/>
      <c r="AA900" s="18" t="str">
        <f aca="false">IF(K900&lt;&gt;"ВИРТУАЛЬНЫЙ ВЫБОР","",IF(Z900="✅ ЗАШЛО",W900*(P900-1),IF(Z900="❌ НЕ ЗАШЛО",-W900,IF(Z900="½ ЗАШЛО",W900*(P900-1)/2,IF(Z900="½ НЕ ЗАШЛО",-W900/2,IF(Z900="ВОЗВРАТ",0,""))))))</f>
        <v/>
      </c>
      <c r="AB900" s="18" t="str">
        <f aca="false">IF(AND(K900="ВИРТУАЛЬНЫЙ ВЫБОР",OR(Z900="✅ ЗАШЛО",Z900="❌ НЕ ЗАШЛО",Z900="½ ЗАШЛО",Z900="½ НЕ ЗАШЛО",Z900="ВОЗВРАТ")),W900,"")</f>
        <v/>
      </c>
      <c r="AC900" s="15"/>
      <c r="AD900" s="16" t="str">
        <f aca="false">IF(OR(AC900="",P900=""),"",P900/AC900-1)</f>
        <v/>
      </c>
      <c r="AE900" s="19" t="str">
        <f aca="false">IF(AND(M900=0,OR(Z900="✅ ЗАШЛО",Z900="❌ НЕ ЗАШЛО"),L900&lt;&gt;""),(L900-IF(Z900="✅ ЗАШЛО",1,0))^2,"")</f>
        <v/>
      </c>
      <c r="AF900" s="15"/>
      <c r="AG900" s="15"/>
      <c r="AH900" s="13"/>
      <c r="AI900" s="13"/>
      <c r="AJ900" s="13"/>
      <c r="AK900" s="20" t="str">
        <f aca="false">IF(AH900="","",IF(ABS(AH900+AI900+AJ900-1)&lt;0.000001,"OK","ОШИБКА"))</f>
        <v/>
      </c>
      <c r="AL900" s="13"/>
      <c r="AM900" s="12"/>
      <c r="AN900" s="12"/>
      <c r="AO900" s="12"/>
      <c r="AP900" s="12"/>
      <c r="AQ900" s="18" t="str">
        <f aca="false">IF(A900="","",N(AQ899)+N(AA900))</f>
        <v/>
      </c>
      <c r="AR900" s="18" t="str">
        <f aca="false">IF(AQ900="","",MAX(0,MAX($AQ$8:AQ900))-AQ900)</f>
        <v/>
      </c>
    </row>
    <row r="901" customFormat="false" ht="15" hidden="false" customHeight="fals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3"/>
      <c r="M901" s="13"/>
      <c r="N901" s="13"/>
      <c r="O901" s="14" t="str">
        <f aca="false">IF(OR(L901="",L901=0),"",(1-M901)/L901)</f>
        <v/>
      </c>
      <c r="P901" s="15"/>
      <c r="Q901" s="12"/>
      <c r="R901" s="12"/>
      <c r="S901" s="13"/>
      <c r="T901" s="16" t="str">
        <f aca="false">IF(OR(S901="",L901=""),"",L901/(1-M901)-S901)</f>
        <v/>
      </c>
      <c r="U901" s="16" t="str">
        <f aca="false">IF(OR(L901="",P901=""),"",L901*(P901-1)-N901)</f>
        <v/>
      </c>
      <c r="V901" s="13"/>
      <c r="W901" s="17"/>
      <c r="X901" s="12"/>
      <c r="Y901" s="12"/>
      <c r="Z901" s="12"/>
      <c r="AA901" s="18" t="str">
        <f aca="false">IF(K901&lt;&gt;"ВИРТУАЛЬНЫЙ ВЫБОР","",IF(Z901="✅ ЗАШЛО",W901*(P901-1),IF(Z901="❌ НЕ ЗАШЛО",-W901,IF(Z901="½ ЗАШЛО",W901*(P901-1)/2,IF(Z901="½ НЕ ЗАШЛО",-W901/2,IF(Z901="ВОЗВРАТ",0,""))))))</f>
        <v/>
      </c>
      <c r="AB901" s="18" t="str">
        <f aca="false">IF(AND(K901="ВИРТУАЛЬНЫЙ ВЫБОР",OR(Z901="✅ ЗАШЛО",Z901="❌ НЕ ЗАШЛО",Z901="½ ЗАШЛО",Z901="½ НЕ ЗАШЛО",Z901="ВОЗВРАТ")),W901,"")</f>
        <v/>
      </c>
      <c r="AC901" s="15"/>
      <c r="AD901" s="16" t="str">
        <f aca="false">IF(OR(AC901="",P901=""),"",P901/AC901-1)</f>
        <v/>
      </c>
      <c r="AE901" s="19" t="str">
        <f aca="false">IF(AND(M901=0,OR(Z901="✅ ЗАШЛО",Z901="❌ НЕ ЗАШЛО"),L901&lt;&gt;""),(L901-IF(Z901="✅ ЗАШЛО",1,0))^2,"")</f>
        <v/>
      </c>
      <c r="AF901" s="15"/>
      <c r="AG901" s="15"/>
      <c r="AH901" s="13"/>
      <c r="AI901" s="13"/>
      <c r="AJ901" s="13"/>
      <c r="AK901" s="20" t="str">
        <f aca="false">IF(AH901="","",IF(ABS(AH901+AI901+AJ901-1)&lt;0.000001,"OK","ОШИБКА"))</f>
        <v/>
      </c>
      <c r="AL901" s="13"/>
      <c r="AM901" s="12"/>
      <c r="AN901" s="12"/>
      <c r="AO901" s="12"/>
      <c r="AP901" s="12"/>
      <c r="AQ901" s="18" t="str">
        <f aca="false">IF(A901="","",N(AQ900)+N(AA901))</f>
        <v/>
      </c>
      <c r="AR901" s="18" t="str">
        <f aca="false">IF(AQ901="","",MAX(0,MAX($AQ$8:AQ901))-AQ901)</f>
        <v/>
      </c>
    </row>
    <row r="902" customFormat="false" ht="15" hidden="false" customHeight="fals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3"/>
      <c r="M902" s="13"/>
      <c r="N902" s="13"/>
      <c r="O902" s="14" t="str">
        <f aca="false">IF(OR(L902="",L902=0),"",(1-M902)/L902)</f>
        <v/>
      </c>
      <c r="P902" s="15"/>
      <c r="Q902" s="12"/>
      <c r="R902" s="12"/>
      <c r="S902" s="13"/>
      <c r="T902" s="16" t="str">
        <f aca="false">IF(OR(S902="",L902=""),"",L902/(1-M902)-S902)</f>
        <v/>
      </c>
      <c r="U902" s="16" t="str">
        <f aca="false">IF(OR(L902="",P902=""),"",L902*(P902-1)-N902)</f>
        <v/>
      </c>
      <c r="V902" s="13"/>
      <c r="W902" s="17"/>
      <c r="X902" s="12"/>
      <c r="Y902" s="12"/>
      <c r="Z902" s="12"/>
      <c r="AA902" s="18" t="str">
        <f aca="false">IF(K902&lt;&gt;"ВИРТУАЛЬНЫЙ ВЫБОР","",IF(Z902="✅ ЗАШЛО",W902*(P902-1),IF(Z902="❌ НЕ ЗАШЛО",-W902,IF(Z902="½ ЗАШЛО",W902*(P902-1)/2,IF(Z902="½ НЕ ЗАШЛО",-W902/2,IF(Z902="ВОЗВРАТ",0,""))))))</f>
        <v/>
      </c>
      <c r="AB902" s="18" t="str">
        <f aca="false">IF(AND(K902="ВИРТУАЛЬНЫЙ ВЫБОР",OR(Z902="✅ ЗАШЛО",Z902="❌ НЕ ЗАШЛО",Z902="½ ЗАШЛО",Z902="½ НЕ ЗАШЛО",Z902="ВОЗВРАТ")),W902,"")</f>
        <v/>
      </c>
      <c r="AC902" s="15"/>
      <c r="AD902" s="16" t="str">
        <f aca="false">IF(OR(AC902="",P902=""),"",P902/AC902-1)</f>
        <v/>
      </c>
      <c r="AE902" s="19" t="str">
        <f aca="false">IF(AND(M902=0,OR(Z902="✅ ЗАШЛО",Z902="❌ НЕ ЗАШЛО"),L902&lt;&gt;""),(L902-IF(Z902="✅ ЗАШЛО",1,0))^2,"")</f>
        <v/>
      </c>
      <c r="AF902" s="15"/>
      <c r="AG902" s="15"/>
      <c r="AH902" s="13"/>
      <c r="AI902" s="13"/>
      <c r="AJ902" s="13"/>
      <c r="AK902" s="20" t="str">
        <f aca="false">IF(AH902="","",IF(ABS(AH902+AI902+AJ902-1)&lt;0.000001,"OK","ОШИБКА"))</f>
        <v/>
      </c>
      <c r="AL902" s="13"/>
      <c r="AM902" s="12"/>
      <c r="AN902" s="12"/>
      <c r="AO902" s="12"/>
      <c r="AP902" s="12"/>
      <c r="AQ902" s="18" t="str">
        <f aca="false">IF(A902="","",N(AQ901)+N(AA902))</f>
        <v/>
      </c>
      <c r="AR902" s="18" t="str">
        <f aca="false">IF(AQ902="","",MAX(0,MAX($AQ$8:AQ902))-AQ902)</f>
        <v/>
      </c>
    </row>
    <row r="903" customFormat="false" ht="15" hidden="false" customHeight="fals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3"/>
      <c r="M903" s="13"/>
      <c r="N903" s="13"/>
      <c r="O903" s="14" t="str">
        <f aca="false">IF(OR(L903="",L903=0),"",(1-M903)/L903)</f>
        <v/>
      </c>
      <c r="P903" s="15"/>
      <c r="Q903" s="12"/>
      <c r="R903" s="12"/>
      <c r="S903" s="13"/>
      <c r="T903" s="16" t="str">
        <f aca="false">IF(OR(S903="",L903=""),"",L903/(1-M903)-S903)</f>
        <v/>
      </c>
      <c r="U903" s="16" t="str">
        <f aca="false">IF(OR(L903="",P903=""),"",L903*(P903-1)-N903)</f>
        <v/>
      </c>
      <c r="V903" s="13"/>
      <c r="W903" s="17"/>
      <c r="X903" s="12"/>
      <c r="Y903" s="12"/>
      <c r="Z903" s="12"/>
      <c r="AA903" s="18" t="str">
        <f aca="false">IF(K903&lt;&gt;"ВИРТУАЛЬНЫЙ ВЫБОР","",IF(Z903="✅ ЗАШЛО",W903*(P903-1),IF(Z903="❌ НЕ ЗАШЛО",-W903,IF(Z903="½ ЗАШЛО",W903*(P903-1)/2,IF(Z903="½ НЕ ЗАШЛО",-W903/2,IF(Z903="ВОЗВРАТ",0,""))))))</f>
        <v/>
      </c>
      <c r="AB903" s="18" t="str">
        <f aca="false">IF(AND(K903="ВИРТУАЛЬНЫЙ ВЫБОР",OR(Z903="✅ ЗАШЛО",Z903="❌ НЕ ЗАШЛО",Z903="½ ЗАШЛО",Z903="½ НЕ ЗАШЛО",Z903="ВОЗВРАТ")),W903,"")</f>
        <v/>
      </c>
      <c r="AC903" s="15"/>
      <c r="AD903" s="16" t="str">
        <f aca="false">IF(OR(AC903="",P903=""),"",P903/AC903-1)</f>
        <v/>
      </c>
      <c r="AE903" s="19" t="str">
        <f aca="false">IF(AND(M903=0,OR(Z903="✅ ЗАШЛО",Z903="❌ НЕ ЗАШЛО"),L903&lt;&gt;""),(L903-IF(Z903="✅ ЗАШЛО",1,0))^2,"")</f>
        <v/>
      </c>
      <c r="AF903" s="15"/>
      <c r="AG903" s="15"/>
      <c r="AH903" s="13"/>
      <c r="AI903" s="13"/>
      <c r="AJ903" s="13"/>
      <c r="AK903" s="20" t="str">
        <f aca="false">IF(AH903="","",IF(ABS(AH903+AI903+AJ903-1)&lt;0.000001,"OK","ОШИБКА"))</f>
        <v/>
      </c>
      <c r="AL903" s="13"/>
      <c r="AM903" s="12"/>
      <c r="AN903" s="12"/>
      <c r="AO903" s="12"/>
      <c r="AP903" s="12"/>
      <c r="AQ903" s="18" t="str">
        <f aca="false">IF(A903="","",N(AQ902)+N(AA903))</f>
        <v/>
      </c>
      <c r="AR903" s="18" t="str">
        <f aca="false">IF(AQ903="","",MAX(0,MAX($AQ$8:AQ903))-AQ903)</f>
        <v/>
      </c>
    </row>
    <row r="904" customFormat="false" ht="15" hidden="false" customHeight="fals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3"/>
      <c r="M904" s="13"/>
      <c r="N904" s="13"/>
      <c r="O904" s="14" t="str">
        <f aca="false">IF(OR(L904="",L904=0),"",(1-M904)/L904)</f>
        <v/>
      </c>
      <c r="P904" s="15"/>
      <c r="Q904" s="12"/>
      <c r="R904" s="12"/>
      <c r="S904" s="13"/>
      <c r="T904" s="16" t="str">
        <f aca="false">IF(OR(S904="",L904=""),"",L904/(1-M904)-S904)</f>
        <v/>
      </c>
      <c r="U904" s="16" t="str">
        <f aca="false">IF(OR(L904="",P904=""),"",L904*(P904-1)-N904)</f>
        <v/>
      </c>
      <c r="V904" s="13"/>
      <c r="W904" s="17"/>
      <c r="X904" s="12"/>
      <c r="Y904" s="12"/>
      <c r="Z904" s="12"/>
      <c r="AA904" s="18" t="str">
        <f aca="false">IF(K904&lt;&gt;"ВИРТУАЛЬНЫЙ ВЫБОР","",IF(Z904="✅ ЗАШЛО",W904*(P904-1),IF(Z904="❌ НЕ ЗАШЛО",-W904,IF(Z904="½ ЗАШЛО",W904*(P904-1)/2,IF(Z904="½ НЕ ЗАШЛО",-W904/2,IF(Z904="ВОЗВРАТ",0,""))))))</f>
        <v/>
      </c>
      <c r="AB904" s="18" t="str">
        <f aca="false">IF(AND(K904="ВИРТУАЛЬНЫЙ ВЫБОР",OR(Z904="✅ ЗАШЛО",Z904="❌ НЕ ЗАШЛО",Z904="½ ЗАШЛО",Z904="½ НЕ ЗАШЛО",Z904="ВОЗВРАТ")),W904,"")</f>
        <v/>
      </c>
      <c r="AC904" s="15"/>
      <c r="AD904" s="16" t="str">
        <f aca="false">IF(OR(AC904="",P904=""),"",P904/AC904-1)</f>
        <v/>
      </c>
      <c r="AE904" s="19" t="str">
        <f aca="false">IF(AND(M904=0,OR(Z904="✅ ЗАШЛО",Z904="❌ НЕ ЗАШЛО"),L904&lt;&gt;""),(L904-IF(Z904="✅ ЗАШЛО",1,0))^2,"")</f>
        <v/>
      </c>
      <c r="AF904" s="15"/>
      <c r="AG904" s="15"/>
      <c r="AH904" s="13"/>
      <c r="AI904" s="13"/>
      <c r="AJ904" s="13"/>
      <c r="AK904" s="20" t="str">
        <f aca="false">IF(AH904="","",IF(ABS(AH904+AI904+AJ904-1)&lt;0.000001,"OK","ОШИБКА"))</f>
        <v/>
      </c>
      <c r="AL904" s="13"/>
      <c r="AM904" s="12"/>
      <c r="AN904" s="12"/>
      <c r="AO904" s="12"/>
      <c r="AP904" s="12"/>
      <c r="AQ904" s="18" t="str">
        <f aca="false">IF(A904="","",N(AQ903)+N(AA904))</f>
        <v/>
      </c>
      <c r="AR904" s="18" t="str">
        <f aca="false">IF(AQ904="","",MAX(0,MAX($AQ$8:AQ904))-AQ904)</f>
        <v/>
      </c>
    </row>
    <row r="905" customFormat="false" ht="15" hidden="false" customHeight="fals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3"/>
      <c r="M905" s="13"/>
      <c r="N905" s="13"/>
      <c r="O905" s="14" t="str">
        <f aca="false">IF(OR(L905="",L905=0),"",(1-M905)/L905)</f>
        <v/>
      </c>
      <c r="P905" s="15"/>
      <c r="Q905" s="12"/>
      <c r="R905" s="12"/>
      <c r="S905" s="13"/>
      <c r="T905" s="16" t="str">
        <f aca="false">IF(OR(S905="",L905=""),"",L905/(1-M905)-S905)</f>
        <v/>
      </c>
      <c r="U905" s="16" t="str">
        <f aca="false">IF(OR(L905="",P905=""),"",L905*(P905-1)-N905)</f>
        <v/>
      </c>
      <c r="V905" s="13"/>
      <c r="W905" s="17"/>
      <c r="X905" s="12"/>
      <c r="Y905" s="12"/>
      <c r="Z905" s="12"/>
      <c r="AA905" s="18" t="str">
        <f aca="false">IF(K905&lt;&gt;"ВИРТУАЛЬНЫЙ ВЫБОР","",IF(Z905="✅ ЗАШЛО",W905*(P905-1),IF(Z905="❌ НЕ ЗАШЛО",-W905,IF(Z905="½ ЗАШЛО",W905*(P905-1)/2,IF(Z905="½ НЕ ЗАШЛО",-W905/2,IF(Z905="ВОЗВРАТ",0,""))))))</f>
        <v/>
      </c>
      <c r="AB905" s="18" t="str">
        <f aca="false">IF(AND(K905="ВИРТУАЛЬНЫЙ ВЫБОР",OR(Z905="✅ ЗАШЛО",Z905="❌ НЕ ЗАШЛО",Z905="½ ЗАШЛО",Z905="½ НЕ ЗАШЛО",Z905="ВОЗВРАТ")),W905,"")</f>
        <v/>
      </c>
      <c r="AC905" s="15"/>
      <c r="AD905" s="16" t="str">
        <f aca="false">IF(OR(AC905="",P905=""),"",P905/AC905-1)</f>
        <v/>
      </c>
      <c r="AE905" s="19" t="str">
        <f aca="false">IF(AND(M905=0,OR(Z905="✅ ЗАШЛО",Z905="❌ НЕ ЗАШЛО"),L905&lt;&gt;""),(L905-IF(Z905="✅ ЗАШЛО",1,0))^2,"")</f>
        <v/>
      </c>
      <c r="AF905" s="15"/>
      <c r="AG905" s="15"/>
      <c r="AH905" s="13"/>
      <c r="AI905" s="13"/>
      <c r="AJ905" s="13"/>
      <c r="AK905" s="20" t="str">
        <f aca="false">IF(AH905="","",IF(ABS(AH905+AI905+AJ905-1)&lt;0.000001,"OK","ОШИБКА"))</f>
        <v/>
      </c>
      <c r="AL905" s="13"/>
      <c r="AM905" s="12"/>
      <c r="AN905" s="12"/>
      <c r="AO905" s="12"/>
      <c r="AP905" s="12"/>
      <c r="AQ905" s="18" t="str">
        <f aca="false">IF(A905="","",N(AQ904)+N(AA905))</f>
        <v/>
      </c>
      <c r="AR905" s="18" t="str">
        <f aca="false">IF(AQ905="","",MAX(0,MAX($AQ$8:AQ905))-AQ905)</f>
        <v/>
      </c>
    </row>
    <row r="906" customFormat="false" ht="15" hidden="false" customHeight="fals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3"/>
      <c r="M906" s="13"/>
      <c r="N906" s="13"/>
      <c r="O906" s="14" t="str">
        <f aca="false">IF(OR(L906="",L906=0),"",(1-M906)/L906)</f>
        <v/>
      </c>
      <c r="P906" s="15"/>
      <c r="Q906" s="12"/>
      <c r="R906" s="12"/>
      <c r="S906" s="13"/>
      <c r="T906" s="16" t="str">
        <f aca="false">IF(OR(S906="",L906=""),"",L906/(1-M906)-S906)</f>
        <v/>
      </c>
      <c r="U906" s="16" t="str">
        <f aca="false">IF(OR(L906="",P906=""),"",L906*(P906-1)-N906)</f>
        <v/>
      </c>
      <c r="V906" s="13"/>
      <c r="W906" s="17"/>
      <c r="X906" s="12"/>
      <c r="Y906" s="12"/>
      <c r="Z906" s="12"/>
      <c r="AA906" s="18" t="str">
        <f aca="false">IF(K906&lt;&gt;"ВИРТУАЛЬНЫЙ ВЫБОР","",IF(Z906="✅ ЗАШЛО",W906*(P906-1),IF(Z906="❌ НЕ ЗАШЛО",-W906,IF(Z906="½ ЗАШЛО",W906*(P906-1)/2,IF(Z906="½ НЕ ЗАШЛО",-W906/2,IF(Z906="ВОЗВРАТ",0,""))))))</f>
        <v/>
      </c>
      <c r="AB906" s="18" t="str">
        <f aca="false">IF(AND(K906="ВИРТУАЛЬНЫЙ ВЫБОР",OR(Z906="✅ ЗАШЛО",Z906="❌ НЕ ЗАШЛО",Z906="½ ЗАШЛО",Z906="½ НЕ ЗАШЛО",Z906="ВОЗВРАТ")),W906,"")</f>
        <v/>
      </c>
      <c r="AC906" s="15"/>
      <c r="AD906" s="16" t="str">
        <f aca="false">IF(OR(AC906="",P906=""),"",P906/AC906-1)</f>
        <v/>
      </c>
      <c r="AE906" s="19" t="str">
        <f aca="false">IF(AND(M906=0,OR(Z906="✅ ЗАШЛО",Z906="❌ НЕ ЗАШЛО"),L906&lt;&gt;""),(L906-IF(Z906="✅ ЗАШЛО",1,0))^2,"")</f>
        <v/>
      </c>
      <c r="AF906" s="15"/>
      <c r="AG906" s="15"/>
      <c r="AH906" s="13"/>
      <c r="AI906" s="13"/>
      <c r="AJ906" s="13"/>
      <c r="AK906" s="20" t="str">
        <f aca="false">IF(AH906="","",IF(ABS(AH906+AI906+AJ906-1)&lt;0.000001,"OK","ОШИБКА"))</f>
        <v/>
      </c>
      <c r="AL906" s="13"/>
      <c r="AM906" s="12"/>
      <c r="AN906" s="12"/>
      <c r="AO906" s="12"/>
      <c r="AP906" s="12"/>
      <c r="AQ906" s="18" t="str">
        <f aca="false">IF(A906="","",N(AQ905)+N(AA906))</f>
        <v/>
      </c>
      <c r="AR906" s="18" t="str">
        <f aca="false">IF(AQ906="","",MAX(0,MAX($AQ$8:AQ906))-AQ906)</f>
        <v/>
      </c>
    </row>
    <row r="907" customFormat="false" ht="15" hidden="false" customHeight="fals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3"/>
      <c r="M907" s="13"/>
      <c r="N907" s="13"/>
      <c r="O907" s="14" t="str">
        <f aca="false">IF(OR(L907="",L907=0),"",(1-M907)/L907)</f>
        <v/>
      </c>
      <c r="P907" s="15"/>
      <c r="Q907" s="12"/>
      <c r="R907" s="12"/>
      <c r="S907" s="13"/>
      <c r="T907" s="16" t="str">
        <f aca="false">IF(OR(S907="",L907=""),"",L907/(1-M907)-S907)</f>
        <v/>
      </c>
      <c r="U907" s="16" t="str">
        <f aca="false">IF(OR(L907="",P907=""),"",L907*(P907-1)-N907)</f>
        <v/>
      </c>
      <c r="V907" s="13"/>
      <c r="W907" s="17"/>
      <c r="X907" s="12"/>
      <c r="Y907" s="12"/>
      <c r="Z907" s="12"/>
      <c r="AA907" s="18" t="str">
        <f aca="false">IF(K907&lt;&gt;"ВИРТУАЛЬНЫЙ ВЫБОР","",IF(Z907="✅ ЗАШЛО",W907*(P907-1),IF(Z907="❌ НЕ ЗАШЛО",-W907,IF(Z907="½ ЗАШЛО",W907*(P907-1)/2,IF(Z907="½ НЕ ЗАШЛО",-W907/2,IF(Z907="ВОЗВРАТ",0,""))))))</f>
        <v/>
      </c>
      <c r="AB907" s="18" t="str">
        <f aca="false">IF(AND(K907="ВИРТУАЛЬНЫЙ ВЫБОР",OR(Z907="✅ ЗАШЛО",Z907="❌ НЕ ЗАШЛО",Z907="½ ЗАШЛО",Z907="½ НЕ ЗАШЛО",Z907="ВОЗВРАТ")),W907,"")</f>
        <v/>
      </c>
      <c r="AC907" s="15"/>
      <c r="AD907" s="16" t="str">
        <f aca="false">IF(OR(AC907="",P907=""),"",P907/AC907-1)</f>
        <v/>
      </c>
      <c r="AE907" s="19" t="str">
        <f aca="false">IF(AND(M907=0,OR(Z907="✅ ЗАШЛО",Z907="❌ НЕ ЗАШЛО"),L907&lt;&gt;""),(L907-IF(Z907="✅ ЗАШЛО",1,0))^2,"")</f>
        <v/>
      </c>
      <c r="AF907" s="15"/>
      <c r="AG907" s="15"/>
      <c r="AH907" s="13"/>
      <c r="AI907" s="13"/>
      <c r="AJ907" s="13"/>
      <c r="AK907" s="20" t="str">
        <f aca="false">IF(AH907="","",IF(ABS(AH907+AI907+AJ907-1)&lt;0.000001,"OK","ОШИБКА"))</f>
        <v/>
      </c>
      <c r="AL907" s="13"/>
      <c r="AM907" s="12"/>
      <c r="AN907" s="12"/>
      <c r="AO907" s="12"/>
      <c r="AP907" s="12"/>
      <c r="AQ907" s="18" t="str">
        <f aca="false">IF(A907="","",N(AQ906)+N(AA907))</f>
        <v/>
      </c>
      <c r="AR907" s="18" t="str">
        <f aca="false">IF(AQ907="","",MAX(0,MAX($AQ$8:AQ907))-AQ907)</f>
        <v/>
      </c>
    </row>
    <row r="908" customFormat="false" ht="15" hidden="false" customHeight="fals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3"/>
      <c r="M908" s="13"/>
      <c r="N908" s="13"/>
      <c r="O908" s="14" t="str">
        <f aca="false">IF(OR(L908="",L908=0),"",(1-M908)/L908)</f>
        <v/>
      </c>
      <c r="P908" s="15"/>
      <c r="Q908" s="12"/>
      <c r="R908" s="12"/>
      <c r="S908" s="13"/>
      <c r="T908" s="16" t="str">
        <f aca="false">IF(OR(S908="",L908=""),"",L908/(1-M908)-S908)</f>
        <v/>
      </c>
      <c r="U908" s="16" t="str">
        <f aca="false">IF(OR(L908="",P908=""),"",L908*(P908-1)-N908)</f>
        <v/>
      </c>
      <c r="V908" s="13"/>
      <c r="W908" s="17"/>
      <c r="X908" s="12"/>
      <c r="Y908" s="12"/>
      <c r="Z908" s="12"/>
      <c r="AA908" s="18" t="str">
        <f aca="false">IF(K908&lt;&gt;"ВИРТУАЛЬНЫЙ ВЫБОР","",IF(Z908="✅ ЗАШЛО",W908*(P908-1),IF(Z908="❌ НЕ ЗАШЛО",-W908,IF(Z908="½ ЗАШЛО",W908*(P908-1)/2,IF(Z908="½ НЕ ЗАШЛО",-W908/2,IF(Z908="ВОЗВРАТ",0,""))))))</f>
        <v/>
      </c>
      <c r="AB908" s="18" t="str">
        <f aca="false">IF(AND(K908="ВИРТУАЛЬНЫЙ ВЫБОР",OR(Z908="✅ ЗАШЛО",Z908="❌ НЕ ЗАШЛО",Z908="½ ЗАШЛО",Z908="½ НЕ ЗАШЛО",Z908="ВОЗВРАТ")),W908,"")</f>
        <v/>
      </c>
      <c r="AC908" s="15"/>
      <c r="AD908" s="16" t="str">
        <f aca="false">IF(OR(AC908="",P908=""),"",P908/AC908-1)</f>
        <v/>
      </c>
      <c r="AE908" s="19" t="str">
        <f aca="false">IF(AND(M908=0,OR(Z908="✅ ЗАШЛО",Z908="❌ НЕ ЗАШЛО"),L908&lt;&gt;""),(L908-IF(Z908="✅ ЗАШЛО",1,0))^2,"")</f>
        <v/>
      </c>
      <c r="AF908" s="15"/>
      <c r="AG908" s="15"/>
      <c r="AH908" s="13"/>
      <c r="AI908" s="13"/>
      <c r="AJ908" s="13"/>
      <c r="AK908" s="20" t="str">
        <f aca="false">IF(AH908="","",IF(ABS(AH908+AI908+AJ908-1)&lt;0.000001,"OK","ОШИБКА"))</f>
        <v/>
      </c>
      <c r="AL908" s="13"/>
      <c r="AM908" s="12"/>
      <c r="AN908" s="12"/>
      <c r="AO908" s="12"/>
      <c r="AP908" s="12"/>
      <c r="AQ908" s="18" t="str">
        <f aca="false">IF(A908="","",N(AQ907)+N(AA908))</f>
        <v/>
      </c>
      <c r="AR908" s="18" t="str">
        <f aca="false">IF(AQ908="","",MAX(0,MAX($AQ$8:AQ908))-AQ908)</f>
        <v/>
      </c>
    </row>
    <row r="909" customFormat="false" ht="15" hidden="false" customHeight="fals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3"/>
      <c r="M909" s="13"/>
      <c r="N909" s="13"/>
      <c r="O909" s="14" t="str">
        <f aca="false">IF(OR(L909="",L909=0),"",(1-M909)/L909)</f>
        <v/>
      </c>
      <c r="P909" s="15"/>
      <c r="Q909" s="12"/>
      <c r="R909" s="12"/>
      <c r="S909" s="13"/>
      <c r="T909" s="16" t="str">
        <f aca="false">IF(OR(S909="",L909=""),"",L909/(1-M909)-S909)</f>
        <v/>
      </c>
      <c r="U909" s="16" t="str">
        <f aca="false">IF(OR(L909="",P909=""),"",L909*(P909-1)-N909)</f>
        <v/>
      </c>
      <c r="V909" s="13"/>
      <c r="W909" s="17"/>
      <c r="X909" s="12"/>
      <c r="Y909" s="12"/>
      <c r="Z909" s="12"/>
      <c r="AA909" s="18" t="str">
        <f aca="false">IF(K909&lt;&gt;"ВИРТУАЛЬНЫЙ ВЫБОР","",IF(Z909="✅ ЗАШЛО",W909*(P909-1),IF(Z909="❌ НЕ ЗАШЛО",-W909,IF(Z909="½ ЗАШЛО",W909*(P909-1)/2,IF(Z909="½ НЕ ЗАШЛО",-W909/2,IF(Z909="ВОЗВРАТ",0,""))))))</f>
        <v/>
      </c>
      <c r="AB909" s="18" t="str">
        <f aca="false">IF(AND(K909="ВИРТУАЛЬНЫЙ ВЫБОР",OR(Z909="✅ ЗАШЛО",Z909="❌ НЕ ЗАШЛО",Z909="½ ЗАШЛО",Z909="½ НЕ ЗАШЛО",Z909="ВОЗВРАТ")),W909,"")</f>
        <v/>
      </c>
      <c r="AC909" s="15"/>
      <c r="AD909" s="16" t="str">
        <f aca="false">IF(OR(AC909="",P909=""),"",P909/AC909-1)</f>
        <v/>
      </c>
      <c r="AE909" s="19" t="str">
        <f aca="false">IF(AND(M909=0,OR(Z909="✅ ЗАШЛО",Z909="❌ НЕ ЗАШЛО"),L909&lt;&gt;""),(L909-IF(Z909="✅ ЗАШЛО",1,0))^2,"")</f>
        <v/>
      </c>
      <c r="AF909" s="15"/>
      <c r="AG909" s="15"/>
      <c r="AH909" s="13"/>
      <c r="AI909" s="13"/>
      <c r="AJ909" s="13"/>
      <c r="AK909" s="20" t="str">
        <f aca="false">IF(AH909="","",IF(ABS(AH909+AI909+AJ909-1)&lt;0.000001,"OK","ОШИБКА"))</f>
        <v/>
      </c>
      <c r="AL909" s="13"/>
      <c r="AM909" s="12"/>
      <c r="AN909" s="12"/>
      <c r="AO909" s="12"/>
      <c r="AP909" s="12"/>
      <c r="AQ909" s="18" t="str">
        <f aca="false">IF(A909="","",N(AQ908)+N(AA909))</f>
        <v/>
      </c>
      <c r="AR909" s="18" t="str">
        <f aca="false">IF(AQ909="","",MAX(0,MAX($AQ$8:AQ909))-AQ909)</f>
        <v/>
      </c>
    </row>
    <row r="910" customFormat="false" ht="15" hidden="false" customHeight="fals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3"/>
      <c r="M910" s="13"/>
      <c r="N910" s="13"/>
      <c r="O910" s="14" t="str">
        <f aca="false">IF(OR(L910="",L910=0),"",(1-M910)/L910)</f>
        <v/>
      </c>
      <c r="P910" s="15"/>
      <c r="Q910" s="12"/>
      <c r="R910" s="12"/>
      <c r="S910" s="13"/>
      <c r="T910" s="16" t="str">
        <f aca="false">IF(OR(S910="",L910=""),"",L910/(1-M910)-S910)</f>
        <v/>
      </c>
      <c r="U910" s="16" t="str">
        <f aca="false">IF(OR(L910="",P910=""),"",L910*(P910-1)-N910)</f>
        <v/>
      </c>
      <c r="V910" s="13"/>
      <c r="W910" s="17"/>
      <c r="X910" s="12"/>
      <c r="Y910" s="12"/>
      <c r="Z910" s="12"/>
      <c r="AA910" s="18" t="str">
        <f aca="false">IF(K910&lt;&gt;"ВИРТУАЛЬНЫЙ ВЫБОР","",IF(Z910="✅ ЗАШЛО",W910*(P910-1),IF(Z910="❌ НЕ ЗАШЛО",-W910,IF(Z910="½ ЗАШЛО",W910*(P910-1)/2,IF(Z910="½ НЕ ЗАШЛО",-W910/2,IF(Z910="ВОЗВРАТ",0,""))))))</f>
        <v/>
      </c>
      <c r="AB910" s="18" t="str">
        <f aca="false">IF(AND(K910="ВИРТУАЛЬНЫЙ ВЫБОР",OR(Z910="✅ ЗАШЛО",Z910="❌ НЕ ЗАШЛО",Z910="½ ЗАШЛО",Z910="½ НЕ ЗАШЛО",Z910="ВОЗВРАТ")),W910,"")</f>
        <v/>
      </c>
      <c r="AC910" s="15"/>
      <c r="AD910" s="16" t="str">
        <f aca="false">IF(OR(AC910="",P910=""),"",P910/AC910-1)</f>
        <v/>
      </c>
      <c r="AE910" s="19" t="str">
        <f aca="false">IF(AND(M910=0,OR(Z910="✅ ЗАШЛО",Z910="❌ НЕ ЗАШЛО"),L910&lt;&gt;""),(L910-IF(Z910="✅ ЗАШЛО",1,0))^2,"")</f>
        <v/>
      </c>
      <c r="AF910" s="15"/>
      <c r="AG910" s="15"/>
      <c r="AH910" s="13"/>
      <c r="AI910" s="13"/>
      <c r="AJ910" s="13"/>
      <c r="AK910" s="20" t="str">
        <f aca="false">IF(AH910="","",IF(ABS(AH910+AI910+AJ910-1)&lt;0.000001,"OK","ОШИБКА"))</f>
        <v/>
      </c>
      <c r="AL910" s="13"/>
      <c r="AM910" s="12"/>
      <c r="AN910" s="12"/>
      <c r="AO910" s="12"/>
      <c r="AP910" s="12"/>
      <c r="AQ910" s="18" t="str">
        <f aca="false">IF(A910="","",N(AQ909)+N(AA910))</f>
        <v/>
      </c>
      <c r="AR910" s="18" t="str">
        <f aca="false">IF(AQ910="","",MAX(0,MAX($AQ$8:AQ910))-AQ910)</f>
        <v/>
      </c>
    </row>
    <row r="911" customFormat="false" ht="15" hidden="false" customHeight="fals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3"/>
      <c r="M911" s="13"/>
      <c r="N911" s="13"/>
      <c r="O911" s="14" t="str">
        <f aca="false">IF(OR(L911="",L911=0),"",(1-M911)/L911)</f>
        <v/>
      </c>
      <c r="P911" s="15"/>
      <c r="Q911" s="12"/>
      <c r="R911" s="12"/>
      <c r="S911" s="13"/>
      <c r="T911" s="16" t="str">
        <f aca="false">IF(OR(S911="",L911=""),"",L911/(1-M911)-S911)</f>
        <v/>
      </c>
      <c r="U911" s="16" t="str">
        <f aca="false">IF(OR(L911="",P911=""),"",L911*(P911-1)-N911)</f>
        <v/>
      </c>
      <c r="V911" s="13"/>
      <c r="W911" s="17"/>
      <c r="X911" s="12"/>
      <c r="Y911" s="12"/>
      <c r="Z911" s="12"/>
      <c r="AA911" s="18" t="str">
        <f aca="false">IF(K911&lt;&gt;"ВИРТУАЛЬНЫЙ ВЫБОР","",IF(Z911="✅ ЗАШЛО",W911*(P911-1),IF(Z911="❌ НЕ ЗАШЛО",-W911,IF(Z911="½ ЗАШЛО",W911*(P911-1)/2,IF(Z911="½ НЕ ЗАШЛО",-W911/2,IF(Z911="ВОЗВРАТ",0,""))))))</f>
        <v/>
      </c>
      <c r="AB911" s="18" t="str">
        <f aca="false">IF(AND(K911="ВИРТУАЛЬНЫЙ ВЫБОР",OR(Z911="✅ ЗАШЛО",Z911="❌ НЕ ЗАШЛО",Z911="½ ЗАШЛО",Z911="½ НЕ ЗАШЛО",Z911="ВОЗВРАТ")),W911,"")</f>
        <v/>
      </c>
      <c r="AC911" s="15"/>
      <c r="AD911" s="16" t="str">
        <f aca="false">IF(OR(AC911="",P911=""),"",P911/AC911-1)</f>
        <v/>
      </c>
      <c r="AE911" s="19" t="str">
        <f aca="false">IF(AND(M911=0,OR(Z911="✅ ЗАШЛО",Z911="❌ НЕ ЗАШЛО"),L911&lt;&gt;""),(L911-IF(Z911="✅ ЗАШЛО",1,0))^2,"")</f>
        <v/>
      </c>
      <c r="AF911" s="15"/>
      <c r="AG911" s="15"/>
      <c r="AH911" s="13"/>
      <c r="AI911" s="13"/>
      <c r="AJ911" s="13"/>
      <c r="AK911" s="20" t="str">
        <f aca="false">IF(AH911="","",IF(ABS(AH911+AI911+AJ911-1)&lt;0.000001,"OK","ОШИБКА"))</f>
        <v/>
      </c>
      <c r="AL911" s="13"/>
      <c r="AM911" s="12"/>
      <c r="AN911" s="12"/>
      <c r="AO911" s="12"/>
      <c r="AP911" s="12"/>
      <c r="AQ911" s="18" t="str">
        <f aca="false">IF(A911="","",N(AQ910)+N(AA911))</f>
        <v/>
      </c>
      <c r="AR911" s="18" t="str">
        <f aca="false">IF(AQ911="","",MAX(0,MAX($AQ$8:AQ911))-AQ911)</f>
        <v/>
      </c>
    </row>
    <row r="912" customFormat="false" ht="15" hidden="false" customHeight="fals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3"/>
      <c r="M912" s="13"/>
      <c r="N912" s="13"/>
      <c r="O912" s="14" t="str">
        <f aca="false">IF(OR(L912="",L912=0),"",(1-M912)/L912)</f>
        <v/>
      </c>
      <c r="P912" s="15"/>
      <c r="Q912" s="12"/>
      <c r="R912" s="12"/>
      <c r="S912" s="13"/>
      <c r="T912" s="16" t="str">
        <f aca="false">IF(OR(S912="",L912=""),"",L912/(1-M912)-S912)</f>
        <v/>
      </c>
      <c r="U912" s="16" t="str">
        <f aca="false">IF(OR(L912="",P912=""),"",L912*(P912-1)-N912)</f>
        <v/>
      </c>
      <c r="V912" s="13"/>
      <c r="W912" s="17"/>
      <c r="X912" s="12"/>
      <c r="Y912" s="12"/>
      <c r="Z912" s="12"/>
      <c r="AA912" s="18" t="str">
        <f aca="false">IF(K912&lt;&gt;"ВИРТУАЛЬНЫЙ ВЫБОР","",IF(Z912="✅ ЗАШЛО",W912*(P912-1),IF(Z912="❌ НЕ ЗАШЛО",-W912,IF(Z912="½ ЗАШЛО",W912*(P912-1)/2,IF(Z912="½ НЕ ЗАШЛО",-W912/2,IF(Z912="ВОЗВРАТ",0,""))))))</f>
        <v/>
      </c>
      <c r="AB912" s="18" t="str">
        <f aca="false">IF(AND(K912="ВИРТУАЛЬНЫЙ ВЫБОР",OR(Z912="✅ ЗАШЛО",Z912="❌ НЕ ЗАШЛО",Z912="½ ЗАШЛО",Z912="½ НЕ ЗАШЛО",Z912="ВОЗВРАТ")),W912,"")</f>
        <v/>
      </c>
      <c r="AC912" s="15"/>
      <c r="AD912" s="16" t="str">
        <f aca="false">IF(OR(AC912="",P912=""),"",P912/AC912-1)</f>
        <v/>
      </c>
      <c r="AE912" s="19" t="str">
        <f aca="false">IF(AND(M912=0,OR(Z912="✅ ЗАШЛО",Z912="❌ НЕ ЗАШЛО"),L912&lt;&gt;""),(L912-IF(Z912="✅ ЗАШЛО",1,0))^2,"")</f>
        <v/>
      </c>
      <c r="AF912" s="15"/>
      <c r="AG912" s="15"/>
      <c r="AH912" s="13"/>
      <c r="AI912" s="13"/>
      <c r="AJ912" s="13"/>
      <c r="AK912" s="20" t="str">
        <f aca="false">IF(AH912="","",IF(ABS(AH912+AI912+AJ912-1)&lt;0.000001,"OK","ОШИБКА"))</f>
        <v/>
      </c>
      <c r="AL912" s="13"/>
      <c r="AM912" s="12"/>
      <c r="AN912" s="12"/>
      <c r="AO912" s="12"/>
      <c r="AP912" s="12"/>
      <c r="AQ912" s="18" t="str">
        <f aca="false">IF(A912="","",N(AQ911)+N(AA912))</f>
        <v/>
      </c>
      <c r="AR912" s="18" t="str">
        <f aca="false">IF(AQ912="","",MAX(0,MAX($AQ$8:AQ912))-AQ912)</f>
        <v/>
      </c>
    </row>
    <row r="913" customFormat="false" ht="15" hidden="false" customHeight="fals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3"/>
      <c r="M913" s="13"/>
      <c r="N913" s="13"/>
      <c r="O913" s="14" t="str">
        <f aca="false">IF(OR(L913="",L913=0),"",(1-M913)/L913)</f>
        <v/>
      </c>
      <c r="P913" s="15"/>
      <c r="Q913" s="12"/>
      <c r="R913" s="12"/>
      <c r="S913" s="13"/>
      <c r="T913" s="16" t="str">
        <f aca="false">IF(OR(S913="",L913=""),"",L913/(1-M913)-S913)</f>
        <v/>
      </c>
      <c r="U913" s="16" t="str">
        <f aca="false">IF(OR(L913="",P913=""),"",L913*(P913-1)-N913)</f>
        <v/>
      </c>
      <c r="V913" s="13"/>
      <c r="W913" s="17"/>
      <c r="X913" s="12"/>
      <c r="Y913" s="12"/>
      <c r="Z913" s="12"/>
      <c r="AA913" s="18" t="str">
        <f aca="false">IF(K913&lt;&gt;"ВИРТУАЛЬНЫЙ ВЫБОР","",IF(Z913="✅ ЗАШЛО",W913*(P913-1),IF(Z913="❌ НЕ ЗАШЛО",-W913,IF(Z913="½ ЗАШЛО",W913*(P913-1)/2,IF(Z913="½ НЕ ЗАШЛО",-W913/2,IF(Z913="ВОЗВРАТ",0,""))))))</f>
        <v/>
      </c>
      <c r="AB913" s="18" t="str">
        <f aca="false">IF(AND(K913="ВИРТУАЛЬНЫЙ ВЫБОР",OR(Z913="✅ ЗАШЛО",Z913="❌ НЕ ЗАШЛО",Z913="½ ЗАШЛО",Z913="½ НЕ ЗАШЛО",Z913="ВОЗВРАТ")),W913,"")</f>
        <v/>
      </c>
      <c r="AC913" s="15"/>
      <c r="AD913" s="16" t="str">
        <f aca="false">IF(OR(AC913="",P913=""),"",P913/AC913-1)</f>
        <v/>
      </c>
      <c r="AE913" s="19" t="str">
        <f aca="false">IF(AND(M913=0,OR(Z913="✅ ЗАШЛО",Z913="❌ НЕ ЗАШЛО"),L913&lt;&gt;""),(L913-IF(Z913="✅ ЗАШЛО",1,0))^2,"")</f>
        <v/>
      </c>
      <c r="AF913" s="15"/>
      <c r="AG913" s="15"/>
      <c r="AH913" s="13"/>
      <c r="AI913" s="13"/>
      <c r="AJ913" s="13"/>
      <c r="AK913" s="20" t="str">
        <f aca="false">IF(AH913="","",IF(ABS(AH913+AI913+AJ913-1)&lt;0.000001,"OK","ОШИБКА"))</f>
        <v/>
      </c>
      <c r="AL913" s="13"/>
      <c r="AM913" s="12"/>
      <c r="AN913" s="12"/>
      <c r="AO913" s="12"/>
      <c r="AP913" s="12"/>
      <c r="AQ913" s="18" t="str">
        <f aca="false">IF(A913="","",N(AQ912)+N(AA913))</f>
        <v/>
      </c>
      <c r="AR913" s="18" t="str">
        <f aca="false">IF(AQ913="","",MAX(0,MAX($AQ$8:AQ913))-AQ913)</f>
        <v/>
      </c>
    </row>
    <row r="914" customFormat="false" ht="15" hidden="false" customHeight="fals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3"/>
      <c r="M914" s="13"/>
      <c r="N914" s="13"/>
      <c r="O914" s="14" t="str">
        <f aca="false">IF(OR(L914="",L914=0),"",(1-M914)/L914)</f>
        <v/>
      </c>
      <c r="P914" s="15"/>
      <c r="Q914" s="12"/>
      <c r="R914" s="12"/>
      <c r="S914" s="13"/>
      <c r="T914" s="16" t="str">
        <f aca="false">IF(OR(S914="",L914=""),"",L914/(1-M914)-S914)</f>
        <v/>
      </c>
      <c r="U914" s="16" t="str">
        <f aca="false">IF(OR(L914="",P914=""),"",L914*(P914-1)-N914)</f>
        <v/>
      </c>
      <c r="V914" s="13"/>
      <c r="W914" s="17"/>
      <c r="X914" s="12"/>
      <c r="Y914" s="12"/>
      <c r="Z914" s="12"/>
      <c r="AA914" s="18" t="str">
        <f aca="false">IF(K914&lt;&gt;"ВИРТУАЛЬНЫЙ ВЫБОР","",IF(Z914="✅ ЗАШЛО",W914*(P914-1),IF(Z914="❌ НЕ ЗАШЛО",-W914,IF(Z914="½ ЗАШЛО",W914*(P914-1)/2,IF(Z914="½ НЕ ЗАШЛО",-W914/2,IF(Z914="ВОЗВРАТ",0,""))))))</f>
        <v/>
      </c>
      <c r="AB914" s="18" t="str">
        <f aca="false">IF(AND(K914="ВИРТУАЛЬНЫЙ ВЫБОР",OR(Z914="✅ ЗАШЛО",Z914="❌ НЕ ЗАШЛО",Z914="½ ЗАШЛО",Z914="½ НЕ ЗАШЛО",Z914="ВОЗВРАТ")),W914,"")</f>
        <v/>
      </c>
      <c r="AC914" s="15"/>
      <c r="AD914" s="16" t="str">
        <f aca="false">IF(OR(AC914="",P914=""),"",P914/AC914-1)</f>
        <v/>
      </c>
      <c r="AE914" s="19" t="str">
        <f aca="false">IF(AND(M914=0,OR(Z914="✅ ЗАШЛО",Z914="❌ НЕ ЗАШЛО"),L914&lt;&gt;""),(L914-IF(Z914="✅ ЗАШЛО",1,0))^2,"")</f>
        <v/>
      </c>
      <c r="AF914" s="15"/>
      <c r="AG914" s="15"/>
      <c r="AH914" s="13"/>
      <c r="AI914" s="13"/>
      <c r="AJ914" s="13"/>
      <c r="AK914" s="20" t="str">
        <f aca="false">IF(AH914="","",IF(ABS(AH914+AI914+AJ914-1)&lt;0.000001,"OK","ОШИБКА"))</f>
        <v/>
      </c>
      <c r="AL914" s="13"/>
      <c r="AM914" s="12"/>
      <c r="AN914" s="12"/>
      <c r="AO914" s="12"/>
      <c r="AP914" s="12"/>
      <c r="AQ914" s="18" t="str">
        <f aca="false">IF(A914="","",N(AQ913)+N(AA914))</f>
        <v/>
      </c>
      <c r="AR914" s="18" t="str">
        <f aca="false">IF(AQ914="","",MAX(0,MAX($AQ$8:AQ914))-AQ914)</f>
        <v/>
      </c>
    </row>
    <row r="915" customFormat="false" ht="15" hidden="false" customHeight="fals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3"/>
      <c r="M915" s="13"/>
      <c r="N915" s="13"/>
      <c r="O915" s="14" t="str">
        <f aca="false">IF(OR(L915="",L915=0),"",(1-M915)/L915)</f>
        <v/>
      </c>
      <c r="P915" s="15"/>
      <c r="Q915" s="12"/>
      <c r="R915" s="12"/>
      <c r="S915" s="13"/>
      <c r="T915" s="16" t="str">
        <f aca="false">IF(OR(S915="",L915=""),"",L915/(1-M915)-S915)</f>
        <v/>
      </c>
      <c r="U915" s="16" t="str">
        <f aca="false">IF(OR(L915="",P915=""),"",L915*(P915-1)-N915)</f>
        <v/>
      </c>
      <c r="V915" s="13"/>
      <c r="W915" s="17"/>
      <c r="X915" s="12"/>
      <c r="Y915" s="12"/>
      <c r="Z915" s="12"/>
      <c r="AA915" s="18" t="str">
        <f aca="false">IF(K915&lt;&gt;"ВИРТУАЛЬНЫЙ ВЫБОР","",IF(Z915="✅ ЗАШЛО",W915*(P915-1),IF(Z915="❌ НЕ ЗАШЛО",-W915,IF(Z915="½ ЗАШЛО",W915*(P915-1)/2,IF(Z915="½ НЕ ЗАШЛО",-W915/2,IF(Z915="ВОЗВРАТ",0,""))))))</f>
        <v/>
      </c>
      <c r="AB915" s="18" t="str">
        <f aca="false">IF(AND(K915="ВИРТУАЛЬНЫЙ ВЫБОР",OR(Z915="✅ ЗАШЛО",Z915="❌ НЕ ЗАШЛО",Z915="½ ЗАШЛО",Z915="½ НЕ ЗАШЛО",Z915="ВОЗВРАТ")),W915,"")</f>
        <v/>
      </c>
      <c r="AC915" s="15"/>
      <c r="AD915" s="16" t="str">
        <f aca="false">IF(OR(AC915="",P915=""),"",P915/AC915-1)</f>
        <v/>
      </c>
      <c r="AE915" s="19" t="str">
        <f aca="false">IF(AND(M915=0,OR(Z915="✅ ЗАШЛО",Z915="❌ НЕ ЗАШЛО"),L915&lt;&gt;""),(L915-IF(Z915="✅ ЗАШЛО",1,0))^2,"")</f>
        <v/>
      </c>
      <c r="AF915" s="15"/>
      <c r="AG915" s="15"/>
      <c r="AH915" s="13"/>
      <c r="AI915" s="13"/>
      <c r="AJ915" s="13"/>
      <c r="AK915" s="20" t="str">
        <f aca="false">IF(AH915="","",IF(ABS(AH915+AI915+AJ915-1)&lt;0.000001,"OK","ОШИБКА"))</f>
        <v/>
      </c>
      <c r="AL915" s="13"/>
      <c r="AM915" s="12"/>
      <c r="AN915" s="12"/>
      <c r="AO915" s="12"/>
      <c r="AP915" s="12"/>
      <c r="AQ915" s="18" t="str">
        <f aca="false">IF(A915="","",N(AQ914)+N(AA915))</f>
        <v/>
      </c>
      <c r="AR915" s="18" t="str">
        <f aca="false">IF(AQ915="","",MAX(0,MAX($AQ$8:AQ915))-AQ915)</f>
        <v/>
      </c>
    </row>
    <row r="916" customFormat="false" ht="15" hidden="false" customHeight="fals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3"/>
      <c r="M916" s="13"/>
      <c r="N916" s="13"/>
      <c r="O916" s="14" t="str">
        <f aca="false">IF(OR(L916="",L916=0),"",(1-M916)/L916)</f>
        <v/>
      </c>
      <c r="P916" s="15"/>
      <c r="Q916" s="12"/>
      <c r="R916" s="12"/>
      <c r="S916" s="13"/>
      <c r="T916" s="16" t="str">
        <f aca="false">IF(OR(S916="",L916=""),"",L916/(1-M916)-S916)</f>
        <v/>
      </c>
      <c r="U916" s="16" t="str">
        <f aca="false">IF(OR(L916="",P916=""),"",L916*(P916-1)-N916)</f>
        <v/>
      </c>
      <c r="V916" s="13"/>
      <c r="W916" s="17"/>
      <c r="X916" s="12"/>
      <c r="Y916" s="12"/>
      <c r="Z916" s="12"/>
      <c r="AA916" s="18" t="str">
        <f aca="false">IF(K916&lt;&gt;"ВИРТУАЛЬНЫЙ ВЫБОР","",IF(Z916="✅ ЗАШЛО",W916*(P916-1),IF(Z916="❌ НЕ ЗАШЛО",-W916,IF(Z916="½ ЗАШЛО",W916*(P916-1)/2,IF(Z916="½ НЕ ЗАШЛО",-W916/2,IF(Z916="ВОЗВРАТ",0,""))))))</f>
        <v/>
      </c>
      <c r="AB916" s="18" t="str">
        <f aca="false">IF(AND(K916="ВИРТУАЛЬНЫЙ ВЫБОР",OR(Z916="✅ ЗАШЛО",Z916="❌ НЕ ЗАШЛО",Z916="½ ЗАШЛО",Z916="½ НЕ ЗАШЛО",Z916="ВОЗВРАТ")),W916,"")</f>
        <v/>
      </c>
      <c r="AC916" s="15"/>
      <c r="AD916" s="16" t="str">
        <f aca="false">IF(OR(AC916="",P916=""),"",P916/AC916-1)</f>
        <v/>
      </c>
      <c r="AE916" s="19" t="str">
        <f aca="false">IF(AND(M916=0,OR(Z916="✅ ЗАШЛО",Z916="❌ НЕ ЗАШЛО"),L916&lt;&gt;""),(L916-IF(Z916="✅ ЗАШЛО",1,0))^2,"")</f>
        <v/>
      </c>
      <c r="AF916" s="15"/>
      <c r="AG916" s="15"/>
      <c r="AH916" s="13"/>
      <c r="AI916" s="13"/>
      <c r="AJ916" s="13"/>
      <c r="AK916" s="20" t="str">
        <f aca="false">IF(AH916="","",IF(ABS(AH916+AI916+AJ916-1)&lt;0.000001,"OK","ОШИБКА"))</f>
        <v/>
      </c>
      <c r="AL916" s="13"/>
      <c r="AM916" s="12"/>
      <c r="AN916" s="12"/>
      <c r="AO916" s="12"/>
      <c r="AP916" s="12"/>
      <c r="AQ916" s="18" t="str">
        <f aca="false">IF(A916="","",N(AQ915)+N(AA916))</f>
        <v/>
      </c>
      <c r="AR916" s="18" t="str">
        <f aca="false">IF(AQ916="","",MAX(0,MAX($AQ$8:AQ916))-AQ916)</f>
        <v/>
      </c>
    </row>
    <row r="917" customFormat="false" ht="15" hidden="false" customHeight="fals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3"/>
      <c r="M917" s="13"/>
      <c r="N917" s="13"/>
      <c r="O917" s="14" t="str">
        <f aca="false">IF(OR(L917="",L917=0),"",(1-M917)/L917)</f>
        <v/>
      </c>
      <c r="P917" s="15"/>
      <c r="Q917" s="12"/>
      <c r="R917" s="12"/>
      <c r="S917" s="13"/>
      <c r="T917" s="16" t="str">
        <f aca="false">IF(OR(S917="",L917=""),"",L917/(1-M917)-S917)</f>
        <v/>
      </c>
      <c r="U917" s="16" t="str">
        <f aca="false">IF(OR(L917="",P917=""),"",L917*(P917-1)-N917)</f>
        <v/>
      </c>
      <c r="V917" s="13"/>
      <c r="W917" s="17"/>
      <c r="X917" s="12"/>
      <c r="Y917" s="12"/>
      <c r="Z917" s="12"/>
      <c r="AA917" s="18" t="str">
        <f aca="false">IF(K917&lt;&gt;"ВИРТУАЛЬНЫЙ ВЫБОР","",IF(Z917="✅ ЗАШЛО",W917*(P917-1),IF(Z917="❌ НЕ ЗАШЛО",-W917,IF(Z917="½ ЗАШЛО",W917*(P917-1)/2,IF(Z917="½ НЕ ЗАШЛО",-W917/2,IF(Z917="ВОЗВРАТ",0,""))))))</f>
        <v/>
      </c>
      <c r="AB917" s="18" t="str">
        <f aca="false">IF(AND(K917="ВИРТУАЛЬНЫЙ ВЫБОР",OR(Z917="✅ ЗАШЛО",Z917="❌ НЕ ЗАШЛО",Z917="½ ЗАШЛО",Z917="½ НЕ ЗАШЛО",Z917="ВОЗВРАТ")),W917,"")</f>
        <v/>
      </c>
      <c r="AC917" s="15"/>
      <c r="AD917" s="16" t="str">
        <f aca="false">IF(OR(AC917="",P917=""),"",P917/AC917-1)</f>
        <v/>
      </c>
      <c r="AE917" s="19" t="str">
        <f aca="false">IF(AND(M917=0,OR(Z917="✅ ЗАШЛО",Z917="❌ НЕ ЗАШЛО"),L917&lt;&gt;""),(L917-IF(Z917="✅ ЗАШЛО",1,0))^2,"")</f>
        <v/>
      </c>
      <c r="AF917" s="15"/>
      <c r="AG917" s="15"/>
      <c r="AH917" s="13"/>
      <c r="AI917" s="13"/>
      <c r="AJ917" s="13"/>
      <c r="AK917" s="20" t="str">
        <f aca="false">IF(AH917="","",IF(ABS(AH917+AI917+AJ917-1)&lt;0.000001,"OK","ОШИБКА"))</f>
        <v/>
      </c>
      <c r="AL917" s="13"/>
      <c r="AM917" s="12"/>
      <c r="AN917" s="12"/>
      <c r="AO917" s="12"/>
      <c r="AP917" s="12"/>
      <c r="AQ917" s="18" t="str">
        <f aca="false">IF(A917="","",N(AQ916)+N(AA917))</f>
        <v/>
      </c>
      <c r="AR917" s="18" t="str">
        <f aca="false">IF(AQ917="","",MAX(0,MAX($AQ$8:AQ917))-AQ917)</f>
        <v/>
      </c>
    </row>
    <row r="918" customFormat="false" ht="15" hidden="false" customHeight="fals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3"/>
      <c r="M918" s="13"/>
      <c r="N918" s="13"/>
      <c r="O918" s="14" t="str">
        <f aca="false">IF(OR(L918="",L918=0),"",(1-M918)/L918)</f>
        <v/>
      </c>
      <c r="P918" s="15"/>
      <c r="Q918" s="12"/>
      <c r="R918" s="12"/>
      <c r="S918" s="13"/>
      <c r="T918" s="16" t="str">
        <f aca="false">IF(OR(S918="",L918=""),"",L918/(1-M918)-S918)</f>
        <v/>
      </c>
      <c r="U918" s="16" t="str">
        <f aca="false">IF(OR(L918="",P918=""),"",L918*(P918-1)-N918)</f>
        <v/>
      </c>
      <c r="V918" s="13"/>
      <c r="W918" s="17"/>
      <c r="X918" s="12"/>
      <c r="Y918" s="12"/>
      <c r="Z918" s="12"/>
      <c r="AA918" s="18" t="str">
        <f aca="false">IF(K918&lt;&gt;"ВИРТУАЛЬНЫЙ ВЫБОР","",IF(Z918="✅ ЗАШЛО",W918*(P918-1),IF(Z918="❌ НЕ ЗАШЛО",-W918,IF(Z918="½ ЗАШЛО",W918*(P918-1)/2,IF(Z918="½ НЕ ЗАШЛО",-W918/2,IF(Z918="ВОЗВРАТ",0,""))))))</f>
        <v/>
      </c>
      <c r="AB918" s="18" t="str">
        <f aca="false">IF(AND(K918="ВИРТУАЛЬНЫЙ ВЫБОР",OR(Z918="✅ ЗАШЛО",Z918="❌ НЕ ЗАШЛО",Z918="½ ЗАШЛО",Z918="½ НЕ ЗАШЛО",Z918="ВОЗВРАТ")),W918,"")</f>
        <v/>
      </c>
      <c r="AC918" s="15"/>
      <c r="AD918" s="16" t="str">
        <f aca="false">IF(OR(AC918="",P918=""),"",P918/AC918-1)</f>
        <v/>
      </c>
      <c r="AE918" s="19" t="str">
        <f aca="false">IF(AND(M918=0,OR(Z918="✅ ЗАШЛО",Z918="❌ НЕ ЗАШЛО"),L918&lt;&gt;""),(L918-IF(Z918="✅ ЗАШЛО",1,0))^2,"")</f>
        <v/>
      </c>
      <c r="AF918" s="15"/>
      <c r="AG918" s="15"/>
      <c r="AH918" s="13"/>
      <c r="AI918" s="13"/>
      <c r="AJ918" s="13"/>
      <c r="AK918" s="20" t="str">
        <f aca="false">IF(AH918="","",IF(ABS(AH918+AI918+AJ918-1)&lt;0.000001,"OK","ОШИБКА"))</f>
        <v/>
      </c>
      <c r="AL918" s="13"/>
      <c r="AM918" s="12"/>
      <c r="AN918" s="12"/>
      <c r="AO918" s="12"/>
      <c r="AP918" s="12"/>
      <c r="AQ918" s="18" t="str">
        <f aca="false">IF(A918="","",N(AQ917)+N(AA918))</f>
        <v/>
      </c>
      <c r="AR918" s="18" t="str">
        <f aca="false">IF(AQ918="","",MAX(0,MAX($AQ$8:AQ918))-AQ918)</f>
        <v/>
      </c>
    </row>
    <row r="919" customFormat="false" ht="15" hidden="false" customHeight="fals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3"/>
      <c r="M919" s="13"/>
      <c r="N919" s="13"/>
      <c r="O919" s="14" t="str">
        <f aca="false">IF(OR(L919="",L919=0),"",(1-M919)/L919)</f>
        <v/>
      </c>
      <c r="P919" s="15"/>
      <c r="Q919" s="12"/>
      <c r="R919" s="12"/>
      <c r="S919" s="13"/>
      <c r="T919" s="16" t="str">
        <f aca="false">IF(OR(S919="",L919=""),"",L919/(1-M919)-S919)</f>
        <v/>
      </c>
      <c r="U919" s="16" t="str">
        <f aca="false">IF(OR(L919="",P919=""),"",L919*(P919-1)-N919)</f>
        <v/>
      </c>
      <c r="V919" s="13"/>
      <c r="W919" s="17"/>
      <c r="X919" s="12"/>
      <c r="Y919" s="12"/>
      <c r="Z919" s="12"/>
      <c r="AA919" s="18" t="str">
        <f aca="false">IF(K919&lt;&gt;"ВИРТУАЛЬНЫЙ ВЫБОР","",IF(Z919="✅ ЗАШЛО",W919*(P919-1),IF(Z919="❌ НЕ ЗАШЛО",-W919,IF(Z919="½ ЗАШЛО",W919*(P919-1)/2,IF(Z919="½ НЕ ЗАШЛО",-W919/2,IF(Z919="ВОЗВРАТ",0,""))))))</f>
        <v/>
      </c>
      <c r="AB919" s="18" t="str">
        <f aca="false">IF(AND(K919="ВИРТУАЛЬНЫЙ ВЫБОР",OR(Z919="✅ ЗАШЛО",Z919="❌ НЕ ЗАШЛО",Z919="½ ЗАШЛО",Z919="½ НЕ ЗАШЛО",Z919="ВОЗВРАТ")),W919,"")</f>
        <v/>
      </c>
      <c r="AC919" s="15"/>
      <c r="AD919" s="16" t="str">
        <f aca="false">IF(OR(AC919="",P919=""),"",P919/AC919-1)</f>
        <v/>
      </c>
      <c r="AE919" s="19" t="str">
        <f aca="false">IF(AND(M919=0,OR(Z919="✅ ЗАШЛО",Z919="❌ НЕ ЗАШЛО"),L919&lt;&gt;""),(L919-IF(Z919="✅ ЗАШЛО",1,0))^2,"")</f>
        <v/>
      </c>
      <c r="AF919" s="15"/>
      <c r="AG919" s="15"/>
      <c r="AH919" s="13"/>
      <c r="AI919" s="13"/>
      <c r="AJ919" s="13"/>
      <c r="AK919" s="20" t="str">
        <f aca="false">IF(AH919="","",IF(ABS(AH919+AI919+AJ919-1)&lt;0.000001,"OK","ОШИБКА"))</f>
        <v/>
      </c>
      <c r="AL919" s="13"/>
      <c r="AM919" s="12"/>
      <c r="AN919" s="12"/>
      <c r="AO919" s="12"/>
      <c r="AP919" s="12"/>
      <c r="AQ919" s="18" t="str">
        <f aca="false">IF(A919="","",N(AQ918)+N(AA919))</f>
        <v/>
      </c>
      <c r="AR919" s="18" t="str">
        <f aca="false">IF(AQ919="","",MAX(0,MAX($AQ$8:AQ919))-AQ919)</f>
        <v/>
      </c>
    </row>
    <row r="920" customFormat="false" ht="15" hidden="false" customHeight="fals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3"/>
      <c r="M920" s="13"/>
      <c r="N920" s="13"/>
      <c r="O920" s="14" t="str">
        <f aca="false">IF(OR(L920="",L920=0),"",(1-M920)/L920)</f>
        <v/>
      </c>
      <c r="P920" s="15"/>
      <c r="Q920" s="12"/>
      <c r="R920" s="12"/>
      <c r="S920" s="13"/>
      <c r="T920" s="16" t="str">
        <f aca="false">IF(OR(S920="",L920=""),"",L920/(1-M920)-S920)</f>
        <v/>
      </c>
      <c r="U920" s="16" t="str">
        <f aca="false">IF(OR(L920="",P920=""),"",L920*(P920-1)-N920)</f>
        <v/>
      </c>
      <c r="V920" s="13"/>
      <c r="W920" s="17"/>
      <c r="X920" s="12"/>
      <c r="Y920" s="12"/>
      <c r="Z920" s="12"/>
      <c r="AA920" s="18" t="str">
        <f aca="false">IF(K920&lt;&gt;"ВИРТУАЛЬНЫЙ ВЫБОР","",IF(Z920="✅ ЗАШЛО",W920*(P920-1),IF(Z920="❌ НЕ ЗАШЛО",-W920,IF(Z920="½ ЗАШЛО",W920*(P920-1)/2,IF(Z920="½ НЕ ЗАШЛО",-W920/2,IF(Z920="ВОЗВРАТ",0,""))))))</f>
        <v/>
      </c>
      <c r="AB920" s="18" t="str">
        <f aca="false">IF(AND(K920="ВИРТУАЛЬНЫЙ ВЫБОР",OR(Z920="✅ ЗАШЛО",Z920="❌ НЕ ЗАШЛО",Z920="½ ЗАШЛО",Z920="½ НЕ ЗАШЛО",Z920="ВОЗВРАТ")),W920,"")</f>
        <v/>
      </c>
      <c r="AC920" s="15"/>
      <c r="AD920" s="16" t="str">
        <f aca="false">IF(OR(AC920="",P920=""),"",P920/AC920-1)</f>
        <v/>
      </c>
      <c r="AE920" s="19" t="str">
        <f aca="false">IF(AND(M920=0,OR(Z920="✅ ЗАШЛО",Z920="❌ НЕ ЗАШЛО"),L920&lt;&gt;""),(L920-IF(Z920="✅ ЗАШЛО",1,0))^2,"")</f>
        <v/>
      </c>
      <c r="AF920" s="15"/>
      <c r="AG920" s="15"/>
      <c r="AH920" s="13"/>
      <c r="AI920" s="13"/>
      <c r="AJ920" s="13"/>
      <c r="AK920" s="20" t="str">
        <f aca="false">IF(AH920="","",IF(ABS(AH920+AI920+AJ920-1)&lt;0.000001,"OK","ОШИБКА"))</f>
        <v/>
      </c>
      <c r="AL920" s="13"/>
      <c r="AM920" s="12"/>
      <c r="AN920" s="12"/>
      <c r="AO920" s="12"/>
      <c r="AP920" s="12"/>
      <c r="AQ920" s="18" t="str">
        <f aca="false">IF(A920="","",N(AQ919)+N(AA920))</f>
        <v/>
      </c>
      <c r="AR920" s="18" t="str">
        <f aca="false">IF(AQ920="","",MAX(0,MAX($AQ$8:AQ920))-AQ920)</f>
        <v/>
      </c>
    </row>
    <row r="921" customFormat="false" ht="15" hidden="false" customHeight="fals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3"/>
      <c r="M921" s="13"/>
      <c r="N921" s="13"/>
      <c r="O921" s="14" t="str">
        <f aca="false">IF(OR(L921="",L921=0),"",(1-M921)/L921)</f>
        <v/>
      </c>
      <c r="P921" s="15"/>
      <c r="Q921" s="12"/>
      <c r="R921" s="12"/>
      <c r="S921" s="13"/>
      <c r="T921" s="16" t="str">
        <f aca="false">IF(OR(S921="",L921=""),"",L921/(1-M921)-S921)</f>
        <v/>
      </c>
      <c r="U921" s="16" t="str">
        <f aca="false">IF(OR(L921="",P921=""),"",L921*(P921-1)-N921)</f>
        <v/>
      </c>
      <c r="V921" s="13"/>
      <c r="W921" s="17"/>
      <c r="X921" s="12"/>
      <c r="Y921" s="12"/>
      <c r="Z921" s="12"/>
      <c r="AA921" s="18" t="str">
        <f aca="false">IF(K921&lt;&gt;"ВИРТУАЛЬНЫЙ ВЫБОР","",IF(Z921="✅ ЗАШЛО",W921*(P921-1),IF(Z921="❌ НЕ ЗАШЛО",-W921,IF(Z921="½ ЗАШЛО",W921*(P921-1)/2,IF(Z921="½ НЕ ЗАШЛО",-W921/2,IF(Z921="ВОЗВРАТ",0,""))))))</f>
        <v/>
      </c>
      <c r="AB921" s="18" t="str">
        <f aca="false">IF(AND(K921="ВИРТУАЛЬНЫЙ ВЫБОР",OR(Z921="✅ ЗАШЛО",Z921="❌ НЕ ЗАШЛО",Z921="½ ЗАШЛО",Z921="½ НЕ ЗАШЛО",Z921="ВОЗВРАТ")),W921,"")</f>
        <v/>
      </c>
      <c r="AC921" s="15"/>
      <c r="AD921" s="16" t="str">
        <f aca="false">IF(OR(AC921="",P921=""),"",P921/AC921-1)</f>
        <v/>
      </c>
      <c r="AE921" s="19" t="str">
        <f aca="false">IF(AND(M921=0,OR(Z921="✅ ЗАШЛО",Z921="❌ НЕ ЗАШЛО"),L921&lt;&gt;""),(L921-IF(Z921="✅ ЗАШЛО",1,0))^2,"")</f>
        <v/>
      </c>
      <c r="AF921" s="15"/>
      <c r="AG921" s="15"/>
      <c r="AH921" s="13"/>
      <c r="AI921" s="13"/>
      <c r="AJ921" s="13"/>
      <c r="AK921" s="20" t="str">
        <f aca="false">IF(AH921="","",IF(ABS(AH921+AI921+AJ921-1)&lt;0.000001,"OK","ОШИБКА"))</f>
        <v/>
      </c>
      <c r="AL921" s="13"/>
      <c r="AM921" s="12"/>
      <c r="AN921" s="12"/>
      <c r="AO921" s="12"/>
      <c r="AP921" s="12"/>
      <c r="AQ921" s="18" t="str">
        <f aca="false">IF(A921="","",N(AQ920)+N(AA921))</f>
        <v/>
      </c>
      <c r="AR921" s="18" t="str">
        <f aca="false">IF(AQ921="","",MAX(0,MAX($AQ$8:AQ921))-AQ921)</f>
        <v/>
      </c>
    </row>
    <row r="922" customFormat="false" ht="15" hidden="false" customHeight="fals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3"/>
      <c r="M922" s="13"/>
      <c r="N922" s="13"/>
      <c r="O922" s="14" t="str">
        <f aca="false">IF(OR(L922="",L922=0),"",(1-M922)/L922)</f>
        <v/>
      </c>
      <c r="P922" s="15"/>
      <c r="Q922" s="12"/>
      <c r="R922" s="12"/>
      <c r="S922" s="13"/>
      <c r="T922" s="16" t="str">
        <f aca="false">IF(OR(S922="",L922=""),"",L922/(1-M922)-S922)</f>
        <v/>
      </c>
      <c r="U922" s="16" t="str">
        <f aca="false">IF(OR(L922="",P922=""),"",L922*(P922-1)-N922)</f>
        <v/>
      </c>
      <c r="V922" s="13"/>
      <c r="W922" s="17"/>
      <c r="X922" s="12"/>
      <c r="Y922" s="12"/>
      <c r="Z922" s="12"/>
      <c r="AA922" s="18" t="str">
        <f aca="false">IF(K922&lt;&gt;"ВИРТУАЛЬНЫЙ ВЫБОР","",IF(Z922="✅ ЗАШЛО",W922*(P922-1),IF(Z922="❌ НЕ ЗАШЛО",-W922,IF(Z922="½ ЗАШЛО",W922*(P922-1)/2,IF(Z922="½ НЕ ЗАШЛО",-W922/2,IF(Z922="ВОЗВРАТ",0,""))))))</f>
        <v/>
      </c>
      <c r="AB922" s="18" t="str">
        <f aca="false">IF(AND(K922="ВИРТУАЛЬНЫЙ ВЫБОР",OR(Z922="✅ ЗАШЛО",Z922="❌ НЕ ЗАШЛО",Z922="½ ЗАШЛО",Z922="½ НЕ ЗАШЛО",Z922="ВОЗВРАТ")),W922,"")</f>
        <v/>
      </c>
      <c r="AC922" s="15"/>
      <c r="AD922" s="16" t="str">
        <f aca="false">IF(OR(AC922="",P922=""),"",P922/AC922-1)</f>
        <v/>
      </c>
      <c r="AE922" s="19" t="str">
        <f aca="false">IF(AND(M922=0,OR(Z922="✅ ЗАШЛО",Z922="❌ НЕ ЗАШЛО"),L922&lt;&gt;""),(L922-IF(Z922="✅ ЗАШЛО",1,0))^2,"")</f>
        <v/>
      </c>
      <c r="AF922" s="15"/>
      <c r="AG922" s="15"/>
      <c r="AH922" s="13"/>
      <c r="AI922" s="13"/>
      <c r="AJ922" s="13"/>
      <c r="AK922" s="20" t="str">
        <f aca="false">IF(AH922="","",IF(ABS(AH922+AI922+AJ922-1)&lt;0.000001,"OK","ОШИБКА"))</f>
        <v/>
      </c>
      <c r="AL922" s="13"/>
      <c r="AM922" s="12"/>
      <c r="AN922" s="12"/>
      <c r="AO922" s="12"/>
      <c r="AP922" s="12"/>
      <c r="AQ922" s="18" t="str">
        <f aca="false">IF(A922="","",N(AQ921)+N(AA922))</f>
        <v/>
      </c>
      <c r="AR922" s="18" t="str">
        <f aca="false">IF(AQ922="","",MAX(0,MAX($AQ$8:AQ922))-AQ922)</f>
        <v/>
      </c>
    </row>
    <row r="923" customFormat="false" ht="15" hidden="false" customHeight="fals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3"/>
      <c r="M923" s="13"/>
      <c r="N923" s="13"/>
      <c r="O923" s="14" t="str">
        <f aca="false">IF(OR(L923="",L923=0),"",(1-M923)/L923)</f>
        <v/>
      </c>
      <c r="P923" s="15"/>
      <c r="Q923" s="12"/>
      <c r="R923" s="12"/>
      <c r="S923" s="13"/>
      <c r="T923" s="16" t="str">
        <f aca="false">IF(OR(S923="",L923=""),"",L923/(1-M923)-S923)</f>
        <v/>
      </c>
      <c r="U923" s="16" t="str">
        <f aca="false">IF(OR(L923="",P923=""),"",L923*(P923-1)-N923)</f>
        <v/>
      </c>
      <c r="V923" s="13"/>
      <c r="W923" s="17"/>
      <c r="X923" s="12"/>
      <c r="Y923" s="12"/>
      <c r="Z923" s="12"/>
      <c r="AA923" s="18" t="str">
        <f aca="false">IF(K923&lt;&gt;"ВИРТУАЛЬНЫЙ ВЫБОР","",IF(Z923="✅ ЗАШЛО",W923*(P923-1),IF(Z923="❌ НЕ ЗАШЛО",-W923,IF(Z923="½ ЗАШЛО",W923*(P923-1)/2,IF(Z923="½ НЕ ЗАШЛО",-W923/2,IF(Z923="ВОЗВРАТ",0,""))))))</f>
        <v/>
      </c>
      <c r="AB923" s="18" t="str">
        <f aca="false">IF(AND(K923="ВИРТУАЛЬНЫЙ ВЫБОР",OR(Z923="✅ ЗАШЛО",Z923="❌ НЕ ЗАШЛО",Z923="½ ЗАШЛО",Z923="½ НЕ ЗАШЛО",Z923="ВОЗВРАТ")),W923,"")</f>
        <v/>
      </c>
      <c r="AC923" s="15"/>
      <c r="AD923" s="16" t="str">
        <f aca="false">IF(OR(AC923="",P923=""),"",P923/AC923-1)</f>
        <v/>
      </c>
      <c r="AE923" s="19" t="str">
        <f aca="false">IF(AND(M923=0,OR(Z923="✅ ЗАШЛО",Z923="❌ НЕ ЗАШЛО"),L923&lt;&gt;""),(L923-IF(Z923="✅ ЗАШЛО",1,0))^2,"")</f>
        <v/>
      </c>
      <c r="AF923" s="15"/>
      <c r="AG923" s="15"/>
      <c r="AH923" s="13"/>
      <c r="AI923" s="13"/>
      <c r="AJ923" s="13"/>
      <c r="AK923" s="20" t="str">
        <f aca="false">IF(AH923="","",IF(ABS(AH923+AI923+AJ923-1)&lt;0.000001,"OK","ОШИБКА"))</f>
        <v/>
      </c>
      <c r="AL923" s="13"/>
      <c r="AM923" s="12"/>
      <c r="AN923" s="12"/>
      <c r="AO923" s="12"/>
      <c r="AP923" s="12"/>
      <c r="AQ923" s="18" t="str">
        <f aca="false">IF(A923="","",N(AQ922)+N(AA923))</f>
        <v/>
      </c>
      <c r="AR923" s="18" t="str">
        <f aca="false">IF(AQ923="","",MAX(0,MAX($AQ$8:AQ923))-AQ923)</f>
        <v/>
      </c>
    </row>
    <row r="924" customFormat="false" ht="15" hidden="false" customHeight="fals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3"/>
      <c r="M924" s="13"/>
      <c r="N924" s="13"/>
      <c r="O924" s="14" t="str">
        <f aca="false">IF(OR(L924="",L924=0),"",(1-M924)/L924)</f>
        <v/>
      </c>
      <c r="P924" s="15"/>
      <c r="Q924" s="12"/>
      <c r="R924" s="12"/>
      <c r="S924" s="13"/>
      <c r="T924" s="16" t="str">
        <f aca="false">IF(OR(S924="",L924=""),"",L924/(1-M924)-S924)</f>
        <v/>
      </c>
      <c r="U924" s="16" t="str">
        <f aca="false">IF(OR(L924="",P924=""),"",L924*(P924-1)-N924)</f>
        <v/>
      </c>
      <c r="V924" s="13"/>
      <c r="W924" s="17"/>
      <c r="X924" s="12"/>
      <c r="Y924" s="12"/>
      <c r="Z924" s="12"/>
      <c r="AA924" s="18" t="str">
        <f aca="false">IF(K924&lt;&gt;"ВИРТУАЛЬНЫЙ ВЫБОР","",IF(Z924="✅ ЗАШЛО",W924*(P924-1),IF(Z924="❌ НЕ ЗАШЛО",-W924,IF(Z924="½ ЗАШЛО",W924*(P924-1)/2,IF(Z924="½ НЕ ЗАШЛО",-W924/2,IF(Z924="ВОЗВРАТ",0,""))))))</f>
        <v/>
      </c>
      <c r="AB924" s="18" t="str">
        <f aca="false">IF(AND(K924="ВИРТУАЛЬНЫЙ ВЫБОР",OR(Z924="✅ ЗАШЛО",Z924="❌ НЕ ЗАШЛО",Z924="½ ЗАШЛО",Z924="½ НЕ ЗАШЛО",Z924="ВОЗВРАТ")),W924,"")</f>
        <v/>
      </c>
      <c r="AC924" s="15"/>
      <c r="AD924" s="16" t="str">
        <f aca="false">IF(OR(AC924="",P924=""),"",P924/AC924-1)</f>
        <v/>
      </c>
      <c r="AE924" s="19" t="str">
        <f aca="false">IF(AND(M924=0,OR(Z924="✅ ЗАШЛО",Z924="❌ НЕ ЗАШЛО"),L924&lt;&gt;""),(L924-IF(Z924="✅ ЗАШЛО",1,0))^2,"")</f>
        <v/>
      </c>
      <c r="AF924" s="15"/>
      <c r="AG924" s="15"/>
      <c r="AH924" s="13"/>
      <c r="AI924" s="13"/>
      <c r="AJ924" s="13"/>
      <c r="AK924" s="20" t="str">
        <f aca="false">IF(AH924="","",IF(ABS(AH924+AI924+AJ924-1)&lt;0.000001,"OK","ОШИБКА"))</f>
        <v/>
      </c>
      <c r="AL924" s="13"/>
      <c r="AM924" s="12"/>
      <c r="AN924" s="12"/>
      <c r="AO924" s="12"/>
      <c r="AP924" s="12"/>
      <c r="AQ924" s="18" t="str">
        <f aca="false">IF(A924="","",N(AQ923)+N(AA924))</f>
        <v/>
      </c>
      <c r="AR924" s="18" t="str">
        <f aca="false">IF(AQ924="","",MAX(0,MAX($AQ$8:AQ924))-AQ924)</f>
        <v/>
      </c>
    </row>
    <row r="925" customFormat="false" ht="15" hidden="false" customHeight="fals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3"/>
      <c r="M925" s="13"/>
      <c r="N925" s="13"/>
      <c r="O925" s="14" t="str">
        <f aca="false">IF(OR(L925="",L925=0),"",(1-M925)/L925)</f>
        <v/>
      </c>
      <c r="P925" s="15"/>
      <c r="Q925" s="12"/>
      <c r="R925" s="12"/>
      <c r="S925" s="13"/>
      <c r="T925" s="16" t="str">
        <f aca="false">IF(OR(S925="",L925=""),"",L925/(1-M925)-S925)</f>
        <v/>
      </c>
      <c r="U925" s="16" t="str">
        <f aca="false">IF(OR(L925="",P925=""),"",L925*(P925-1)-N925)</f>
        <v/>
      </c>
      <c r="V925" s="13"/>
      <c r="W925" s="17"/>
      <c r="X925" s="12"/>
      <c r="Y925" s="12"/>
      <c r="Z925" s="12"/>
      <c r="AA925" s="18" t="str">
        <f aca="false">IF(K925&lt;&gt;"ВИРТУАЛЬНЫЙ ВЫБОР","",IF(Z925="✅ ЗАШЛО",W925*(P925-1),IF(Z925="❌ НЕ ЗАШЛО",-W925,IF(Z925="½ ЗАШЛО",W925*(P925-1)/2,IF(Z925="½ НЕ ЗАШЛО",-W925/2,IF(Z925="ВОЗВРАТ",0,""))))))</f>
        <v/>
      </c>
      <c r="AB925" s="18" t="str">
        <f aca="false">IF(AND(K925="ВИРТУАЛЬНЫЙ ВЫБОР",OR(Z925="✅ ЗАШЛО",Z925="❌ НЕ ЗАШЛО",Z925="½ ЗАШЛО",Z925="½ НЕ ЗАШЛО",Z925="ВОЗВРАТ")),W925,"")</f>
        <v/>
      </c>
      <c r="AC925" s="15"/>
      <c r="AD925" s="16" t="str">
        <f aca="false">IF(OR(AC925="",P925=""),"",P925/AC925-1)</f>
        <v/>
      </c>
      <c r="AE925" s="19" t="str">
        <f aca="false">IF(AND(M925=0,OR(Z925="✅ ЗАШЛО",Z925="❌ НЕ ЗАШЛО"),L925&lt;&gt;""),(L925-IF(Z925="✅ ЗАШЛО",1,0))^2,"")</f>
        <v/>
      </c>
      <c r="AF925" s="15"/>
      <c r="AG925" s="15"/>
      <c r="AH925" s="13"/>
      <c r="AI925" s="13"/>
      <c r="AJ925" s="13"/>
      <c r="AK925" s="20" t="str">
        <f aca="false">IF(AH925="","",IF(ABS(AH925+AI925+AJ925-1)&lt;0.000001,"OK","ОШИБКА"))</f>
        <v/>
      </c>
      <c r="AL925" s="13"/>
      <c r="AM925" s="12"/>
      <c r="AN925" s="12"/>
      <c r="AO925" s="12"/>
      <c r="AP925" s="12"/>
      <c r="AQ925" s="18" t="str">
        <f aca="false">IF(A925="","",N(AQ924)+N(AA925))</f>
        <v/>
      </c>
      <c r="AR925" s="18" t="str">
        <f aca="false">IF(AQ925="","",MAX(0,MAX($AQ$8:AQ925))-AQ925)</f>
        <v/>
      </c>
    </row>
    <row r="926" customFormat="false" ht="15" hidden="false" customHeight="fals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3"/>
      <c r="M926" s="13"/>
      <c r="N926" s="13"/>
      <c r="O926" s="14" t="str">
        <f aca="false">IF(OR(L926="",L926=0),"",(1-M926)/L926)</f>
        <v/>
      </c>
      <c r="P926" s="15"/>
      <c r="Q926" s="12"/>
      <c r="R926" s="12"/>
      <c r="S926" s="13"/>
      <c r="T926" s="16" t="str">
        <f aca="false">IF(OR(S926="",L926=""),"",L926/(1-M926)-S926)</f>
        <v/>
      </c>
      <c r="U926" s="16" t="str">
        <f aca="false">IF(OR(L926="",P926=""),"",L926*(P926-1)-N926)</f>
        <v/>
      </c>
      <c r="V926" s="13"/>
      <c r="W926" s="17"/>
      <c r="X926" s="12"/>
      <c r="Y926" s="12"/>
      <c r="Z926" s="12"/>
      <c r="AA926" s="18" t="str">
        <f aca="false">IF(K926&lt;&gt;"ВИРТУАЛЬНЫЙ ВЫБОР","",IF(Z926="✅ ЗАШЛО",W926*(P926-1),IF(Z926="❌ НЕ ЗАШЛО",-W926,IF(Z926="½ ЗАШЛО",W926*(P926-1)/2,IF(Z926="½ НЕ ЗАШЛО",-W926/2,IF(Z926="ВОЗВРАТ",0,""))))))</f>
        <v/>
      </c>
      <c r="AB926" s="18" t="str">
        <f aca="false">IF(AND(K926="ВИРТУАЛЬНЫЙ ВЫБОР",OR(Z926="✅ ЗАШЛО",Z926="❌ НЕ ЗАШЛО",Z926="½ ЗАШЛО",Z926="½ НЕ ЗАШЛО",Z926="ВОЗВРАТ")),W926,"")</f>
        <v/>
      </c>
      <c r="AC926" s="15"/>
      <c r="AD926" s="16" t="str">
        <f aca="false">IF(OR(AC926="",P926=""),"",P926/AC926-1)</f>
        <v/>
      </c>
      <c r="AE926" s="19" t="str">
        <f aca="false">IF(AND(M926=0,OR(Z926="✅ ЗАШЛО",Z926="❌ НЕ ЗАШЛО"),L926&lt;&gt;""),(L926-IF(Z926="✅ ЗАШЛО",1,0))^2,"")</f>
        <v/>
      </c>
      <c r="AF926" s="15"/>
      <c r="AG926" s="15"/>
      <c r="AH926" s="13"/>
      <c r="AI926" s="13"/>
      <c r="AJ926" s="13"/>
      <c r="AK926" s="20" t="str">
        <f aca="false">IF(AH926="","",IF(ABS(AH926+AI926+AJ926-1)&lt;0.000001,"OK","ОШИБКА"))</f>
        <v/>
      </c>
      <c r="AL926" s="13"/>
      <c r="AM926" s="12"/>
      <c r="AN926" s="12"/>
      <c r="AO926" s="12"/>
      <c r="AP926" s="12"/>
      <c r="AQ926" s="18" t="str">
        <f aca="false">IF(A926="","",N(AQ925)+N(AA926))</f>
        <v/>
      </c>
      <c r="AR926" s="18" t="str">
        <f aca="false">IF(AQ926="","",MAX(0,MAX($AQ$8:AQ926))-AQ926)</f>
        <v/>
      </c>
    </row>
    <row r="927" customFormat="false" ht="15" hidden="false" customHeight="fals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3"/>
      <c r="M927" s="13"/>
      <c r="N927" s="13"/>
      <c r="O927" s="14" t="str">
        <f aca="false">IF(OR(L927="",L927=0),"",(1-M927)/L927)</f>
        <v/>
      </c>
      <c r="P927" s="15"/>
      <c r="Q927" s="12"/>
      <c r="R927" s="12"/>
      <c r="S927" s="13"/>
      <c r="T927" s="16" t="str">
        <f aca="false">IF(OR(S927="",L927=""),"",L927/(1-M927)-S927)</f>
        <v/>
      </c>
      <c r="U927" s="16" t="str">
        <f aca="false">IF(OR(L927="",P927=""),"",L927*(P927-1)-N927)</f>
        <v/>
      </c>
      <c r="V927" s="13"/>
      <c r="W927" s="17"/>
      <c r="X927" s="12"/>
      <c r="Y927" s="12"/>
      <c r="Z927" s="12"/>
      <c r="AA927" s="18" t="str">
        <f aca="false">IF(K927&lt;&gt;"ВИРТУАЛЬНЫЙ ВЫБОР","",IF(Z927="✅ ЗАШЛО",W927*(P927-1),IF(Z927="❌ НЕ ЗАШЛО",-W927,IF(Z927="½ ЗАШЛО",W927*(P927-1)/2,IF(Z927="½ НЕ ЗАШЛО",-W927/2,IF(Z927="ВОЗВРАТ",0,""))))))</f>
        <v/>
      </c>
      <c r="AB927" s="18" t="str">
        <f aca="false">IF(AND(K927="ВИРТУАЛЬНЫЙ ВЫБОР",OR(Z927="✅ ЗАШЛО",Z927="❌ НЕ ЗАШЛО",Z927="½ ЗАШЛО",Z927="½ НЕ ЗАШЛО",Z927="ВОЗВРАТ")),W927,"")</f>
        <v/>
      </c>
      <c r="AC927" s="15"/>
      <c r="AD927" s="16" t="str">
        <f aca="false">IF(OR(AC927="",P927=""),"",P927/AC927-1)</f>
        <v/>
      </c>
      <c r="AE927" s="19" t="str">
        <f aca="false">IF(AND(M927=0,OR(Z927="✅ ЗАШЛО",Z927="❌ НЕ ЗАШЛО"),L927&lt;&gt;""),(L927-IF(Z927="✅ ЗАШЛО",1,0))^2,"")</f>
        <v/>
      </c>
      <c r="AF927" s="15"/>
      <c r="AG927" s="15"/>
      <c r="AH927" s="13"/>
      <c r="AI927" s="13"/>
      <c r="AJ927" s="13"/>
      <c r="AK927" s="20" t="str">
        <f aca="false">IF(AH927="","",IF(ABS(AH927+AI927+AJ927-1)&lt;0.000001,"OK","ОШИБКА"))</f>
        <v/>
      </c>
      <c r="AL927" s="13"/>
      <c r="AM927" s="12"/>
      <c r="AN927" s="12"/>
      <c r="AO927" s="12"/>
      <c r="AP927" s="12"/>
      <c r="AQ927" s="18" t="str">
        <f aca="false">IF(A927="","",N(AQ926)+N(AA927))</f>
        <v/>
      </c>
      <c r="AR927" s="18" t="str">
        <f aca="false">IF(AQ927="","",MAX(0,MAX($AQ$8:AQ927))-AQ927)</f>
        <v/>
      </c>
    </row>
    <row r="928" customFormat="false" ht="15" hidden="false" customHeight="fals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3"/>
      <c r="M928" s="13"/>
      <c r="N928" s="13"/>
      <c r="O928" s="14" t="str">
        <f aca="false">IF(OR(L928="",L928=0),"",(1-M928)/L928)</f>
        <v/>
      </c>
      <c r="P928" s="15"/>
      <c r="Q928" s="12"/>
      <c r="R928" s="12"/>
      <c r="S928" s="13"/>
      <c r="T928" s="16" t="str">
        <f aca="false">IF(OR(S928="",L928=""),"",L928/(1-M928)-S928)</f>
        <v/>
      </c>
      <c r="U928" s="16" t="str">
        <f aca="false">IF(OR(L928="",P928=""),"",L928*(P928-1)-N928)</f>
        <v/>
      </c>
      <c r="V928" s="13"/>
      <c r="W928" s="17"/>
      <c r="X928" s="12"/>
      <c r="Y928" s="12"/>
      <c r="Z928" s="12"/>
      <c r="AA928" s="18" t="str">
        <f aca="false">IF(K928&lt;&gt;"ВИРТУАЛЬНЫЙ ВЫБОР","",IF(Z928="✅ ЗАШЛО",W928*(P928-1),IF(Z928="❌ НЕ ЗАШЛО",-W928,IF(Z928="½ ЗАШЛО",W928*(P928-1)/2,IF(Z928="½ НЕ ЗАШЛО",-W928/2,IF(Z928="ВОЗВРАТ",0,""))))))</f>
        <v/>
      </c>
      <c r="AB928" s="18" t="str">
        <f aca="false">IF(AND(K928="ВИРТУАЛЬНЫЙ ВЫБОР",OR(Z928="✅ ЗАШЛО",Z928="❌ НЕ ЗАШЛО",Z928="½ ЗАШЛО",Z928="½ НЕ ЗАШЛО",Z928="ВОЗВРАТ")),W928,"")</f>
        <v/>
      </c>
      <c r="AC928" s="15"/>
      <c r="AD928" s="16" t="str">
        <f aca="false">IF(OR(AC928="",P928=""),"",P928/AC928-1)</f>
        <v/>
      </c>
      <c r="AE928" s="19" t="str">
        <f aca="false">IF(AND(M928=0,OR(Z928="✅ ЗАШЛО",Z928="❌ НЕ ЗАШЛО"),L928&lt;&gt;""),(L928-IF(Z928="✅ ЗАШЛО",1,0))^2,"")</f>
        <v/>
      </c>
      <c r="AF928" s="15"/>
      <c r="AG928" s="15"/>
      <c r="AH928" s="13"/>
      <c r="AI928" s="13"/>
      <c r="AJ928" s="13"/>
      <c r="AK928" s="20" t="str">
        <f aca="false">IF(AH928="","",IF(ABS(AH928+AI928+AJ928-1)&lt;0.000001,"OK","ОШИБКА"))</f>
        <v/>
      </c>
      <c r="AL928" s="13"/>
      <c r="AM928" s="12"/>
      <c r="AN928" s="12"/>
      <c r="AO928" s="12"/>
      <c r="AP928" s="12"/>
      <c r="AQ928" s="18" t="str">
        <f aca="false">IF(A928="","",N(AQ927)+N(AA928))</f>
        <v/>
      </c>
      <c r="AR928" s="18" t="str">
        <f aca="false">IF(AQ928="","",MAX(0,MAX($AQ$8:AQ928))-AQ928)</f>
        <v/>
      </c>
    </row>
    <row r="929" customFormat="false" ht="15" hidden="false" customHeight="fals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3"/>
      <c r="M929" s="13"/>
      <c r="N929" s="13"/>
      <c r="O929" s="14" t="str">
        <f aca="false">IF(OR(L929="",L929=0),"",(1-M929)/L929)</f>
        <v/>
      </c>
      <c r="P929" s="15"/>
      <c r="Q929" s="12"/>
      <c r="R929" s="12"/>
      <c r="S929" s="13"/>
      <c r="T929" s="16" t="str">
        <f aca="false">IF(OR(S929="",L929=""),"",L929/(1-M929)-S929)</f>
        <v/>
      </c>
      <c r="U929" s="16" t="str">
        <f aca="false">IF(OR(L929="",P929=""),"",L929*(P929-1)-N929)</f>
        <v/>
      </c>
      <c r="V929" s="13"/>
      <c r="W929" s="17"/>
      <c r="X929" s="12"/>
      <c r="Y929" s="12"/>
      <c r="Z929" s="12"/>
      <c r="AA929" s="18" t="str">
        <f aca="false">IF(K929&lt;&gt;"ВИРТУАЛЬНЫЙ ВЫБОР","",IF(Z929="✅ ЗАШЛО",W929*(P929-1),IF(Z929="❌ НЕ ЗАШЛО",-W929,IF(Z929="½ ЗАШЛО",W929*(P929-1)/2,IF(Z929="½ НЕ ЗАШЛО",-W929/2,IF(Z929="ВОЗВРАТ",0,""))))))</f>
        <v/>
      </c>
      <c r="AB929" s="18" t="str">
        <f aca="false">IF(AND(K929="ВИРТУАЛЬНЫЙ ВЫБОР",OR(Z929="✅ ЗАШЛО",Z929="❌ НЕ ЗАШЛО",Z929="½ ЗАШЛО",Z929="½ НЕ ЗАШЛО",Z929="ВОЗВРАТ")),W929,"")</f>
        <v/>
      </c>
      <c r="AC929" s="15"/>
      <c r="AD929" s="16" t="str">
        <f aca="false">IF(OR(AC929="",P929=""),"",P929/AC929-1)</f>
        <v/>
      </c>
      <c r="AE929" s="19" t="str">
        <f aca="false">IF(AND(M929=0,OR(Z929="✅ ЗАШЛО",Z929="❌ НЕ ЗАШЛО"),L929&lt;&gt;""),(L929-IF(Z929="✅ ЗАШЛО",1,0))^2,"")</f>
        <v/>
      </c>
      <c r="AF929" s="15"/>
      <c r="AG929" s="15"/>
      <c r="AH929" s="13"/>
      <c r="AI929" s="13"/>
      <c r="AJ929" s="13"/>
      <c r="AK929" s="20" t="str">
        <f aca="false">IF(AH929="","",IF(ABS(AH929+AI929+AJ929-1)&lt;0.000001,"OK","ОШИБКА"))</f>
        <v/>
      </c>
      <c r="AL929" s="13"/>
      <c r="AM929" s="12"/>
      <c r="AN929" s="12"/>
      <c r="AO929" s="12"/>
      <c r="AP929" s="12"/>
      <c r="AQ929" s="18" t="str">
        <f aca="false">IF(A929="","",N(AQ928)+N(AA929))</f>
        <v/>
      </c>
      <c r="AR929" s="18" t="str">
        <f aca="false">IF(AQ929="","",MAX(0,MAX($AQ$8:AQ929))-AQ929)</f>
        <v/>
      </c>
    </row>
    <row r="930" customFormat="false" ht="15" hidden="false" customHeight="fals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3"/>
      <c r="M930" s="13"/>
      <c r="N930" s="13"/>
      <c r="O930" s="14" t="str">
        <f aca="false">IF(OR(L930="",L930=0),"",(1-M930)/L930)</f>
        <v/>
      </c>
      <c r="P930" s="15"/>
      <c r="Q930" s="12"/>
      <c r="R930" s="12"/>
      <c r="S930" s="13"/>
      <c r="T930" s="16" t="str">
        <f aca="false">IF(OR(S930="",L930=""),"",L930/(1-M930)-S930)</f>
        <v/>
      </c>
      <c r="U930" s="16" t="str">
        <f aca="false">IF(OR(L930="",P930=""),"",L930*(P930-1)-N930)</f>
        <v/>
      </c>
      <c r="V930" s="13"/>
      <c r="W930" s="17"/>
      <c r="X930" s="12"/>
      <c r="Y930" s="12"/>
      <c r="Z930" s="12"/>
      <c r="AA930" s="18" t="str">
        <f aca="false">IF(K930&lt;&gt;"ВИРТУАЛЬНЫЙ ВЫБОР","",IF(Z930="✅ ЗАШЛО",W930*(P930-1),IF(Z930="❌ НЕ ЗАШЛО",-W930,IF(Z930="½ ЗАШЛО",W930*(P930-1)/2,IF(Z930="½ НЕ ЗАШЛО",-W930/2,IF(Z930="ВОЗВРАТ",0,""))))))</f>
        <v/>
      </c>
      <c r="AB930" s="18" t="str">
        <f aca="false">IF(AND(K930="ВИРТУАЛЬНЫЙ ВЫБОР",OR(Z930="✅ ЗАШЛО",Z930="❌ НЕ ЗАШЛО",Z930="½ ЗАШЛО",Z930="½ НЕ ЗАШЛО",Z930="ВОЗВРАТ")),W930,"")</f>
        <v/>
      </c>
      <c r="AC930" s="15"/>
      <c r="AD930" s="16" t="str">
        <f aca="false">IF(OR(AC930="",P930=""),"",P930/AC930-1)</f>
        <v/>
      </c>
      <c r="AE930" s="19" t="str">
        <f aca="false">IF(AND(M930=0,OR(Z930="✅ ЗАШЛО",Z930="❌ НЕ ЗАШЛО"),L930&lt;&gt;""),(L930-IF(Z930="✅ ЗАШЛО",1,0))^2,"")</f>
        <v/>
      </c>
      <c r="AF930" s="15"/>
      <c r="AG930" s="15"/>
      <c r="AH930" s="13"/>
      <c r="AI930" s="13"/>
      <c r="AJ930" s="13"/>
      <c r="AK930" s="20" t="str">
        <f aca="false">IF(AH930="","",IF(ABS(AH930+AI930+AJ930-1)&lt;0.000001,"OK","ОШИБКА"))</f>
        <v/>
      </c>
      <c r="AL930" s="13"/>
      <c r="AM930" s="12"/>
      <c r="AN930" s="12"/>
      <c r="AO930" s="12"/>
      <c r="AP930" s="12"/>
      <c r="AQ930" s="18" t="str">
        <f aca="false">IF(A930="","",N(AQ929)+N(AA930))</f>
        <v/>
      </c>
      <c r="AR930" s="18" t="str">
        <f aca="false">IF(AQ930="","",MAX(0,MAX($AQ$8:AQ930))-AQ930)</f>
        <v/>
      </c>
    </row>
    <row r="931" customFormat="false" ht="15" hidden="false" customHeight="fals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3"/>
      <c r="M931" s="13"/>
      <c r="N931" s="13"/>
      <c r="O931" s="14" t="str">
        <f aca="false">IF(OR(L931="",L931=0),"",(1-M931)/L931)</f>
        <v/>
      </c>
      <c r="P931" s="15"/>
      <c r="Q931" s="12"/>
      <c r="R931" s="12"/>
      <c r="S931" s="13"/>
      <c r="T931" s="16" t="str">
        <f aca="false">IF(OR(S931="",L931=""),"",L931/(1-M931)-S931)</f>
        <v/>
      </c>
      <c r="U931" s="16" t="str">
        <f aca="false">IF(OR(L931="",P931=""),"",L931*(P931-1)-N931)</f>
        <v/>
      </c>
      <c r="V931" s="13"/>
      <c r="W931" s="17"/>
      <c r="X931" s="12"/>
      <c r="Y931" s="12"/>
      <c r="Z931" s="12"/>
      <c r="AA931" s="18" t="str">
        <f aca="false">IF(K931&lt;&gt;"ВИРТУАЛЬНЫЙ ВЫБОР","",IF(Z931="✅ ЗАШЛО",W931*(P931-1),IF(Z931="❌ НЕ ЗАШЛО",-W931,IF(Z931="½ ЗАШЛО",W931*(P931-1)/2,IF(Z931="½ НЕ ЗАШЛО",-W931/2,IF(Z931="ВОЗВРАТ",0,""))))))</f>
        <v/>
      </c>
      <c r="AB931" s="18" t="str">
        <f aca="false">IF(AND(K931="ВИРТУАЛЬНЫЙ ВЫБОР",OR(Z931="✅ ЗАШЛО",Z931="❌ НЕ ЗАШЛО",Z931="½ ЗАШЛО",Z931="½ НЕ ЗАШЛО",Z931="ВОЗВРАТ")),W931,"")</f>
        <v/>
      </c>
      <c r="AC931" s="15"/>
      <c r="AD931" s="16" t="str">
        <f aca="false">IF(OR(AC931="",P931=""),"",P931/AC931-1)</f>
        <v/>
      </c>
      <c r="AE931" s="19" t="str">
        <f aca="false">IF(AND(M931=0,OR(Z931="✅ ЗАШЛО",Z931="❌ НЕ ЗАШЛО"),L931&lt;&gt;""),(L931-IF(Z931="✅ ЗАШЛО",1,0))^2,"")</f>
        <v/>
      </c>
      <c r="AF931" s="15"/>
      <c r="AG931" s="15"/>
      <c r="AH931" s="13"/>
      <c r="AI931" s="13"/>
      <c r="AJ931" s="13"/>
      <c r="AK931" s="20" t="str">
        <f aca="false">IF(AH931="","",IF(ABS(AH931+AI931+AJ931-1)&lt;0.000001,"OK","ОШИБКА"))</f>
        <v/>
      </c>
      <c r="AL931" s="13"/>
      <c r="AM931" s="12"/>
      <c r="AN931" s="12"/>
      <c r="AO931" s="12"/>
      <c r="AP931" s="12"/>
      <c r="AQ931" s="18" t="str">
        <f aca="false">IF(A931="","",N(AQ930)+N(AA931))</f>
        <v/>
      </c>
      <c r="AR931" s="18" t="str">
        <f aca="false">IF(AQ931="","",MAX(0,MAX($AQ$8:AQ931))-AQ931)</f>
        <v/>
      </c>
    </row>
    <row r="932" customFormat="false" ht="15" hidden="false" customHeight="fals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3"/>
      <c r="M932" s="13"/>
      <c r="N932" s="13"/>
      <c r="O932" s="14" t="str">
        <f aca="false">IF(OR(L932="",L932=0),"",(1-M932)/L932)</f>
        <v/>
      </c>
      <c r="P932" s="15"/>
      <c r="Q932" s="12"/>
      <c r="R932" s="12"/>
      <c r="S932" s="13"/>
      <c r="T932" s="16" t="str">
        <f aca="false">IF(OR(S932="",L932=""),"",L932/(1-M932)-S932)</f>
        <v/>
      </c>
      <c r="U932" s="16" t="str">
        <f aca="false">IF(OR(L932="",P932=""),"",L932*(P932-1)-N932)</f>
        <v/>
      </c>
      <c r="V932" s="13"/>
      <c r="W932" s="17"/>
      <c r="X932" s="12"/>
      <c r="Y932" s="12"/>
      <c r="Z932" s="12"/>
      <c r="AA932" s="18" t="str">
        <f aca="false">IF(K932&lt;&gt;"ВИРТУАЛЬНЫЙ ВЫБОР","",IF(Z932="✅ ЗАШЛО",W932*(P932-1),IF(Z932="❌ НЕ ЗАШЛО",-W932,IF(Z932="½ ЗАШЛО",W932*(P932-1)/2,IF(Z932="½ НЕ ЗАШЛО",-W932/2,IF(Z932="ВОЗВРАТ",0,""))))))</f>
        <v/>
      </c>
      <c r="AB932" s="18" t="str">
        <f aca="false">IF(AND(K932="ВИРТУАЛЬНЫЙ ВЫБОР",OR(Z932="✅ ЗАШЛО",Z932="❌ НЕ ЗАШЛО",Z932="½ ЗАШЛО",Z932="½ НЕ ЗАШЛО",Z932="ВОЗВРАТ")),W932,"")</f>
        <v/>
      </c>
      <c r="AC932" s="15"/>
      <c r="AD932" s="16" t="str">
        <f aca="false">IF(OR(AC932="",P932=""),"",P932/AC932-1)</f>
        <v/>
      </c>
      <c r="AE932" s="19" t="str">
        <f aca="false">IF(AND(M932=0,OR(Z932="✅ ЗАШЛО",Z932="❌ НЕ ЗАШЛО"),L932&lt;&gt;""),(L932-IF(Z932="✅ ЗАШЛО",1,0))^2,"")</f>
        <v/>
      </c>
      <c r="AF932" s="15"/>
      <c r="AG932" s="15"/>
      <c r="AH932" s="13"/>
      <c r="AI932" s="13"/>
      <c r="AJ932" s="13"/>
      <c r="AK932" s="20" t="str">
        <f aca="false">IF(AH932="","",IF(ABS(AH932+AI932+AJ932-1)&lt;0.000001,"OK","ОШИБКА"))</f>
        <v/>
      </c>
      <c r="AL932" s="13"/>
      <c r="AM932" s="12"/>
      <c r="AN932" s="12"/>
      <c r="AO932" s="12"/>
      <c r="AP932" s="12"/>
      <c r="AQ932" s="18" t="str">
        <f aca="false">IF(A932="","",N(AQ931)+N(AA932))</f>
        <v/>
      </c>
      <c r="AR932" s="18" t="str">
        <f aca="false">IF(AQ932="","",MAX(0,MAX($AQ$8:AQ932))-AQ932)</f>
        <v/>
      </c>
    </row>
    <row r="933" customFormat="false" ht="15" hidden="false" customHeight="fals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3"/>
      <c r="M933" s="13"/>
      <c r="N933" s="13"/>
      <c r="O933" s="14" t="str">
        <f aca="false">IF(OR(L933="",L933=0),"",(1-M933)/L933)</f>
        <v/>
      </c>
      <c r="P933" s="15"/>
      <c r="Q933" s="12"/>
      <c r="R933" s="12"/>
      <c r="S933" s="13"/>
      <c r="T933" s="16" t="str">
        <f aca="false">IF(OR(S933="",L933=""),"",L933/(1-M933)-S933)</f>
        <v/>
      </c>
      <c r="U933" s="16" t="str">
        <f aca="false">IF(OR(L933="",P933=""),"",L933*(P933-1)-N933)</f>
        <v/>
      </c>
      <c r="V933" s="13"/>
      <c r="W933" s="17"/>
      <c r="X933" s="12"/>
      <c r="Y933" s="12"/>
      <c r="Z933" s="12"/>
      <c r="AA933" s="18" t="str">
        <f aca="false">IF(K933&lt;&gt;"ВИРТУАЛЬНЫЙ ВЫБОР","",IF(Z933="✅ ЗАШЛО",W933*(P933-1),IF(Z933="❌ НЕ ЗАШЛО",-W933,IF(Z933="½ ЗАШЛО",W933*(P933-1)/2,IF(Z933="½ НЕ ЗАШЛО",-W933/2,IF(Z933="ВОЗВРАТ",0,""))))))</f>
        <v/>
      </c>
      <c r="AB933" s="18" t="str">
        <f aca="false">IF(AND(K933="ВИРТУАЛЬНЫЙ ВЫБОР",OR(Z933="✅ ЗАШЛО",Z933="❌ НЕ ЗАШЛО",Z933="½ ЗАШЛО",Z933="½ НЕ ЗАШЛО",Z933="ВОЗВРАТ")),W933,"")</f>
        <v/>
      </c>
      <c r="AC933" s="15"/>
      <c r="AD933" s="16" t="str">
        <f aca="false">IF(OR(AC933="",P933=""),"",P933/AC933-1)</f>
        <v/>
      </c>
      <c r="AE933" s="19" t="str">
        <f aca="false">IF(AND(M933=0,OR(Z933="✅ ЗАШЛО",Z933="❌ НЕ ЗАШЛО"),L933&lt;&gt;""),(L933-IF(Z933="✅ ЗАШЛО",1,0))^2,"")</f>
        <v/>
      </c>
      <c r="AF933" s="15"/>
      <c r="AG933" s="15"/>
      <c r="AH933" s="13"/>
      <c r="AI933" s="13"/>
      <c r="AJ933" s="13"/>
      <c r="AK933" s="20" t="str">
        <f aca="false">IF(AH933="","",IF(ABS(AH933+AI933+AJ933-1)&lt;0.000001,"OK","ОШИБКА"))</f>
        <v/>
      </c>
      <c r="AL933" s="13"/>
      <c r="AM933" s="12"/>
      <c r="AN933" s="12"/>
      <c r="AO933" s="12"/>
      <c r="AP933" s="12"/>
      <c r="AQ933" s="18" t="str">
        <f aca="false">IF(A933="","",N(AQ932)+N(AA933))</f>
        <v/>
      </c>
      <c r="AR933" s="18" t="str">
        <f aca="false">IF(AQ933="","",MAX(0,MAX($AQ$8:AQ933))-AQ933)</f>
        <v/>
      </c>
    </row>
    <row r="934" customFormat="false" ht="15" hidden="false" customHeight="fals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3"/>
      <c r="M934" s="13"/>
      <c r="N934" s="13"/>
      <c r="O934" s="14" t="str">
        <f aca="false">IF(OR(L934="",L934=0),"",(1-M934)/L934)</f>
        <v/>
      </c>
      <c r="P934" s="15"/>
      <c r="Q934" s="12"/>
      <c r="R934" s="12"/>
      <c r="S934" s="13"/>
      <c r="T934" s="16" t="str">
        <f aca="false">IF(OR(S934="",L934=""),"",L934/(1-M934)-S934)</f>
        <v/>
      </c>
      <c r="U934" s="16" t="str">
        <f aca="false">IF(OR(L934="",P934=""),"",L934*(P934-1)-N934)</f>
        <v/>
      </c>
      <c r="V934" s="13"/>
      <c r="W934" s="17"/>
      <c r="X934" s="12"/>
      <c r="Y934" s="12"/>
      <c r="Z934" s="12"/>
      <c r="AA934" s="18" t="str">
        <f aca="false">IF(K934&lt;&gt;"ВИРТУАЛЬНЫЙ ВЫБОР","",IF(Z934="✅ ЗАШЛО",W934*(P934-1),IF(Z934="❌ НЕ ЗАШЛО",-W934,IF(Z934="½ ЗАШЛО",W934*(P934-1)/2,IF(Z934="½ НЕ ЗАШЛО",-W934/2,IF(Z934="ВОЗВРАТ",0,""))))))</f>
        <v/>
      </c>
      <c r="AB934" s="18" t="str">
        <f aca="false">IF(AND(K934="ВИРТУАЛЬНЫЙ ВЫБОР",OR(Z934="✅ ЗАШЛО",Z934="❌ НЕ ЗАШЛО",Z934="½ ЗАШЛО",Z934="½ НЕ ЗАШЛО",Z934="ВОЗВРАТ")),W934,"")</f>
        <v/>
      </c>
      <c r="AC934" s="15"/>
      <c r="AD934" s="16" t="str">
        <f aca="false">IF(OR(AC934="",P934=""),"",P934/AC934-1)</f>
        <v/>
      </c>
      <c r="AE934" s="19" t="str">
        <f aca="false">IF(AND(M934=0,OR(Z934="✅ ЗАШЛО",Z934="❌ НЕ ЗАШЛО"),L934&lt;&gt;""),(L934-IF(Z934="✅ ЗАШЛО",1,0))^2,"")</f>
        <v/>
      </c>
      <c r="AF934" s="15"/>
      <c r="AG934" s="15"/>
      <c r="AH934" s="13"/>
      <c r="AI934" s="13"/>
      <c r="AJ934" s="13"/>
      <c r="AK934" s="20" t="str">
        <f aca="false">IF(AH934="","",IF(ABS(AH934+AI934+AJ934-1)&lt;0.000001,"OK","ОШИБКА"))</f>
        <v/>
      </c>
      <c r="AL934" s="13"/>
      <c r="AM934" s="12"/>
      <c r="AN934" s="12"/>
      <c r="AO934" s="12"/>
      <c r="AP934" s="12"/>
      <c r="AQ934" s="18" t="str">
        <f aca="false">IF(A934="","",N(AQ933)+N(AA934))</f>
        <v/>
      </c>
      <c r="AR934" s="18" t="str">
        <f aca="false">IF(AQ934="","",MAX(0,MAX($AQ$8:AQ934))-AQ934)</f>
        <v/>
      </c>
    </row>
    <row r="935" customFormat="false" ht="15" hidden="false" customHeight="fals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3"/>
      <c r="M935" s="13"/>
      <c r="N935" s="13"/>
      <c r="O935" s="14" t="str">
        <f aca="false">IF(OR(L935="",L935=0),"",(1-M935)/L935)</f>
        <v/>
      </c>
      <c r="P935" s="15"/>
      <c r="Q935" s="12"/>
      <c r="R935" s="12"/>
      <c r="S935" s="13"/>
      <c r="T935" s="16" t="str">
        <f aca="false">IF(OR(S935="",L935=""),"",L935/(1-M935)-S935)</f>
        <v/>
      </c>
      <c r="U935" s="16" t="str">
        <f aca="false">IF(OR(L935="",P935=""),"",L935*(P935-1)-N935)</f>
        <v/>
      </c>
      <c r="V935" s="13"/>
      <c r="W935" s="17"/>
      <c r="X935" s="12"/>
      <c r="Y935" s="12"/>
      <c r="Z935" s="12"/>
      <c r="AA935" s="18" t="str">
        <f aca="false">IF(K935&lt;&gt;"ВИРТУАЛЬНЫЙ ВЫБОР","",IF(Z935="✅ ЗАШЛО",W935*(P935-1),IF(Z935="❌ НЕ ЗАШЛО",-W935,IF(Z935="½ ЗАШЛО",W935*(P935-1)/2,IF(Z935="½ НЕ ЗАШЛО",-W935/2,IF(Z935="ВОЗВРАТ",0,""))))))</f>
        <v/>
      </c>
      <c r="AB935" s="18" t="str">
        <f aca="false">IF(AND(K935="ВИРТУАЛЬНЫЙ ВЫБОР",OR(Z935="✅ ЗАШЛО",Z935="❌ НЕ ЗАШЛО",Z935="½ ЗАШЛО",Z935="½ НЕ ЗАШЛО",Z935="ВОЗВРАТ")),W935,"")</f>
        <v/>
      </c>
      <c r="AC935" s="15"/>
      <c r="AD935" s="16" t="str">
        <f aca="false">IF(OR(AC935="",P935=""),"",P935/AC935-1)</f>
        <v/>
      </c>
      <c r="AE935" s="19" t="str">
        <f aca="false">IF(AND(M935=0,OR(Z935="✅ ЗАШЛО",Z935="❌ НЕ ЗАШЛО"),L935&lt;&gt;""),(L935-IF(Z935="✅ ЗАШЛО",1,0))^2,"")</f>
        <v/>
      </c>
      <c r="AF935" s="15"/>
      <c r="AG935" s="15"/>
      <c r="AH935" s="13"/>
      <c r="AI935" s="13"/>
      <c r="AJ935" s="13"/>
      <c r="AK935" s="20" t="str">
        <f aca="false">IF(AH935="","",IF(ABS(AH935+AI935+AJ935-1)&lt;0.000001,"OK","ОШИБКА"))</f>
        <v/>
      </c>
      <c r="AL935" s="13"/>
      <c r="AM935" s="12"/>
      <c r="AN935" s="12"/>
      <c r="AO935" s="12"/>
      <c r="AP935" s="12"/>
      <c r="AQ935" s="18" t="str">
        <f aca="false">IF(A935="","",N(AQ934)+N(AA935))</f>
        <v/>
      </c>
      <c r="AR935" s="18" t="str">
        <f aca="false">IF(AQ935="","",MAX(0,MAX($AQ$8:AQ935))-AQ935)</f>
        <v/>
      </c>
    </row>
    <row r="936" customFormat="false" ht="15" hidden="false" customHeight="fals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3"/>
      <c r="M936" s="13"/>
      <c r="N936" s="13"/>
      <c r="O936" s="14" t="str">
        <f aca="false">IF(OR(L936="",L936=0),"",(1-M936)/L936)</f>
        <v/>
      </c>
      <c r="P936" s="15"/>
      <c r="Q936" s="12"/>
      <c r="R936" s="12"/>
      <c r="S936" s="13"/>
      <c r="T936" s="16" t="str">
        <f aca="false">IF(OR(S936="",L936=""),"",L936/(1-M936)-S936)</f>
        <v/>
      </c>
      <c r="U936" s="16" t="str">
        <f aca="false">IF(OR(L936="",P936=""),"",L936*(P936-1)-N936)</f>
        <v/>
      </c>
      <c r="V936" s="13"/>
      <c r="W936" s="17"/>
      <c r="X936" s="12"/>
      <c r="Y936" s="12"/>
      <c r="Z936" s="12"/>
      <c r="AA936" s="18" t="str">
        <f aca="false">IF(K936&lt;&gt;"ВИРТУАЛЬНЫЙ ВЫБОР","",IF(Z936="✅ ЗАШЛО",W936*(P936-1),IF(Z936="❌ НЕ ЗАШЛО",-W936,IF(Z936="½ ЗАШЛО",W936*(P936-1)/2,IF(Z936="½ НЕ ЗАШЛО",-W936/2,IF(Z936="ВОЗВРАТ",0,""))))))</f>
        <v/>
      </c>
      <c r="AB936" s="18" t="str">
        <f aca="false">IF(AND(K936="ВИРТУАЛЬНЫЙ ВЫБОР",OR(Z936="✅ ЗАШЛО",Z936="❌ НЕ ЗАШЛО",Z936="½ ЗАШЛО",Z936="½ НЕ ЗАШЛО",Z936="ВОЗВРАТ")),W936,"")</f>
        <v/>
      </c>
      <c r="AC936" s="15"/>
      <c r="AD936" s="16" t="str">
        <f aca="false">IF(OR(AC936="",P936=""),"",P936/AC936-1)</f>
        <v/>
      </c>
      <c r="AE936" s="19" t="str">
        <f aca="false">IF(AND(M936=0,OR(Z936="✅ ЗАШЛО",Z936="❌ НЕ ЗАШЛО"),L936&lt;&gt;""),(L936-IF(Z936="✅ ЗАШЛО",1,0))^2,"")</f>
        <v/>
      </c>
      <c r="AF936" s="15"/>
      <c r="AG936" s="15"/>
      <c r="AH936" s="13"/>
      <c r="AI936" s="13"/>
      <c r="AJ936" s="13"/>
      <c r="AK936" s="20" t="str">
        <f aca="false">IF(AH936="","",IF(ABS(AH936+AI936+AJ936-1)&lt;0.000001,"OK","ОШИБКА"))</f>
        <v/>
      </c>
      <c r="AL936" s="13"/>
      <c r="AM936" s="12"/>
      <c r="AN936" s="12"/>
      <c r="AO936" s="12"/>
      <c r="AP936" s="12"/>
      <c r="AQ936" s="18" t="str">
        <f aca="false">IF(A936="","",N(AQ935)+N(AA936))</f>
        <v/>
      </c>
      <c r="AR936" s="18" t="str">
        <f aca="false">IF(AQ936="","",MAX(0,MAX($AQ$8:AQ936))-AQ936)</f>
        <v/>
      </c>
    </row>
    <row r="937" customFormat="false" ht="15" hidden="false" customHeight="fals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3"/>
      <c r="M937" s="13"/>
      <c r="N937" s="13"/>
      <c r="O937" s="14" t="str">
        <f aca="false">IF(OR(L937="",L937=0),"",(1-M937)/L937)</f>
        <v/>
      </c>
      <c r="P937" s="15"/>
      <c r="Q937" s="12"/>
      <c r="R937" s="12"/>
      <c r="S937" s="13"/>
      <c r="T937" s="16" t="str">
        <f aca="false">IF(OR(S937="",L937=""),"",L937/(1-M937)-S937)</f>
        <v/>
      </c>
      <c r="U937" s="16" t="str">
        <f aca="false">IF(OR(L937="",P937=""),"",L937*(P937-1)-N937)</f>
        <v/>
      </c>
      <c r="V937" s="13"/>
      <c r="W937" s="17"/>
      <c r="X937" s="12"/>
      <c r="Y937" s="12"/>
      <c r="Z937" s="12"/>
      <c r="AA937" s="18" t="str">
        <f aca="false">IF(K937&lt;&gt;"ВИРТУАЛЬНЫЙ ВЫБОР","",IF(Z937="✅ ЗАШЛО",W937*(P937-1),IF(Z937="❌ НЕ ЗАШЛО",-W937,IF(Z937="½ ЗАШЛО",W937*(P937-1)/2,IF(Z937="½ НЕ ЗАШЛО",-W937/2,IF(Z937="ВОЗВРАТ",0,""))))))</f>
        <v/>
      </c>
      <c r="AB937" s="18" t="str">
        <f aca="false">IF(AND(K937="ВИРТУАЛЬНЫЙ ВЫБОР",OR(Z937="✅ ЗАШЛО",Z937="❌ НЕ ЗАШЛО",Z937="½ ЗАШЛО",Z937="½ НЕ ЗАШЛО",Z937="ВОЗВРАТ")),W937,"")</f>
        <v/>
      </c>
      <c r="AC937" s="15"/>
      <c r="AD937" s="16" t="str">
        <f aca="false">IF(OR(AC937="",P937=""),"",P937/AC937-1)</f>
        <v/>
      </c>
      <c r="AE937" s="19" t="str">
        <f aca="false">IF(AND(M937=0,OR(Z937="✅ ЗАШЛО",Z937="❌ НЕ ЗАШЛО"),L937&lt;&gt;""),(L937-IF(Z937="✅ ЗАШЛО",1,0))^2,"")</f>
        <v/>
      </c>
      <c r="AF937" s="15"/>
      <c r="AG937" s="15"/>
      <c r="AH937" s="13"/>
      <c r="AI937" s="13"/>
      <c r="AJ937" s="13"/>
      <c r="AK937" s="20" t="str">
        <f aca="false">IF(AH937="","",IF(ABS(AH937+AI937+AJ937-1)&lt;0.000001,"OK","ОШИБКА"))</f>
        <v/>
      </c>
      <c r="AL937" s="13"/>
      <c r="AM937" s="12"/>
      <c r="AN937" s="12"/>
      <c r="AO937" s="12"/>
      <c r="AP937" s="12"/>
      <c r="AQ937" s="18" t="str">
        <f aca="false">IF(A937="","",N(AQ936)+N(AA937))</f>
        <v/>
      </c>
      <c r="AR937" s="18" t="str">
        <f aca="false">IF(AQ937="","",MAX(0,MAX($AQ$8:AQ937))-AQ937)</f>
        <v/>
      </c>
    </row>
    <row r="938" customFormat="false" ht="15" hidden="false" customHeight="fals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3"/>
      <c r="M938" s="13"/>
      <c r="N938" s="13"/>
      <c r="O938" s="14" t="str">
        <f aca="false">IF(OR(L938="",L938=0),"",(1-M938)/L938)</f>
        <v/>
      </c>
      <c r="P938" s="15"/>
      <c r="Q938" s="12"/>
      <c r="R938" s="12"/>
      <c r="S938" s="13"/>
      <c r="T938" s="16" t="str">
        <f aca="false">IF(OR(S938="",L938=""),"",L938/(1-M938)-S938)</f>
        <v/>
      </c>
      <c r="U938" s="16" t="str">
        <f aca="false">IF(OR(L938="",P938=""),"",L938*(P938-1)-N938)</f>
        <v/>
      </c>
      <c r="V938" s="13"/>
      <c r="W938" s="17"/>
      <c r="X938" s="12"/>
      <c r="Y938" s="12"/>
      <c r="Z938" s="12"/>
      <c r="AA938" s="18" t="str">
        <f aca="false">IF(K938&lt;&gt;"ВИРТУАЛЬНЫЙ ВЫБОР","",IF(Z938="✅ ЗАШЛО",W938*(P938-1),IF(Z938="❌ НЕ ЗАШЛО",-W938,IF(Z938="½ ЗАШЛО",W938*(P938-1)/2,IF(Z938="½ НЕ ЗАШЛО",-W938/2,IF(Z938="ВОЗВРАТ",0,""))))))</f>
        <v/>
      </c>
      <c r="AB938" s="18" t="str">
        <f aca="false">IF(AND(K938="ВИРТУАЛЬНЫЙ ВЫБОР",OR(Z938="✅ ЗАШЛО",Z938="❌ НЕ ЗАШЛО",Z938="½ ЗАШЛО",Z938="½ НЕ ЗАШЛО",Z938="ВОЗВРАТ")),W938,"")</f>
        <v/>
      </c>
      <c r="AC938" s="15"/>
      <c r="AD938" s="16" t="str">
        <f aca="false">IF(OR(AC938="",P938=""),"",P938/AC938-1)</f>
        <v/>
      </c>
      <c r="AE938" s="19" t="str">
        <f aca="false">IF(AND(M938=0,OR(Z938="✅ ЗАШЛО",Z938="❌ НЕ ЗАШЛО"),L938&lt;&gt;""),(L938-IF(Z938="✅ ЗАШЛО",1,0))^2,"")</f>
        <v/>
      </c>
      <c r="AF938" s="15"/>
      <c r="AG938" s="15"/>
      <c r="AH938" s="13"/>
      <c r="AI938" s="13"/>
      <c r="AJ938" s="13"/>
      <c r="AK938" s="20" t="str">
        <f aca="false">IF(AH938="","",IF(ABS(AH938+AI938+AJ938-1)&lt;0.000001,"OK","ОШИБКА"))</f>
        <v/>
      </c>
      <c r="AL938" s="13"/>
      <c r="AM938" s="12"/>
      <c r="AN938" s="12"/>
      <c r="AO938" s="12"/>
      <c r="AP938" s="12"/>
      <c r="AQ938" s="18" t="str">
        <f aca="false">IF(A938="","",N(AQ937)+N(AA938))</f>
        <v/>
      </c>
      <c r="AR938" s="18" t="str">
        <f aca="false">IF(AQ938="","",MAX(0,MAX($AQ$8:AQ938))-AQ938)</f>
        <v/>
      </c>
    </row>
    <row r="939" customFormat="false" ht="15" hidden="false" customHeight="fals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3"/>
      <c r="M939" s="13"/>
      <c r="N939" s="13"/>
      <c r="O939" s="14" t="str">
        <f aca="false">IF(OR(L939="",L939=0),"",(1-M939)/L939)</f>
        <v/>
      </c>
      <c r="P939" s="15"/>
      <c r="Q939" s="12"/>
      <c r="R939" s="12"/>
      <c r="S939" s="13"/>
      <c r="T939" s="16" t="str">
        <f aca="false">IF(OR(S939="",L939=""),"",L939/(1-M939)-S939)</f>
        <v/>
      </c>
      <c r="U939" s="16" t="str">
        <f aca="false">IF(OR(L939="",P939=""),"",L939*(P939-1)-N939)</f>
        <v/>
      </c>
      <c r="V939" s="13"/>
      <c r="W939" s="17"/>
      <c r="X939" s="12"/>
      <c r="Y939" s="12"/>
      <c r="Z939" s="12"/>
      <c r="AA939" s="18" t="str">
        <f aca="false">IF(K939&lt;&gt;"ВИРТУАЛЬНЫЙ ВЫБОР","",IF(Z939="✅ ЗАШЛО",W939*(P939-1),IF(Z939="❌ НЕ ЗАШЛО",-W939,IF(Z939="½ ЗАШЛО",W939*(P939-1)/2,IF(Z939="½ НЕ ЗАШЛО",-W939/2,IF(Z939="ВОЗВРАТ",0,""))))))</f>
        <v/>
      </c>
      <c r="AB939" s="18" t="str">
        <f aca="false">IF(AND(K939="ВИРТУАЛЬНЫЙ ВЫБОР",OR(Z939="✅ ЗАШЛО",Z939="❌ НЕ ЗАШЛО",Z939="½ ЗАШЛО",Z939="½ НЕ ЗАШЛО",Z939="ВОЗВРАТ")),W939,"")</f>
        <v/>
      </c>
      <c r="AC939" s="15"/>
      <c r="AD939" s="16" t="str">
        <f aca="false">IF(OR(AC939="",P939=""),"",P939/AC939-1)</f>
        <v/>
      </c>
      <c r="AE939" s="19" t="str">
        <f aca="false">IF(AND(M939=0,OR(Z939="✅ ЗАШЛО",Z939="❌ НЕ ЗАШЛО"),L939&lt;&gt;""),(L939-IF(Z939="✅ ЗАШЛО",1,0))^2,"")</f>
        <v/>
      </c>
      <c r="AF939" s="15"/>
      <c r="AG939" s="15"/>
      <c r="AH939" s="13"/>
      <c r="AI939" s="13"/>
      <c r="AJ939" s="13"/>
      <c r="AK939" s="20" t="str">
        <f aca="false">IF(AH939="","",IF(ABS(AH939+AI939+AJ939-1)&lt;0.000001,"OK","ОШИБКА"))</f>
        <v/>
      </c>
      <c r="AL939" s="13"/>
      <c r="AM939" s="12"/>
      <c r="AN939" s="12"/>
      <c r="AO939" s="12"/>
      <c r="AP939" s="12"/>
      <c r="AQ939" s="18" t="str">
        <f aca="false">IF(A939="","",N(AQ938)+N(AA939))</f>
        <v/>
      </c>
      <c r="AR939" s="18" t="str">
        <f aca="false">IF(AQ939="","",MAX(0,MAX($AQ$8:AQ939))-AQ939)</f>
        <v/>
      </c>
    </row>
    <row r="940" customFormat="false" ht="15" hidden="false" customHeight="fals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3"/>
      <c r="M940" s="13"/>
      <c r="N940" s="13"/>
      <c r="O940" s="14" t="str">
        <f aca="false">IF(OR(L940="",L940=0),"",(1-M940)/L940)</f>
        <v/>
      </c>
      <c r="P940" s="15"/>
      <c r="Q940" s="12"/>
      <c r="R940" s="12"/>
      <c r="S940" s="13"/>
      <c r="T940" s="16" t="str">
        <f aca="false">IF(OR(S940="",L940=""),"",L940/(1-M940)-S940)</f>
        <v/>
      </c>
      <c r="U940" s="16" t="str">
        <f aca="false">IF(OR(L940="",P940=""),"",L940*(P940-1)-N940)</f>
        <v/>
      </c>
      <c r="V940" s="13"/>
      <c r="W940" s="17"/>
      <c r="X940" s="12"/>
      <c r="Y940" s="12"/>
      <c r="Z940" s="12"/>
      <c r="AA940" s="18" t="str">
        <f aca="false">IF(K940&lt;&gt;"ВИРТУАЛЬНЫЙ ВЫБОР","",IF(Z940="✅ ЗАШЛО",W940*(P940-1),IF(Z940="❌ НЕ ЗАШЛО",-W940,IF(Z940="½ ЗАШЛО",W940*(P940-1)/2,IF(Z940="½ НЕ ЗАШЛО",-W940/2,IF(Z940="ВОЗВРАТ",0,""))))))</f>
        <v/>
      </c>
      <c r="AB940" s="18" t="str">
        <f aca="false">IF(AND(K940="ВИРТУАЛЬНЫЙ ВЫБОР",OR(Z940="✅ ЗАШЛО",Z940="❌ НЕ ЗАШЛО",Z940="½ ЗАШЛО",Z940="½ НЕ ЗАШЛО",Z940="ВОЗВРАТ")),W940,"")</f>
        <v/>
      </c>
      <c r="AC940" s="15"/>
      <c r="AD940" s="16" t="str">
        <f aca="false">IF(OR(AC940="",P940=""),"",P940/AC940-1)</f>
        <v/>
      </c>
      <c r="AE940" s="19" t="str">
        <f aca="false">IF(AND(M940=0,OR(Z940="✅ ЗАШЛО",Z940="❌ НЕ ЗАШЛО"),L940&lt;&gt;""),(L940-IF(Z940="✅ ЗАШЛО",1,0))^2,"")</f>
        <v/>
      </c>
      <c r="AF940" s="15"/>
      <c r="AG940" s="15"/>
      <c r="AH940" s="13"/>
      <c r="AI940" s="13"/>
      <c r="AJ940" s="13"/>
      <c r="AK940" s="20" t="str">
        <f aca="false">IF(AH940="","",IF(ABS(AH940+AI940+AJ940-1)&lt;0.000001,"OK","ОШИБКА"))</f>
        <v/>
      </c>
      <c r="AL940" s="13"/>
      <c r="AM940" s="12"/>
      <c r="AN940" s="12"/>
      <c r="AO940" s="12"/>
      <c r="AP940" s="12"/>
      <c r="AQ940" s="18" t="str">
        <f aca="false">IF(A940="","",N(AQ939)+N(AA940))</f>
        <v/>
      </c>
      <c r="AR940" s="18" t="str">
        <f aca="false">IF(AQ940="","",MAX(0,MAX($AQ$8:AQ940))-AQ940)</f>
        <v/>
      </c>
    </row>
    <row r="941" customFormat="false" ht="15" hidden="false" customHeight="fals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3"/>
      <c r="M941" s="13"/>
      <c r="N941" s="13"/>
      <c r="O941" s="14" t="str">
        <f aca="false">IF(OR(L941="",L941=0),"",(1-M941)/L941)</f>
        <v/>
      </c>
      <c r="P941" s="15"/>
      <c r="Q941" s="12"/>
      <c r="R941" s="12"/>
      <c r="S941" s="13"/>
      <c r="T941" s="16" t="str">
        <f aca="false">IF(OR(S941="",L941=""),"",L941/(1-M941)-S941)</f>
        <v/>
      </c>
      <c r="U941" s="16" t="str">
        <f aca="false">IF(OR(L941="",P941=""),"",L941*(P941-1)-N941)</f>
        <v/>
      </c>
      <c r="V941" s="13"/>
      <c r="W941" s="17"/>
      <c r="X941" s="12"/>
      <c r="Y941" s="12"/>
      <c r="Z941" s="12"/>
      <c r="AA941" s="18" t="str">
        <f aca="false">IF(K941&lt;&gt;"ВИРТУАЛЬНЫЙ ВЫБОР","",IF(Z941="✅ ЗАШЛО",W941*(P941-1),IF(Z941="❌ НЕ ЗАШЛО",-W941,IF(Z941="½ ЗАШЛО",W941*(P941-1)/2,IF(Z941="½ НЕ ЗАШЛО",-W941/2,IF(Z941="ВОЗВРАТ",0,""))))))</f>
        <v/>
      </c>
      <c r="AB941" s="18" t="str">
        <f aca="false">IF(AND(K941="ВИРТУАЛЬНЫЙ ВЫБОР",OR(Z941="✅ ЗАШЛО",Z941="❌ НЕ ЗАШЛО",Z941="½ ЗАШЛО",Z941="½ НЕ ЗАШЛО",Z941="ВОЗВРАТ")),W941,"")</f>
        <v/>
      </c>
      <c r="AC941" s="15"/>
      <c r="AD941" s="16" t="str">
        <f aca="false">IF(OR(AC941="",P941=""),"",P941/AC941-1)</f>
        <v/>
      </c>
      <c r="AE941" s="19" t="str">
        <f aca="false">IF(AND(M941=0,OR(Z941="✅ ЗАШЛО",Z941="❌ НЕ ЗАШЛО"),L941&lt;&gt;""),(L941-IF(Z941="✅ ЗАШЛО",1,0))^2,"")</f>
        <v/>
      </c>
      <c r="AF941" s="15"/>
      <c r="AG941" s="15"/>
      <c r="AH941" s="13"/>
      <c r="AI941" s="13"/>
      <c r="AJ941" s="13"/>
      <c r="AK941" s="20" t="str">
        <f aca="false">IF(AH941="","",IF(ABS(AH941+AI941+AJ941-1)&lt;0.000001,"OK","ОШИБКА"))</f>
        <v/>
      </c>
      <c r="AL941" s="13"/>
      <c r="AM941" s="12"/>
      <c r="AN941" s="12"/>
      <c r="AO941" s="12"/>
      <c r="AP941" s="12"/>
      <c r="AQ941" s="18" t="str">
        <f aca="false">IF(A941="","",N(AQ940)+N(AA941))</f>
        <v/>
      </c>
      <c r="AR941" s="18" t="str">
        <f aca="false">IF(AQ941="","",MAX(0,MAX($AQ$8:AQ941))-AQ941)</f>
        <v/>
      </c>
    </row>
    <row r="942" customFormat="false" ht="15" hidden="false" customHeight="fals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3"/>
      <c r="M942" s="13"/>
      <c r="N942" s="13"/>
      <c r="O942" s="14" t="str">
        <f aca="false">IF(OR(L942="",L942=0),"",(1-M942)/L942)</f>
        <v/>
      </c>
      <c r="P942" s="15"/>
      <c r="Q942" s="12"/>
      <c r="R942" s="12"/>
      <c r="S942" s="13"/>
      <c r="T942" s="16" t="str">
        <f aca="false">IF(OR(S942="",L942=""),"",L942/(1-M942)-S942)</f>
        <v/>
      </c>
      <c r="U942" s="16" t="str">
        <f aca="false">IF(OR(L942="",P942=""),"",L942*(P942-1)-N942)</f>
        <v/>
      </c>
      <c r="V942" s="13"/>
      <c r="W942" s="17"/>
      <c r="X942" s="12"/>
      <c r="Y942" s="12"/>
      <c r="Z942" s="12"/>
      <c r="AA942" s="18" t="str">
        <f aca="false">IF(K942&lt;&gt;"ВИРТУАЛЬНЫЙ ВЫБОР","",IF(Z942="✅ ЗАШЛО",W942*(P942-1),IF(Z942="❌ НЕ ЗАШЛО",-W942,IF(Z942="½ ЗАШЛО",W942*(P942-1)/2,IF(Z942="½ НЕ ЗАШЛО",-W942/2,IF(Z942="ВОЗВРАТ",0,""))))))</f>
        <v/>
      </c>
      <c r="AB942" s="18" t="str">
        <f aca="false">IF(AND(K942="ВИРТУАЛЬНЫЙ ВЫБОР",OR(Z942="✅ ЗАШЛО",Z942="❌ НЕ ЗАШЛО",Z942="½ ЗАШЛО",Z942="½ НЕ ЗАШЛО",Z942="ВОЗВРАТ")),W942,"")</f>
        <v/>
      </c>
      <c r="AC942" s="15"/>
      <c r="AD942" s="16" t="str">
        <f aca="false">IF(OR(AC942="",P942=""),"",P942/AC942-1)</f>
        <v/>
      </c>
      <c r="AE942" s="19" t="str">
        <f aca="false">IF(AND(M942=0,OR(Z942="✅ ЗАШЛО",Z942="❌ НЕ ЗАШЛО"),L942&lt;&gt;""),(L942-IF(Z942="✅ ЗАШЛО",1,0))^2,"")</f>
        <v/>
      </c>
      <c r="AF942" s="15"/>
      <c r="AG942" s="15"/>
      <c r="AH942" s="13"/>
      <c r="AI942" s="13"/>
      <c r="AJ942" s="13"/>
      <c r="AK942" s="20" t="str">
        <f aca="false">IF(AH942="","",IF(ABS(AH942+AI942+AJ942-1)&lt;0.000001,"OK","ОШИБКА"))</f>
        <v/>
      </c>
      <c r="AL942" s="13"/>
      <c r="AM942" s="12"/>
      <c r="AN942" s="12"/>
      <c r="AO942" s="12"/>
      <c r="AP942" s="12"/>
      <c r="AQ942" s="18" t="str">
        <f aca="false">IF(A942="","",N(AQ941)+N(AA942))</f>
        <v/>
      </c>
      <c r="AR942" s="18" t="str">
        <f aca="false">IF(AQ942="","",MAX(0,MAX($AQ$8:AQ942))-AQ942)</f>
        <v/>
      </c>
    </row>
    <row r="943" customFormat="false" ht="15" hidden="false" customHeight="fals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3"/>
      <c r="M943" s="13"/>
      <c r="N943" s="13"/>
      <c r="O943" s="14" t="str">
        <f aca="false">IF(OR(L943="",L943=0),"",(1-M943)/L943)</f>
        <v/>
      </c>
      <c r="P943" s="15"/>
      <c r="Q943" s="12"/>
      <c r="R943" s="12"/>
      <c r="S943" s="13"/>
      <c r="T943" s="16" t="str">
        <f aca="false">IF(OR(S943="",L943=""),"",L943/(1-M943)-S943)</f>
        <v/>
      </c>
      <c r="U943" s="16" t="str">
        <f aca="false">IF(OR(L943="",P943=""),"",L943*(P943-1)-N943)</f>
        <v/>
      </c>
      <c r="V943" s="13"/>
      <c r="W943" s="17"/>
      <c r="X943" s="12"/>
      <c r="Y943" s="12"/>
      <c r="Z943" s="12"/>
      <c r="AA943" s="18" t="str">
        <f aca="false">IF(K943&lt;&gt;"ВИРТУАЛЬНЫЙ ВЫБОР","",IF(Z943="✅ ЗАШЛО",W943*(P943-1),IF(Z943="❌ НЕ ЗАШЛО",-W943,IF(Z943="½ ЗАШЛО",W943*(P943-1)/2,IF(Z943="½ НЕ ЗАШЛО",-W943/2,IF(Z943="ВОЗВРАТ",0,""))))))</f>
        <v/>
      </c>
      <c r="AB943" s="18" t="str">
        <f aca="false">IF(AND(K943="ВИРТУАЛЬНЫЙ ВЫБОР",OR(Z943="✅ ЗАШЛО",Z943="❌ НЕ ЗАШЛО",Z943="½ ЗАШЛО",Z943="½ НЕ ЗАШЛО",Z943="ВОЗВРАТ")),W943,"")</f>
        <v/>
      </c>
      <c r="AC943" s="15"/>
      <c r="AD943" s="16" t="str">
        <f aca="false">IF(OR(AC943="",P943=""),"",P943/AC943-1)</f>
        <v/>
      </c>
      <c r="AE943" s="19" t="str">
        <f aca="false">IF(AND(M943=0,OR(Z943="✅ ЗАШЛО",Z943="❌ НЕ ЗАШЛО"),L943&lt;&gt;""),(L943-IF(Z943="✅ ЗАШЛО",1,0))^2,"")</f>
        <v/>
      </c>
      <c r="AF943" s="15"/>
      <c r="AG943" s="15"/>
      <c r="AH943" s="13"/>
      <c r="AI943" s="13"/>
      <c r="AJ943" s="13"/>
      <c r="AK943" s="20" t="str">
        <f aca="false">IF(AH943="","",IF(ABS(AH943+AI943+AJ943-1)&lt;0.000001,"OK","ОШИБКА"))</f>
        <v/>
      </c>
      <c r="AL943" s="13"/>
      <c r="AM943" s="12"/>
      <c r="AN943" s="12"/>
      <c r="AO943" s="12"/>
      <c r="AP943" s="12"/>
      <c r="AQ943" s="18" t="str">
        <f aca="false">IF(A943="","",N(AQ942)+N(AA943))</f>
        <v/>
      </c>
      <c r="AR943" s="18" t="str">
        <f aca="false">IF(AQ943="","",MAX(0,MAX($AQ$8:AQ943))-AQ943)</f>
        <v/>
      </c>
    </row>
    <row r="944" customFormat="false" ht="15" hidden="false" customHeight="fals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3"/>
      <c r="M944" s="13"/>
      <c r="N944" s="13"/>
      <c r="O944" s="14" t="str">
        <f aca="false">IF(OR(L944="",L944=0),"",(1-M944)/L944)</f>
        <v/>
      </c>
      <c r="P944" s="15"/>
      <c r="Q944" s="12"/>
      <c r="R944" s="12"/>
      <c r="S944" s="13"/>
      <c r="T944" s="16" t="str">
        <f aca="false">IF(OR(S944="",L944=""),"",L944/(1-M944)-S944)</f>
        <v/>
      </c>
      <c r="U944" s="16" t="str">
        <f aca="false">IF(OR(L944="",P944=""),"",L944*(P944-1)-N944)</f>
        <v/>
      </c>
      <c r="V944" s="13"/>
      <c r="W944" s="17"/>
      <c r="X944" s="12"/>
      <c r="Y944" s="12"/>
      <c r="Z944" s="12"/>
      <c r="AA944" s="18" t="str">
        <f aca="false">IF(K944&lt;&gt;"ВИРТУАЛЬНЫЙ ВЫБОР","",IF(Z944="✅ ЗАШЛО",W944*(P944-1),IF(Z944="❌ НЕ ЗАШЛО",-W944,IF(Z944="½ ЗАШЛО",W944*(P944-1)/2,IF(Z944="½ НЕ ЗАШЛО",-W944/2,IF(Z944="ВОЗВРАТ",0,""))))))</f>
        <v/>
      </c>
      <c r="AB944" s="18" t="str">
        <f aca="false">IF(AND(K944="ВИРТУАЛЬНЫЙ ВЫБОР",OR(Z944="✅ ЗАШЛО",Z944="❌ НЕ ЗАШЛО",Z944="½ ЗАШЛО",Z944="½ НЕ ЗАШЛО",Z944="ВОЗВРАТ")),W944,"")</f>
        <v/>
      </c>
      <c r="AC944" s="15"/>
      <c r="AD944" s="16" t="str">
        <f aca="false">IF(OR(AC944="",P944=""),"",P944/AC944-1)</f>
        <v/>
      </c>
      <c r="AE944" s="19" t="str">
        <f aca="false">IF(AND(M944=0,OR(Z944="✅ ЗАШЛО",Z944="❌ НЕ ЗАШЛО"),L944&lt;&gt;""),(L944-IF(Z944="✅ ЗАШЛО",1,0))^2,"")</f>
        <v/>
      </c>
      <c r="AF944" s="15"/>
      <c r="AG944" s="15"/>
      <c r="AH944" s="13"/>
      <c r="AI944" s="13"/>
      <c r="AJ944" s="13"/>
      <c r="AK944" s="20" t="str">
        <f aca="false">IF(AH944="","",IF(ABS(AH944+AI944+AJ944-1)&lt;0.000001,"OK","ОШИБКА"))</f>
        <v/>
      </c>
      <c r="AL944" s="13"/>
      <c r="AM944" s="12"/>
      <c r="AN944" s="12"/>
      <c r="AO944" s="12"/>
      <c r="AP944" s="12"/>
      <c r="AQ944" s="18" t="str">
        <f aca="false">IF(A944="","",N(AQ943)+N(AA944))</f>
        <v/>
      </c>
      <c r="AR944" s="18" t="str">
        <f aca="false">IF(AQ944="","",MAX(0,MAX($AQ$8:AQ944))-AQ944)</f>
        <v/>
      </c>
    </row>
    <row r="945" customFormat="false" ht="15" hidden="false" customHeight="fals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3"/>
      <c r="M945" s="13"/>
      <c r="N945" s="13"/>
      <c r="O945" s="14" t="str">
        <f aca="false">IF(OR(L945="",L945=0),"",(1-M945)/L945)</f>
        <v/>
      </c>
      <c r="P945" s="15"/>
      <c r="Q945" s="12"/>
      <c r="R945" s="12"/>
      <c r="S945" s="13"/>
      <c r="T945" s="16" t="str">
        <f aca="false">IF(OR(S945="",L945=""),"",L945/(1-M945)-S945)</f>
        <v/>
      </c>
      <c r="U945" s="16" t="str">
        <f aca="false">IF(OR(L945="",P945=""),"",L945*(P945-1)-N945)</f>
        <v/>
      </c>
      <c r="V945" s="13"/>
      <c r="W945" s="17"/>
      <c r="X945" s="12"/>
      <c r="Y945" s="12"/>
      <c r="Z945" s="12"/>
      <c r="AA945" s="18" t="str">
        <f aca="false">IF(K945&lt;&gt;"ВИРТУАЛЬНЫЙ ВЫБОР","",IF(Z945="✅ ЗАШЛО",W945*(P945-1),IF(Z945="❌ НЕ ЗАШЛО",-W945,IF(Z945="½ ЗАШЛО",W945*(P945-1)/2,IF(Z945="½ НЕ ЗАШЛО",-W945/2,IF(Z945="ВОЗВРАТ",0,""))))))</f>
        <v/>
      </c>
      <c r="AB945" s="18" t="str">
        <f aca="false">IF(AND(K945="ВИРТУАЛЬНЫЙ ВЫБОР",OR(Z945="✅ ЗАШЛО",Z945="❌ НЕ ЗАШЛО",Z945="½ ЗАШЛО",Z945="½ НЕ ЗАШЛО",Z945="ВОЗВРАТ")),W945,"")</f>
        <v/>
      </c>
      <c r="AC945" s="15"/>
      <c r="AD945" s="16" t="str">
        <f aca="false">IF(OR(AC945="",P945=""),"",P945/AC945-1)</f>
        <v/>
      </c>
      <c r="AE945" s="19" t="str">
        <f aca="false">IF(AND(M945=0,OR(Z945="✅ ЗАШЛО",Z945="❌ НЕ ЗАШЛО"),L945&lt;&gt;""),(L945-IF(Z945="✅ ЗАШЛО",1,0))^2,"")</f>
        <v/>
      </c>
      <c r="AF945" s="15"/>
      <c r="AG945" s="15"/>
      <c r="AH945" s="13"/>
      <c r="AI945" s="13"/>
      <c r="AJ945" s="13"/>
      <c r="AK945" s="20" t="str">
        <f aca="false">IF(AH945="","",IF(ABS(AH945+AI945+AJ945-1)&lt;0.000001,"OK","ОШИБКА"))</f>
        <v/>
      </c>
      <c r="AL945" s="13"/>
      <c r="AM945" s="12"/>
      <c r="AN945" s="12"/>
      <c r="AO945" s="12"/>
      <c r="AP945" s="12"/>
      <c r="AQ945" s="18" t="str">
        <f aca="false">IF(A945="","",N(AQ944)+N(AA945))</f>
        <v/>
      </c>
      <c r="AR945" s="18" t="str">
        <f aca="false">IF(AQ945="","",MAX(0,MAX($AQ$8:AQ945))-AQ945)</f>
        <v/>
      </c>
    </row>
    <row r="946" customFormat="false" ht="15" hidden="false" customHeight="fals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3"/>
      <c r="M946" s="13"/>
      <c r="N946" s="13"/>
      <c r="O946" s="14" t="str">
        <f aca="false">IF(OR(L946="",L946=0),"",(1-M946)/L946)</f>
        <v/>
      </c>
      <c r="P946" s="15"/>
      <c r="Q946" s="12"/>
      <c r="R946" s="12"/>
      <c r="S946" s="13"/>
      <c r="T946" s="16" t="str">
        <f aca="false">IF(OR(S946="",L946=""),"",L946/(1-M946)-S946)</f>
        <v/>
      </c>
      <c r="U946" s="16" t="str">
        <f aca="false">IF(OR(L946="",P946=""),"",L946*(P946-1)-N946)</f>
        <v/>
      </c>
      <c r="V946" s="13"/>
      <c r="W946" s="17"/>
      <c r="X946" s="12"/>
      <c r="Y946" s="12"/>
      <c r="Z946" s="12"/>
      <c r="AA946" s="18" t="str">
        <f aca="false">IF(K946&lt;&gt;"ВИРТУАЛЬНЫЙ ВЫБОР","",IF(Z946="✅ ЗАШЛО",W946*(P946-1),IF(Z946="❌ НЕ ЗАШЛО",-W946,IF(Z946="½ ЗАШЛО",W946*(P946-1)/2,IF(Z946="½ НЕ ЗАШЛО",-W946/2,IF(Z946="ВОЗВРАТ",0,""))))))</f>
        <v/>
      </c>
      <c r="AB946" s="18" t="str">
        <f aca="false">IF(AND(K946="ВИРТУАЛЬНЫЙ ВЫБОР",OR(Z946="✅ ЗАШЛО",Z946="❌ НЕ ЗАШЛО",Z946="½ ЗАШЛО",Z946="½ НЕ ЗАШЛО",Z946="ВОЗВРАТ")),W946,"")</f>
        <v/>
      </c>
      <c r="AC946" s="15"/>
      <c r="AD946" s="16" t="str">
        <f aca="false">IF(OR(AC946="",P946=""),"",P946/AC946-1)</f>
        <v/>
      </c>
      <c r="AE946" s="19" t="str">
        <f aca="false">IF(AND(M946=0,OR(Z946="✅ ЗАШЛО",Z946="❌ НЕ ЗАШЛО"),L946&lt;&gt;""),(L946-IF(Z946="✅ ЗАШЛО",1,0))^2,"")</f>
        <v/>
      </c>
      <c r="AF946" s="15"/>
      <c r="AG946" s="15"/>
      <c r="AH946" s="13"/>
      <c r="AI946" s="13"/>
      <c r="AJ946" s="13"/>
      <c r="AK946" s="20" t="str">
        <f aca="false">IF(AH946="","",IF(ABS(AH946+AI946+AJ946-1)&lt;0.000001,"OK","ОШИБКА"))</f>
        <v/>
      </c>
      <c r="AL946" s="13"/>
      <c r="AM946" s="12"/>
      <c r="AN946" s="12"/>
      <c r="AO946" s="12"/>
      <c r="AP946" s="12"/>
      <c r="AQ946" s="18" t="str">
        <f aca="false">IF(A946="","",N(AQ945)+N(AA946))</f>
        <v/>
      </c>
      <c r="AR946" s="18" t="str">
        <f aca="false">IF(AQ946="","",MAX(0,MAX($AQ$8:AQ946))-AQ946)</f>
        <v/>
      </c>
    </row>
    <row r="947" customFormat="false" ht="15" hidden="false" customHeight="fals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3"/>
      <c r="M947" s="13"/>
      <c r="N947" s="13"/>
      <c r="O947" s="14" t="str">
        <f aca="false">IF(OR(L947="",L947=0),"",(1-M947)/L947)</f>
        <v/>
      </c>
      <c r="P947" s="15"/>
      <c r="Q947" s="12"/>
      <c r="R947" s="12"/>
      <c r="S947" s="13"/>
      <c r="T947" s="16" t="str">
        <f aca="false">IF(OR(S947="",L947=""),"",L947/(1-M947)-S947)</f>
        <v/>
      </c>
      <c r="U947" s="16" t="str">
        <f aca="false">IF(OR(L947="",P947=""),"",L947*(P947-1)-N947)</f>
        <v/>
      </c>
      <c r="V947" s="13"/>
      <c r="W947" s="17"/>
      <c r="X947" s="12"/>
      <c r="Y947" s="12"/>
      <c r="Z947" s="12"/>
      <c r="AA947" s="18" t="str">
        <f aca="false">IF(K947&lt;&gt;"ВИРТУАЛЬНЫЙ ВЫБОР","",IF(Z947="✅ ЗАШЛО",W947*(P947-1),IF(Z947="❌ НЕ ЗАШЛО",-W947,IF(Z947="½ ЗАШЛО",W947*(P947-1)/2,IF(Z947="½ НЕ ЗАШЛО",-W947/2,IF(Z947="ВОЗВРАТ",0,""))))))</f>
        <v/>
      </c>
      <c r="AB947" s="18" t="str">
        <f aca="false">IF(AND(K947="ВИРТУАЛЬНЫЙ ВЫБОР",OR(Z947="✅ ЗАШЛО",Z947="❌ НЕ ЗАШЛО",Z947="½ ЗАШЛО",Z947="½ НЕ ЗАШЛО",Z947="ВОЗВРАТ")),W947,"")</f>
        <v/>
      </c>
      <c r="AC947" s="15"/>
      <c r="AD947" s="16" t="str">
        <f aca="false">IF(OR(AC947="",P947=""),"",P947/AC947-1)</f>
        <v/>
      </c>
      <c r="AE947" s="19" t="str">
        <f aca="false">IF(AND(M947=0,OR(Z947="✅ ЗАШЛО",Z947="❌ НЕ ЗАШЛО"),L947&lt;&gt;""),(L947-IF(Z947="✅ ЗАШЛО",1,0))^2,"")</f>
        <v/>
      </c>
      <c r="AF947" s="15"/>
      <c r="AG947" s="15"/>
      <c r="AH947" s="13"/>
      <c r="AI947" s="13"/>
      <c r="AJ947" s="13"/>
      <c r="AK947" s="20" t="str">
        <f aca="false">IF(AH947="","",IF(ABS(AH947+AI947+AJ947-1)&lt;0.000001,"OK","ОШИБКА"))</f>
        <v/>
      </c>
      <c r="AL947" s="13"/>
      <c r="AM947" s="12"/>
      <c r="AN947" s="12"/>
      <c r="AO947" s="12"/>
      <c r="AP947" s="12"/>
      <c r="AQ947" s="18" t="str">
        <f aca="false">IF(A947="","",N(AQ946)+N(AA947))</f>
        <v/>
      </c>
      <c r="AR947" s="18" t="str">
        <f aca="false">IF(AQ947="","",MAX(0,MAX($AQ$8:AQ947))-AQ947)</f>
        <v/>
      </c>
    </row>
    <row r="948" customFormat="false" ht="15" hidden="false" customHeight="fals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3"/>
      <c r="M948" s="13"/>
      <c r="N948" s="13"/>
      <c r="O948" s="14" t="str">
        <f aca="false">IF(OR(L948="",L948=0),"",(1-M948)/L948)</f>
        <v/>
      </c>
      <c r="P948" s="15"/>
      <c r="Q948" s="12"/>
      <c r="R948" s="12"/>
      <c r="S948" s="13"/>
      <c r="T948" s="16" t="str">
        <f aca="false">IF(OR(S948="",L948=""),"",L948/(1-M948)-S948)</f>
        <v/>
      </c>
      <c r="U948" s="16" t="str">
        <f aca="false">IF(OR(L948="",P948=""),"",L948*(P948-1)-N948)</f>
        <v/>
      </c>
      <c r="V948" s="13"/>
      <c r="W948" s="17"/>
      <c r="X948" s="12"/>
      <c r="Y948" s="12"/>
      <c r="Z948" s="12"/>
      <c r="AA948" s="18" t="str">
        <f aca="false">IF(K948&lt;&gt;"ВИРТУАЛЬНЫЙ ВЫБОР","",IF(Z948="✅ ЗАШЛО",W948*(P948-1),IF(Z948="❌ НЕ ЗАШЛО",-W948,IF(Z948="½ ЗАШЛО",W948*(P948-1)/2,IF(Z948="½ НЕ ЗАШЛО",-W948/2,IF(Z948="ВОЗВРАТ",0,""))))))</f>
        <v/>
      </c>
      <c r="AB948" s="18" t="str">
        <f aca="false">IF(AND(K948="ВИРТУАЛЬНЫЙ ВЫБОР",OR(Z948="✅ ЗАШЛО",Z948="❌ НЕ ЗАШЛО",Z948="½ ЗАШЛО",Z948="½ НЕ ЗАШЛО",Z948="ВОЗВРАТ")),W948,"")</f>
        <v/>
      </c>
      <c r="AC948" s="15"/>
      <c r="AD948" s="16" t="str">
        <f aca="false">IF(OR(AC948="",P948=""),"",P948/AC948-1)</f>
        <v/>
      </c>
      <c r="AE948" s="19" t="str">
        <f aca="false">IF(AND(M948=0,OR(Z948="✅ ЗАШЛО",Z948="❌ НЕ ЗАШЛО"),L948&lt;&gt;""),(L948-IF(Z948="✅ ЗАШЛО",1,0))^2,"")</f>
        <v/>
      </c>
      <c r="AF948" s="15"/>
      <c r="AG948" s="15"/>
      <c r="AH948" s="13"/>
      <c r="AI948" s="13"/>
      <c r="AJ948" s="13"/>
      <c r="AK948" s="20" t="str">
        <f aca="false">IF(AH948="","",IF(ABS(AH948+AI948+AJ948-1)&lt;0.000001,"OK","ОШИБКА"))</f>
        <v/>
      </c>
      <c r="AL948" s="13"/>
      <c r="AM948" s="12"/>
      <c r="AN948" s="12"/>
      <c r="AO948" s="12"/>
      <c r="AP948" s="12"/>
      <c r="AQ948" s="18" t="str">
        <f aca="false">IF(A948="","",N(AQ947)+N(AA948))</f>
        <v/>
      </c>
      <c r="AR948" s="18" t="str">
        <f aca="false">IF(AQ948="","",MAX(0,MAX($AQ$8:AQ948))-AQ948)</f>
        <v/>
      </c>
    </row>
    <row r="949" customFormat="false" ht="15" hidden="false" customHeight="fals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3"/>
      <c r="M949" s="13"/>
      <c r="N949" s="13"/>
      <c r="O949" s="14" t="str">
        <f aca="false">IF(OR(L949="",L949=0),"",(1-M949)/L949)</f>
        <v/>
      </c>
      <c r="P949" s="15"/>
      <c r="Q949" s="12"/>
      <c r="R949" s="12"/>
      <c r="S949" s="13"/>
      <c r="T949" s="16" t="str">
        <f aca="false">IF(OR(S949="",L949=""),"",L949/(1-M949)-S949)</f>
        <v/>
      </c>
      <c r="U949" s="16" t="str">
        <f aca="false">IF(OR(L949="",P949=""),"",L949*(P949-1)-N949)</f>
        <v/>
      </c>
      <c r="V949" s="13"/>
      <c r="W949" s="17"/>
      <c r="X949" s="12"/>
      <c r="Y949" s="12"/>
      <c r="Z949" s="12"/>
      <c r="AA949" s="18" t="str">
        <f aca="false">IF(K949&lt;&gt;"ВИРТУАЛЬНЫЙ ВЫБОР","",IF(Z949="✅ ЗАШЛО",W949*(P949-1),IF(Z949="❌ НЕ ЗАШЛО",-W949,IF(Z949="½ ЗАШЛО",W949*(P949-1)/2,IF(Z949="½ НЕ ЗАШЛО",-W949/2,IF(Z949="ВОЗВРАТ",0,""))))))</f>
        <v/>
      </c>
      <c r="AB949" s="18" t="str">
        <f aca="false">IF(AND(K949="ВИРТУАЛЬНЫЙ ВЫБОР",OR(Z949="✅ ЗАШЛО",Z949="❌ НЕ ЗАШЛО",Z949="½ ЗАШЛО",Z949="½ НЕ ЗАШЛО",Z949="ВОЗВРАТ")),W949,"")</f>
        <v/>
      </c>
      <c r="AC949" s="15"/>
      <c r="AD949" s="16" t="str">
        <f aca="false">IF(OR(AC949="",P949=""),"",P949/AC949-1)</f>
        <v/>
      </c>
      <c r="AE949" s="19" t="str">
        <f aca="false">IF(AND(M949=0,OR(Z949="✅ ЗАШЛО",Z949="❌ НЕ ЗАШЛО"),L949&lt;&gt;""),(L949-IF(Z949="✅ ЗАШЛО",1,0))^2,"")</f>
        <v/>
      </c>
      <c r="AF949" s="15"/>
      <c r="AG949" s="15"/>
      <c r="AH949" s="13"/>
      <c r="AI949" s="13"/>
      <c r="AJ949" s="13"/>
      <c r="AK949" s="20" t="str">
        <f aca="false">IF(AH949="","",IF(ABS(AH949+AI949+AJ949-1)&lt;0.000001,"OK","ОШИБКА"))</f>
        <v/>
      </c>
      <c r="AL949" s="13"/>
      <c r="AM949" s="12"/>
      <c r="AN949" s="12"/>
      <c r="AO949" s="12"/>
      <c r="AP949" s="12"/>
      <c r="AQ949" s="18" t="str">
        <f aca="false">IF(A949="","",N(AQ948)+N(AA949))</f>
        <v/>
      </c>
      <c r="AR949" s="18" t="str">
        <f aca="false">IF(AQ949="","",MAX(0,MAX($AQ$8:AQ949))-AQ949)</f>
        <v/>
      </c>
    </row>
    <row r="950" customFormat="false" ht="15" hidden="false" customHeight="fals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3"/>
      <c r="M950" s="13"/>
      <c r="N950" s="13"/>
      <c r="O950" s="14" t="str">
        <f aca="false">IF(OR(L950="",L950=0),"",(1-M950)/L950)</f>
        <v/>
      </c>
      <c r="P950" s="15"/>
      <c r="Q950" s="12"/>
      <c r="R950" s="12"/>
      <c r="S950" s="13"/>
      <c r="T950" s="16" t="str">
        <f aca="false">IF(OR(S950="",L950=""),"",L950/(1-M950)-S950)</f>
        <v/>
      </c>
      <c r="U950" s="16" t="str">
        <f aca="false">IF(OR(L950="",P950=""),"",L950*(P950-1)-N950)</f>
        <v/>
      </c>
      <c r="V950" s="13"/>
      <c r="W950" s="17"/>
      <c r="X950" s="12"/>
      <c r="Y950" s="12"/>
      <c r="Z950" s="12"/>
      <c r="AA950" s="18" t="str">
        <f aca="false">IF(K950&lt;&gt;"ВИРТУАЛЬНЫЙ ВЫБОР","",IF(Z950="✅ ЗАШЛО",W950*(P950-1),IF(Z950="❌ НЕ ЗАШЛО",-W950,IF(Z950="½ ЗАШЛО",W950*(P950-1)/2,IF(Z950="½ НЕ ЗАШЛО",-W950/2,IF(Z950="ВОЗВРАТ",0,""))))))</f>
        <v/>
      </c>
      <c r="AB950" s="18" t="str">
        <f aca="false">IF(AND(K950="ВИРТУАЛЬНЫЙ ВЫБОР",OR(Z950="✅ ЗАШЛО",Z950="❌ НЕ ЗАШЛО",Z950="½ ЗАШЛО",Z950="½ НЕ ЗАШЛО",Z950="ВОЗВРАТ")),W950,"")</f>
        <v/>
      </c>
      <c r="AC950" s="15"/>
      <c r="AD950" s="16" t="str">
        <f aca="false">IF(OR(AC950="",P950=""),"",P950/AC950-1)</f>
        <v/>
      </c>
      <c r="AE950" s="19" t="str">
        <f aca="false">IF(AND(M950=0,OR(Z950="✅ ЗАШЛО",Z950="❌ НЕ ЗАШЛО"),L950&lt;&gt;""),(L950-IF(Z950="✅ ЗАШЛО",1,0))^2,"")</f>
        <v/>
      </c>
      <c r="AF950" s="15"/>
      <c r="AG950" s="15"/>
      <c r="AH950" s="13"/>
      <c r="AI950" s="13"/>
      <c r="AJ950" s="13"/>
      <c r="AK950" s="20" t="str">
        <f aca="false">IF(AH950="","",IF(ABS(AH950+AI950+AJ950-1)&lt;0.000001,"OK","ОШИБКА"))</f>
        <v/>
      </c>
      <c r="AL950" s="13"/>
      <c r="AM950" s="12"/>
      <c r="AN950" s="12"/>
      <c r="AO950" s="12"/>
      <c r="AP950" s="12"/>
      <c r="AQ950" s="18" t="str">
        <f aca="false">IF(A950="","",N(AQ949)+N(AA950))</f>
        <v/>
      </c>
      <c r="AR950" s="18" t="str">
        <f aca="false">IF(AQ950="","",MAX(0,MAX($AQ$8:AQ950))-AQ950)</f>
        <v/>
      </c>
    </row>
    <row r="951" customFormat="false" ht="15" hidden="false" customHeight="fals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3"/>
      <c r="M951" s="13"/>
      <c r="N951" s="13"/>
      <c r="O951" s="14" t="str">
        <f aca="false">IF(OR(L951="",L951=0),"",(1-M951)/L951)</f>
        <v/>
      </c>
      <c r="P951" s="15"/>
      <c r="Q951" s="12"/>
      <c r="R951" s="12"/>
      <c r="S951" s="13"/>
      <c r="T951" s="16" t="str">
        <f aca="false">IF(OR(S951="",L951=""),"",L951/(1-M951)-S951)</f>
        <v/>
      </c>
      <c r="U951" s="16" t="str">
        <f aca="false">IF(OR(L951="",P951=""),"",L951*(P951-1)-N951)</f>
        <v/>
      </c>
      <c r="V951" s="13"/>
      <c r="W951" s="17"/>
      <c r="X951" s="12"/>
      <c r="Y951" s="12"/>
      <c r="Z951" s="12"/>
      <c r="AA951" s="18" t="str">
        <f aca="false">IF(K951&lt;&gt;"ВИРТУАЛЬНЫЙ ВЫБОР","",IF(Z951="✅ ЗАШЛО",W951*(P951-1),IF(Z951="❌ НЕ ЗАШЛО",-W951,IF(Z951="½ ЗАШЛО",W951*(P951-1)/2,IF(Z951="½ НЕ ЗАШЛО",-W951/2,IF(Z951="ВОЗВРАТ",0,""))))))</f>
        <v/>
      </c>
      <c r="AB951" s="18" t="str">
        <f aca="false">IF(AND(K951="ВИРТУАЛЬНЫЙ ВЫБОР",OR(Z951="✅ ЗАШЛО",Z951="❌ НЕ ЗАШЛО",Z951="½ ЗАШЛО",Z951="½ НЕ ЗАШЛО",Z951="ВОЗВРАТ")),W951,"")</f>
        <v/>
      </c>
      <c r="AC951" s="15"/>
      <c r="AD951" s="16" t="str">
        <f aca="false">IF(OR(AC951="",P951=""),"",P951/AC951-1)</f>
        <v/>
      </c>
      <c r="AE951" s="19" t="str">
        <f aca="false">IF(AND(M951=0,OR(Z951="✅ ЗАШЛО",Z951="❌ НЕ ЗАШЛО"),L951&lt;&gt;""),(L951-IF(Z951="✅ ЗАШЛО",1,0))^2,"")</f>
        <v/>
      </c>
      <c r="AF951" s="15"/>
      <c r="AG951" s="15"/>
      <c r="AH951" s="13"/>
      <c r="AI951" s="13"/>
      <c r="AJ951" s="13"/>
      <c r="AK951" s="20" t="str">
        <f aca="false">IF(AH951="","",IF(ABS(AH951+AI951+AJ951-1)&lt;0.000001,"OK","ОШИБКА"))</f>
        <v/>
      </c>
      <c r="AL951" s="13"/>
      <c r="AM951" s="12"/>
      <c r="AN951" s="12"/>
      <c r="AO951" s="12"/>
      <c r="AP951" s="12"/>
      <c r="AQ951" s="18" t="str">
        <f aca="false">IF(A951="","",N(AQ950)+N(AA951))</f>
        <v/>
      </c>
      <c r="AR951" s="18" t="str">
        <f aca="false">IF(AQ951="","",MAX(0,MAX($AQ$8:AQ951))-AQ951)</f>
        <v/>
      </c>
    </row>
    <row r="952" customFormat="false" ht="15" hidden="false" customHeight="fals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3"/>
      <c r="M952" s="13"/>
      <c r="N952" s="13"/>
      <c r="O952" s="14" t="str">
        <f aca="false">IF(OR(L952="",L952=0),"",(1-M952)/L952)</f>
        <v/>
      </c>
      <c r="P952" s="15"/>
      <c r="Q952" s="12"/>
      <c r="R952" s="12"/>
      <c r="S952" s="13"/>
      <c r="T952" s="16" t="str">
        <f aca="false">IF(OR(S952="",L952=""),"",L952/(1-M952)-S952)</f>
        <v/>
      </c>
      <c r="U952" s="16" t="str">
        <f aca="false">IF(OR(L952="",P952=""),"",L952*(P952-1)-N952)</f>
        <v/>
      </c>
      <c r="V952" s="13"/>
      <c r="W952" s="17"/>
      <c r="X952" s="12"/>
      <c r="Y952" s="12"/>
      <c r="Z952" s="12"/>
      <c r="AA952" s="18" t="str">
        <f aca="false">IF(K952&lt;&gt;"ВИРТУАЛЬНЫЙ ВЫБОР","",IF(Z952="✅ ЗАШЛО",W952*(P952-1),IF(Z952="❌ НЕ ЗАШЛО",-W952,IF(Z952="½ ЗАШЛО",W952*(P952-1)/2,IF(Z952="½ НЕ ЗАШЛО",-W952/2,IF(Z952="ВОЗВРАТ",0,""))))))</f>
        <v/>
      </c>
      <c r="AB952" s="18" t="str">
        <f aca="false">IF(AND(K952="ВИРТУАЛЬНЫЙ ВЫБОР",OR(Z952="✅ ЗАШЛО",Z952="❌ НЕ ЗАШЛО",Z952="½ ЗАШЛО",Z952="½ НЕ ЗАШЛО",Z952="ВОЗВРАТ")),W952,"")</f>
        <v/>
      </c>
      <c r="AC952" s="15"/>
      <c r="AD952" s="16" t="str">
        <f aca="false">IF(OR(AC952="",P952=""),"",P952/AC952-1)</f>
        <v/>
      </c>
      <c r="AE952" s="19" t="str">
        <f aca="false">IF(AND(M952=0,OR(Z952="✅ ЗАШЛО",Z952="❌ НЕ ЗАШЛО"),L952&lt;&gt;""),(L952-IF(Z952="✅ ЗАШЛО",1,0))^2,"")</f>
        <v/>
      </c>
      <c r="AF952" s="15"/>
      <c r="AG952" s="15"/>
      <c r="AH952" s="13"/>
      <c r="AI952" s="13"/>
      <c r="AJ952" s="13"/>
      <c r="AK952" s="20" t="str">
        <f aca="false">IF(AH952="","",IF(ABS(AH952+AI952+AJ952-1)&lt;0.000001,"OK","ОШИБКА"))</f>
        <v/>
      </c>
      <c r="AL952" s="13"/>
      <c r="AM952" s="12"/>
      <c r="AN952" s="12"/>
      <c r="AO952" s="12"/>
      <c r="AP952" s="12"/>
      <c r="AQ952" s="18" t="str">
        <f aca="false">IF(A952="","",N(AQ951)+N(AA952))</f>
        <v/>
      </c>
      <c r="AR952" s="18" t="str">
        <f aca="false">IF(AQ952="","",MAX(0,MAX($AQ$8:AQ952))-AQ952)</f>
        <v/>
      </c>
    </row>
    <row r="953" customFormat="false" ht="15" hidden="false" customHeight="fals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3"/>
      <c r="M953" s="13"/>
      <c r="N953" s="13"/>
      <c r="O953" s="14" t="str">
        <f aca="false">IF(OR(L953="",L953=0),"",(1-M953)/L953)</f>
        <v/>
      </c>
      <c r="P953" s="15"/>
      <c r="Q953" s="12"/>
      <c r="R953" s="12"/>
      <c r="S953" s="13"/>
      <c r="T953" s="16" t="str">
        <f aca="false">IF(OR(S953="",L953=""),"",L953/(1-M953)-S953)</f>
        <v/>
      </c>
      <c r="U953" s="16" t="str">
        <f aca="false">IF(OR(L953="",P953=""),"",L953*(P953-1)-N953)</f>
        <v/>
      </c>
      <c r="V953" s="13"/>
      <c r="W953" s="17"/>
      <c r="X953" s="12"/>
      <c r="Y953" s="12"/>
      <c r="Z953" s="12"/>
      <c r="AA953" s="18" t="str">
        <f aca="false">IF(K953&lt;&gt;"ВИРТУАЛЬНЫЙ ВЫБОР","",IF(Z953="✅ ЗАШЛО",W953*(P953-1),IF(Z953="❌ НЕ ЗАШЛО",-W953,IF(Z953="½ ЗАШЛО",W953*(P953-1)/2,IF(Z953="½ НЕ ЗАШЛО",-W953/2,IF(Z953="ВОЗВРАТ",0,""))))))</f>
        <v/>
      </c>
      <c r="AB953" s="18" t="str">
        <f aca="false">IF(AND(K953="ВИРТУАЛЬНЫЙ ВЫБОР",OR(Z953="✅ ЗАШЛО",Z953="❌ НЕ ЗАШЛО",Z953="½ ЗАШЛО",Z953="½ НЕ ЗАШЛО",Z953="ВОЗВРАТ")),W953,"")</f>
        <v/>
      </c>
      <c r="AC953" s="15"/>
      <c r="AD953" s="16" t="str">
        <f aca="false">IF(OR(AC953="",P953=""),"",P953/AC953-1)</f>
        <v/>
      </c>
      <c r="AE953" s="19" t="str">
        <f aca="false">IF(AND(M953=0,OR(Z953="✅ ЗАШЛО",Z953="❌ НЕ ЗАШЛО"),L953&lt;&gt;""),(L953-IF(Z953="✅ ЗАШЛО",1,0))^2,"")</f>
        <v/>
      </c>
      <c r="AF953" s="15"/>
      <c r="AG953" s="15"/>
      <c r="AH953" s="13"/>
      <c r="AI953" s="13"/>
      <c r="AJ953" s="13"/>
      <c r="AK953" s="20" t="str">
        <f aca="false">IF(AH953="","",IF(ABS(AH953+AI953+AJ953-1)&lt;0.000001,"OK","ОШИБКА"))</f>
        <v/>
      </c>
      <c r="AL953" s="13"/>
      <c r="AM953" s="12"/>
      <c r="AN953" s="12"/>
      <c r="AO953" s="12"/>
      <c r="AP953" s="12"/>
      <c r="AQ953" s="18" t="str">
        <f aca="false">IF(A953="","",N(AQ952)+N(AA953))</f>
        <v/>
      </c>
      <c r="AR953" s="18" t="str">
        <f aca="false">IF(AQ953="","",MAX(0,MAX($AQ$8:AQ953))-AQ953)</f>
        <v/>
      </c>
    </row>
    <row r="954" customFormat="false" ht="15" hidden="false" customHeight="fals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3"/>
      <c r="M954" s="13"/>
      <c r="N954" s="13"/>
      <c r="O954" s="14" t="str">
        <f aca="false">IF(OR(L954="",L954=0),"",(1-M954)/L954)</f>
        <v/>
      </c>
      <c r="P954" s="15"/>
      <c r="Q954" s="12"/>
      <c r="R954" s="12"/>
      <c r="S954" s="13"/>
      <c r="T954" s="16" t="str">
        <f aca="false">IF(OR(S954="",L954=""),"",L954/(1-M954)-S954)</f>
        <v/>
      </c>
      <c r="U954" s="16" t="str">
        <f aca="false">IF(OR(L954="",P954=""),"",L954*(P954-1)-N954)</f>
        <v/>
      </c>
      <c r="V954" s="13"/>
      <c r="W954" s="17"/>
      <c r="X954" s="12"/>
      <c r="Y954" s="12"/>
      <c r="Z954" s="12"/>
      <c r="AA954" s="18" t="str">
        <f aca="false">IF(K954&lt;&gt;"ВИРТУАЛЬНЫЙ ВЫБОР","",IF(Z954="✅ ЗАШЛО",W954*(P954-1),IF(Z954="❌ НЕ ЗАШЛО",-W954,IF(Z954="½ ЗАШЛО",W954*(P954-1)/2,IF(Z954="½ НЕ ЗАШЛО",-W954/2,IF(Z954="ВОЗВРАТ",0,""))))))</f>
        <v/>
      </c>
      <c r="AB954" s="18" t="str">
        <f aca="false">IF(AND(K954="ВИРТУАЛЬНЫЙ ВЫБОР",OR(Z954="✅ ЗАШЛО",Z954="❌ НЕ ЗАШЛО",Z954="½ ЗАШЛО",Z954="½ НЕ ЗАШЛО",Z954="ВОЗВРАТ")),W954,"")</f>
        <v/>
      </c>
      <c r="AC954" s="15"/>
      <c r="AD954" s="16" t="str">
        <f aca="false">IF(OR(AC954="",P954=""),"",P954/AC954-1)</f>
        <v/>
      </c>
      <c r="AE954" s="19" t="str">
        <f aca="false">IF(AND(M954=0,OR(Z954="✅ ЗАШЛО",Z954="❌ НЕ ЗАШЛО"),L954&lt;&gt;""),(L954-IF(Z954="✅ ЗАШЛО",1,0))^2,"")</f>
        <v/>
      </c>
      <c r="AF954" s="15"/>
      <c r="AG954" s="15"/>
      <c r="AH954" s="13"/>
      <c r="AI954" s="13"/>
      <c r="AJ954" s="13"/>
      <c r="AK954" s="20" t="str">
        <f aca="false">IF(AH954="","",IF(ABS(AH954+AI954+AJ954-1)&lt;0.000001,"OK","ОШИБКА"))</f>
        <v/>
      </c>
      <c r="AL954" s="13"/>
      <c r="AM954" s="12"/>
      <c r="AN954" s="12"/>
      <c r="AO954" s="12"/>
      <c r="AP954" s="12"/>
      <c r="AQ954" s="18" t="str">
        <f aca="false">IF(A954="","",N(AQ953)+N(AA954))</f>
        <v/>
      </c>
      <c r="AR954" s="18" t="str">
        <f aca="false">IF(AQ954="","",MAX(0,MAX($AQ$8:AQ954))-AQ954)</f>
        <v/>
      </c>
    </row>
    <row r="955" customFormat="false" ht="15" hidden="false" customHeight="fals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3"/>
      <c r="M955" s="13"/>
      <c r="N955" s="13"/>
      <c r="O955" s="14" t="str">
        <f aca="false">IF(OR(L955="",L955=0),"",(1-M955)/L955)</f>
        <v/>
      </c>
      <c r="P955" s="15"/>
      <c r="Q955" s="12"/>
      <c r="R955" s="12"/>
      <c r="S955" s="13"/>
      <c r="T955" s="16" t="str">
        <f aca="false">IF(OR(S955="",L955=""),"",L955/(1-M955)-S955)</f>
        <v/>
      </c>
      <c r="U955" s="16" t="str">
        <f aca="false">IF(OR(L955="",P955=""),"",L955*(P955-1)-N955)</f>
        <v/>
      </c>
      <c r="V955" s="13"/>
      <c r="W955" s="17"/>
      <c r="X955" s="12"/>
      <c r="Y955" s="12"/>
      <c r="Z955" s="12"/>
      <c r="AA955" s="18" t="str">
        <f aca="false">IF(K955&lt;&gt;"ВИРТУАЛЬНЫЙ ВЫБОР","",IF(Z955="✅ ЗАШЛО",W955*(P955-1),IF(Z955="❌ НЕ ЗАШЛО",-W955,IF(Z955="½ ЗАШЛО",W955*(P955-1)/2,IF(Z955="½ НЕ ЗАШЛО",-W955/2,IF(Z955="ВОЗВРАТ",0,""))))))</f>
        <v/>
      </c>
      <c r="AB955" s="18" t="str">
        <f aca="false">IF(AND(K955="ВИРТУАЛЬНЫЙ ВЫБОР",OR(Z955="✅ ЗАШЛО",Z955="❌ НЕ ЗАШЛО",Z955="½ ЗАШЛО",Z955="½ НЕ ЗАШЛО",Z955="ВОЗВРАТ")),W955,"")</f>
        <v/>
      </c>
      <c r="AC955" s="15"/>
      <c r="AD955" s="16" t="str">
        <f aca="false">IF(OR(AC955="",P955=""),"",P955/AC955-1)</f>
        <v/>
      </c>
      <c r="AE955" s="19" t="str">
        <f aca="false">IF(AND(M955=0,OR(Z955="✅ ЗАШЛО",Z955="❌ НЕ ЗАШЛО"),L955&lt;&gt;""),(L955-IF(Z955="✅ ЗАШЛО",1,0))^2,"")</f>
        <v/>
      </c>
      <c r="AF955" s="15"/>
      <c r="AG955" s="15"/>
      <c r="AH955" s="13"/>
      <c r="AI955" s="13"/>
      <c r="AJ955" s="13"/>
      <c r="AK955" s="20" t="str">
        <f aca="false">IF(AH955="","",IF(ABS(AH955+AI955+AJ955-1)&lt;0.000001,"OK","ОШИБКА"))</f>
        <v/>
      </c>
      <c r="AL955" s="13"/>
      <c r="AM955" s="12"/>
      <c r="AN955" s="12"/>
      <c r="AO955" s="12"/>
      <c r="AP955" s="12"/>
      <c r="AQ955" s="18" t="str">
        <f aca="false">IF(A955="","",N(AQ954)+N(AA955))</f>
        <v/>
      </c>
      <c r="AR955" s="18" t="str">
        <f aca="false">IF(AQ955="","",MAX(0,MAX($AQ$8:AQ955))-AQ955)</f>
        <v/>
      </c>
    </row>
    <row r="956" customFormat="false" ht="15" hidden="false" customHeight="fals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3"/>
      <c r="M956" s="13"/>
      <c r="N956" s="13"/>
      <c r="O956" s="14" t="str">
        <f aca="false">IF(OR(L956="",L956=0),"",(1-M956)/L956)</f>
        <v/>
      </c>
      <c r="P956" s="15"/>
      <c r="Q956" s="12"/>
      <c r="R956" s="12"/>
      <c r="S956" s="13"/>
      <c r="T956" s="16" t="str">
        <f aca="false">IF(OR(S956="",L956=""),"",L956/(1-M956)-S956)</f>
        <v/>
      </c>
      <c r="U956" s="16" t="str">
        <f aca="false">IF(OR(L956="",P956=""),"",L956*(P956-1)-N956)</f>
        <v/>
      </c>
      <c r="V956" s="13"/>
      <c r="W956" s="17"/>
      <c r="X956" s="12"/>
      <c r="Y956" s="12"/>
      <c r="Z956" s="12"/>
      <c r="AA956" s="18" t="str">
        <f aca="false">IF(K956&lt;&gt;"ВИРТУАЛЬНЫЙ ВЫБОР","",IF(Z956="✅ ЗАШЛО",W956*(P956-1),IF(Z956="❌ НЕ ЗАШЛО",-W956,IF(Z956="½ ЗАШЛО",W956*(P956-1)/2,IF(Z956="½ НЕ ЗАШЛО",-W956/2,IF(Z956="ВОЗВРАТ",0,""))))))</f>
        <v/>
      </c>
      <c r="AB956" s="18" t="str">
        <f aca="false">IF(AND(K956="ВИРТУАЛЬНЫЙ ВЫБОР",OR(Z956="✅ ЗАШЛО",Z956="❌ НЕ ЗАШЛО",Z956="½ ЗАШЛО",Z956="½ НЕ ЗАШЛО",Z956="ВОЗВРАТ")),W956,"")</f>
        <v/>
      </c>
      <c r="AC956" s="15"/>
      <c r="AD956" s="16" t="str">
        <f aca="false">IF(OR(AC956="",P956=""),"",P956/AC956-1)</f>
        <v/>
      </c>
      <c r="AE956" s="19" t="str">
        <f aca="false">IF(AND(M956=0,OR(Z956="✅ ЗАШЛО",Z956="❌ НЕ ЗАШЛО"),L956&lt;&gt;""),(L956-IF(Z956="✅ ЗАШЛО",1,0))^2,"")</f>
        <v/>
      </c>
      <c r="AF956" s="15"/>
      <c r="AG956" s="15"/>
      <c r="AH956" s="13"/>
      <c r="AI956" s="13"/>
      <c r="AJ956" s="13"/>
      <c r="AK956" s="20" t="str">
        <f aca="false">IF(AH956="","",IF(ABS(AH956+AI956+AJ956-1)&lt;0.000001,"OK","ОШИБКА"))</f>
        <v/>
      </c>
      <c r="AL956" s="13"/>
      <c r="AM956" s="12"/>
      <c r="AN956" s="12"/>
      <c r="AO956" s="12"/>
      <c r="AP956" s="12"/>
      <c r="AQ956" s="18" t="str">
        <f aca="false">IF(A956="","",N(AQ955)+N(AA956))</f>
        <v/>
      </c>
      <c r="AR956" s="18" t="str">
        <f aca="false">IF(AQ956="","",MAX(0,MAX($AQ$8:AQ956))-AQ956)</f>
        <v/>
      </c>
    </row>
    <row r="957" customFormat="false" ht="15" hidden="false" customHeight="fals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3"/>
      <c r="M957" s="13"/>
      <c r="N957" s="13"/>
      <c r="O957" s="14" t="str">
        <f aca="false">IF(OR(L957="",L957=0),"",(1-M957)/L957)</f>
        <v/>
      </c>
      <c r="P957" s="15"/>
      <c r="Q957" s="12"/>
      <c r="R957" s="12"/>
      <c r="S957" s="13"/>
      <c r="T957" s="16" t="str">
        <f aca="false">IF(OR(S957="",L957=""),"",L957/(1-M957)-S957)</f>
        <v/>
      </c>
      <c r="U957" s="16" t="str">
        <f aca="false">IF(OR(L957="",P957=""),"",L957*(P957-1)-N957)</f>
        <v/>
      </c>
      <c r="V957" s="13"/>
      <c r="W957" s="17"/>
      <c r="X957" s="12"/>
      <c r="Y957" s="12"/>
      <c r="Z957" s="12"/>
      <c r="AA957" s="18" t="str">
        <f aca="false">IF(K957&lt;&gt;"ВИРТУАЛЬНЫЙ ВЫБОР","",IF(Z957="✅ ЗАШЛО",W957*(P957-1),IF(Z957="❌ НЕ ЗАШЛО",-W957,IF(Z957="½ ЗАШЛО",W957*(P957-1)/2,IF(Z957="½ НЕ ЗАШЛО",-W957/2,IF(Z957="ВОЗВРАТ",0,""))))))</f>
        <v/>
      </c>
      <c r="AB957" s="18" t="str">
        <f aca="false">IF(AND(K957="ВИРТУАЛЬНЫЙ ВЫБОР",OR(Z957="✅ ЗАШЛО",Z957="❌ НЕ ЗАШЛО",Z957="½ ЗАШЛО",Z957="½ НЕ ЗАШЛО",Z957="ВОЗВРАТ")),W957,"")</f>
        <v/>
      </c>
      <c r="AC957" s="15"/>
      <c r="AD957" s="16" t="str">
        <f aca="false">IF(OR(AC957="",P957=""),"",P957/AC957-1)</f>
        <v/>
      </c>
      <c r="AE957" s="19" t="str">
        <f aca="false">IF(AND(M957=0,OR(Z957="✅ ЗАШЛО",Z957="❌ НЕ ЗАШЛО"),L957&lt;&gt;""),(L957-IF(Z957="✅ ЗАШЛО",1,0))^2,"")</f>
        <v/>
      </c>
      <c r="AF957" s="15"/>
      <c r="AG957" s="15"/>
      <c r="AH957" s="13"/>
      <c r="AI957" s="13"/>
      <c r="AJ957" s="13"/>
      <c r="AK957" s="20" t="str">
        <f aca="false">IF(AH957="","",IF(ABS(AH957+AI957+AJ957-1)&lt;0.000001,"OK","ОШИБКА"))</f>
        <v/>
      </c>
      <c r="AL957" s="13"/>
      <c r="AM957" s="12"/>
      <c r="AN957" s="12"/>
      <c r="AO957" s="12"/>
      <c r="AP957" s="12"/>
      <c r="AQ957" s="18" t="str">
        <f aca="false">IF(A957="","",N(AQ956)+N(AA957))</f>
        <v/>
      </c>
      <c r="AR957" s="18" t="str">
        <f aca="false">IF(AQ957="","",MAX(0,MAX($AQ$8:AQ957))-AQ957)</f>
        <v/>
      </c>
    </row>
    <row r="958" customFormat="false" ht="15" hidden="false" customHeight="fals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3"/>
      <c r="M958" s="13"/>
      <c r="N958" s="13"/>
      <c r="O958" s="14" t="str">
        <f aca="false">IF(OR(L958="",L958=0),"",(1-M958)/L958)</f>
        <v/>
      </c>
      <c r="P958" s="15"/>
      <c r="Q958" s="12"/>
      <c r="R958" s="12"/>
      <c r="S958" s="13"/>
      <c r="T958" s="16" t="str">
        <f aca="false">IF(OR(S958="",L958=""),"",L958/(1-M958)-S958)</f>
        <v/>
      </c>
      <c r="U958" s="16" t="str">
        <f aca="false">IF(OR(L958="",P958=""),"",L958*(P958-1)-N958)</f>
        <v/>
      </c>
      <c r="V958" s="13"/>
      <c r="W958" s="17"/>
      <c r="X958" s="12"/>
      <c r="Y958" s="12"/>
      <c r="Z958" s="12"/>
      <c r="AA958" s="18" t="str">
        <f aca="false">IF(K958&lt;&gt;"ВИРТУАЛЬНЫЙ ВЫБОР","",IF(Z958="✅ ЗАШЛО",W958*(P958-1),IF(Z958="❌ НЕ ЗАШЛО",-W958,IF(Z958="½ ЗАШЛО",W958*(P958-1)/2,IF(Z958="½ НЕ ЗАШЛО",-W958/2,IF(Z958="ВОЗВРАТ",0,""))))))</f>
        <v/>
      </c>
      <c r="AB958" s="18" t="str">
        <f aca="false">IF(AND(K958="ВИРТУАЛЬНЫЙ ВЫБОР",OR(Z958="✅ ЗАШЛО",Z958="❌ НЕ ЗАШЛО",Z958="½ ЗАШЛО",Z958="½ НЕ ЗАШЛО",Z958="ВОЗВРАТ")),W958,"")</f>
        <v/>
      </c>
      <c r="AC958" s="15"/>
      <c r="AD958" s="16" t="str">
        <f aca="false">IF(OR(AC958="",P958=""),"",P958/AC958-1)</f>
        <v/>
      </c>
      <c r="AE958" s="19" t="str">
        <f aca="false">IF(AND(M958=0,OR(Z958="✅ ЗАШЛО",Z958="❌ НЕ ЗАШЛО"),L958&lt;&gt;""),(L958-IF(Z958="✅ ЗАШЛО",1,0))^2,"")</f>
        <v/>
      </c>
      <c r="AF958" s="15"/>
      <c r="AG958" s="15"/>
      <c r="AH958" s="13"/>
      <c r="AI958" s="13"/>
      <c r="AJ958" s="13"/>
      <c r="AK958" s="20" t="str">
        <f aca="false">IF(AH958="","",IF(ABS(AH958+AI958+AJ958-1)&lt;0.000001,"OK","ОШИБКА"))</f>
        <v/>
      </c>
      <c r="AL958" s="13"/>
      <c r="AM958" s="12"/>
      <c r="AN958" s="12"/>
      <c r="AO958" s="12"/>
      <c r="AP958" s="12"/>
      <c r="AQ958" s="18" t="str">
        <f aca="false">IF(A958="","",N(AQ957)+N(AA958))</f>
        <v/>
      </c>
      <c r="AR958" s="18" t="str">
        <f aca="false">IF(AQ958="","",MAX(0,MAX($AQ$8:AQ958))-AQ958)</f>
        <v/>
      </c>
    </row>
    <row r="959" customFormat="false" ht="15" hidden="false" customHeight="fals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3"/>
      <c r="M959" s="13"/>
      <c r="N959" s="13"/>
      <c r="O959" s="14" t="str">
        <f aca="false">IF(OR(L959="",L959=0),"",(1-M959)/L959)</f>
        <v/>
      </c>
      <c r="P959" s="15"/>
      <c r="Q959" s="12"/>
      <c r="R959" s="12"/>
      <c r="S959" s="13"/>
      <c r="T959" s="16" t="str">
        <f aca="false">IF(OR(S959="",L959=""),"",L959/(1-M959)-S959)</f>
        <v/>
      </c>
      <c r="U959" s="16" t="str">
        <f aca="false">IF(OR(L959="",P959=""),"",L959*(P959-1)-N959)</f>
        <v/>
      </c>
      <c r="V959" s="13"/>
      <c r="W959" s="17"/>
      <c r="X959" s="12"/>
      <c r="Y959" s="12"/>
      <c r="Z959" s="12"/>
      <c r="AA959" s="18" t="str">
        <f aca="false">IF(K959&lt;&gt;"ВИРТУАЛЬНЫЙ ВЫБОР","",IF(Z959="✅ ЗАШЛО",W959*(P959-1),IF(Z959="❌ НЕ ЗАШЛО",-W959,IF(Z959="½ ЗАШЛО",W959*(P959-1)/2,IF(Z959="½ НЕ ЗАШЛО",-W959/2,IF(Z959="ВОЗВРАТ",0,""))))))</f>
        <v/>
      </c>
      <c r="AB959" s="18" t="str">
        <f aca="false">IF(AND(K959="ВИРТУАЛЬНЫЙ ВЫБОР",OR(Z959="✅ ЗАШЛО",Z959="❌ НЕ ЗАШЛО",Z959="½ ЗАШЛО",Z959="½ НЕ ЗАШЛО",Z959="ВОЗВРАТ")),W959,"")</f>
        <v/>
      </c>
      <c r="AC959" s="15"/>
      <c r="AD959" s="16" t="str">
        <f aca="false">IF(OR(AC959="",P959=""),"",P959/AC959-1)</f>
        <v/>
      </c>
      <c r="AE959" s="19" t="str">
        <f aca="false">IF(AND(M959=0,OR(Z959="✅ ЗАШЛО",Z959="❌ НЕ ЗАШЛО"),L959&lt;&gt;""),(L959-IF(Z959="✅ ЗАШЛО",1,0))^2,"")</f>
        <v/>
      </c>
      <c r="AF959" s="15"/>
      <c r="AG959" s="15"/>
      <c r="AH959" s="13"/>
      <c r="AI959" s="13"/>
      <c r="AJ959" s="13"/>
      <c r="AK959" s="20" t="str">
        <f aca="false">IF(AH959="","",IF(ABS(AH959+AI959+AJ959-1)&lt;0.000001,"OK","ОШИБКА"))</f>
        <v/>
      </c>
      <c r="AL959" s="13"/>
      <c r="AM959" s="12"/>
      <c r="AN959" s="12"/>
      <c r="AO959" s="12"/>
      <c r="AP959" s="12"/>
      <c r="AQ959" s="18" t="str">
        <f aca="false">IF(A959="","",N(AQ958)+N(AA959))</f>
        <v/>
      </c>
      <c r="AR959" s="18" t="str">
        <f aca="false">IF(AQ959="","",MAX(0,MAX($AQ$8:AQ959))-AQ959)</f>
        <v/>
      </c>
    </row>
    <row r="960" customFormat="false" ht="15" hidden="false" customHeight="fals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3"/>
      <c r="M960" s="13"/>
      <c r="N960" s="13"/>
      <c r="O960" s="14" t="str">
        <f aca="false">IF(OR(L960="",L960=0),"",(1-M960)/L960)</f>
        <v/>
      </c>
      <c r="P960" s="15"/>
      <c r="Q960" s="12"/>
      <c r="R960" s="12"/>
      <c r="S960" s="13"/>
      <c r="T960" s="16" t="str">
        <f aca="false">IF(OR(S960="",L960=""),"",L960/(1-M960)-S960)</f>
        <v/>
      </c>
      <c r="U960" s="16" t="str">
        <f aca="false">IF(OR(L960="",P960=""),"",L960*(P960-1)-N960)</f>
        <v/>
      </c>
      <c r="V960" s="13"/>
      <c r="W960" s="17"/>
      <c r="X960" s="12"/>
      <c r="Y960" s="12"/>
      <c r="Z960" s="12"/>
      <c r="AA960" s="18" t="str">
        <f aca="false">IF(K960&lt;&gt;"ВИРТУАЛЬНЫЙ ВЫБОР","",IF(Z960="✅ ЗАШЛО",W960*(P960-1),IF(Z960="❌ НЕ ЗАШЛО",-W960,IF(Z960="½ ЗАШЛО",W960*(P960-1)/2,IF(Z960="½ НЕ ЗАШЛО",-W960/2,IF(Z960="ВОЗВРАТ",0,""))))))</f>
        <v/>
      </c>
      <c r="AB960" s="18" t="str">
        <f aca="false">IF(AND(K960="ВИРТУАЛЬНЫЙ ВЫБОР",OR(Z960="✅ ЗАШЛО",Z960="❌ НЕ ЗАШЛО",Z960="½ ЗАШЛО",Z960="½ НЕ ЗАШЛО",Z960="ВОЗВРАТ")),W960,"")</f>
        <v/>
      </c>
      <c r="AC960" s="15"/>
      <c r="AD960" s="16" t="str">
        <f aca="false">IF(OR(AC960="",P960=""),"",P960/AC960-1)</f>
        <v/>
      </c>
      <c r="AE960" s="19" t="str">
        <f aca="false">IF(AND(M960=0,OR(Z960="✅ ЗАШЛО",Z960="❌ НЕ ЗАШЛО"),L960&lt;&gt;""),(L960-IF(Z960="✅ ЗАШЛО",1,0))^2,"")</f>
        <v/>
      </c>
      <c r="AF960" s="15"/>
      <c r="AG960" s="15"/>
      <c r="AH960" s="13"/>
      <c r="AI960" s="13"/>
      <c r="AJ960" s="13"/>
      <c r="AK960" s="20" t="str">
        <f aca="false">IF(AH960="","",IF(ABS(AH960+AI960+AJ960-1)&lt;0.000001,"OK","ОШИБКА"))</f>
        <v/>
      </c>
      <c r="AL960" s="13"/>
      <c r="AM960" s="12"/>
      <c r="AN960" s="12"/>
      <c r="AO960" s="12"/>
      <c r="AP960" s="12"/>
      <c r="AQ960" s="18" t="str">
        <f aca="false">IF(A960="","",N(AQ959)+N(AA960))</f>
        <v/>
      </c>
      <c r="AR960" s="18" t="str">
        <f aca="false">IF(AQ960="","",MAX(0,MAX($AQ$8:AQ960))-AQ960)</f>
        <v/>
      </c>
    </row>
    <row r="961" customFormat="false" ht="15" hidden="false" customHeight="fals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3"/>
      <c r="M961" s="13"/>
      <c r="N961" s="13"/>
      <c r="O961" s="14" t="str">
        <f aca="false">IF(OR(L961="",L961=0),"",(1-M961)/L961)</f>
        <v/>
      </c>
      <c r="P961" s="15"/>
      <c r="Q961" s="12"/>
      <c r="R961" s="12"/>
      <c r="S961" s="13"/>
      <c r="T961" s="16" t="str">
        <f aca="false">IF(OR(S961="",L961=""),"",L961/(1-M961)-S961)</f>
        <v/>
      </c>
      <c r="U961" s="16" t="str">
        <f aca="false">IF(OR(L961="",P961=""),"",L961*(P961-1)-N961)</f>
        <v/>
      </c>
      <c r="V961" s="13"/>
      <c r="W961" s="17"/>
      <c r="X961" s="12"/>
      <c r="Y961" s="12"/>
      <c r="Z961" s="12"/>
      <c r="AA961" s="18" t="str">
        <f aca="false">IF(K961&lt;&gt;"ВИРТУАЛЬНЫЙ ВЫБОР","",IF(Z961="✅ ЗАШЛО",W961*(P961-1),IF(Z961="❌ НЕ ЗАШЛО",-W961,IF(Z961="½ ЗАШЛО",W961*(P961-1)/2,IF(Z961="½ НЕ ЗАШЛО",-W961/2,IF(Z961="ВОЗВРАТ",0,""))))))</f>
        <v/>
      </c>
      <c r="AB961" s="18" t="str">
        <f aca="false">IF(AND(K961="ВИРТУАЛЬНЫЙ ВЫБОР",OR(Z961="✅ ЗАШЛО",Z961="❌ НЕ ЗАШЛО",Z961="½ ЗАШЛО",Z961="½ НЕ ЗАШЛО",Z961="ВОЗВРАТ")),W961,"")</f>
        <v/>
      </c>
      <c r="AC961" s="15"/>
      <c r="AD961" s="16" t="str">
        <f aca="false">IF(OR(AC961="",P961=""),"",P961/AC961-1)</f>
        <v/>
      </c>
      <c r="AE961" s="19" t="str">
        <f aca="false">IF(AND(M961=0,OR(Z961="✅ ЗАШЛО",Z961="❌ НЕ ЗАШЛО"),L961&lt;&gt;""),(L961-IF(Z961="✅ ЗАШЛО",1,0))^2,"")</f>
        <v/>
      </c>
      <c r="AF961" s="15"/>
      <c r="AG961" s="15"/>
      <c r="AH961" s="13"/>
      <c r="AI961" s="13"/>
      <c r="AJ961" s="13"/>
      <c r="AK961" s="20" t="str">
        <f aca="false">IF(AH961="","",IF(ABS(AH961+AI961+AJ961-1)&lt;0.000001,"OK","ОШИБКА"))</f>
        <v/>
      </c>
      <c r="AL961" s="13"/>
      <c r="AM961" s="12"/>
      <c r="AN961" s="12"/>
      <c r="AO961" s="12"/>
      <c r="AP961" s="12"/>
      <c r="AQ961" s="18" t="str">
        <f aca="false">IF(A961="","",N(AQ960)+N(AA961))</f>
        <v/>
      </c>
      <c r="AR961" s="18" t="str">
        <f aca="false">IF(AQ961="","",MAX(0,MAX($AQ$8:AQ961))-AQ961)</f>
        <v/>
      </c>
    </row>
    <row r="962" customFormat="false" ht="15" hidden="false" customHeight="fals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3"/>
      <c r="M962" s="13"/>
      <c r="N962" s="13"/>
      <c r="O962" s="14" t="str">
        <f aca="false">IF(OR(L962="",L962=0),"",(1-M962)/L962)</f>
        <v/>
      </c>
      <c r="P962" s="15"/>
      <c r="Q962" s="12"/>
      <c r="R962" s="12"/>
      <c r="S962" s="13"/>
      <c r="T962" s="16" t="str">
        <f aca="false">IF(OR(S962="",L962=""),"",L962/(1-M962)-S962)</f>
        <v/>
      </c>
      <c r="U962" s="16" t="str">
        <f aca="false">IF(OR(L962="",P962=""),"",L962*(P962-1)-N962)</f>
        <v/>
      </c>
      <c r="V962" s="13"/>
      <c r="W962" s="17"/>
      <c r="X962" s="12"/>
      <c r="Y962" s="12"/>
      <c r="Z962" s="12"/>
      <c r="AA962" s="18" t="str">
        <f aca="false">IF(K962&lt;&gt;"ВИРТУАЛЬНЫЙ ВЫБОР","",IF(Z962="✅ ЗАШЛО",W962*(P962-1),IF(Z962="❌ НЕ ЗАШЛО",-W962,IF(Z962="½ ЗАШЛО",W962*(P962-1)/2,IF(Z962="½ НЕ ЗАШЛО",-W962/2,IF(Z962="ВОЗВРАТ",0,""))))))</f>
        <v/>
      </c>
      <c r="AB962" s="18" t="str">
        <f aca="false">IF(AND(K962="ВИРТУАЛЬНЫЙ ВЫБОР",OR(Z962="✅ ЗАШЛО",Z962="❌ НЕ ЗАШЛО",Z962="½ ЗАШЛО",Z962="½ НЕ ЗАШЛО",Z962="ВОЗВРАТ")),W962,"")</f>
        <v/>
      </c>
      <c r="AC962" s="15"/>
      <c r="AD962" s="16" t="str">
        <f aca="false">IF(OR(AC962="",P962=""),"",P962/AC962-1)</f>
        <v/>
      </c>
      <c r="AE962" s="19" t="str">
        <f aca="false">IF(AND(M962=0,OR(Z962="✅ ЗАШЛО",Z962="❌ НЕ ЗАШЛО"),L962&lt;&gt;""),(L962-IF(Z962="✅ ЗАШЛО",1,0))^2,"")</f>
        <v/>
      </c>
      <c r="AF962" s="15"/>
      <c r="AG962" s="15"/>
      <c r="AH962" s="13"/>
      <c r="AI962" s="13"/>
      <c r="AJ962" s="13"/>
      <c r="AK962" s="20" t="str">
        <f aca="false">IF(AH962="","",IF(ABS(AH962+AI962+AJ962-1)&lt;0.000001,"OK","ОШИБКА"))</f>
        <v/>
      </c>
      <c r="AL962" s="13"/>
      <c r="AM962" s="12"/>
      <c r="AN962" s="12"/>
      <c r="AO962" s="12"/>
      <c r="AP962" s="12"/>
      <c r="AQ962" s="18" t="str">
        <f aca="false">IF(A962="","",N(AQ961)+N(AA962))</f>
        <v/>
      </c>
      <c r="AR962" s="18" t="str">
        <f aca="false">IF(AQ962="","",MAX(0,MAX($AQ$8:AQ962))-AQ962)</f>
        <v/>
      </c>
    </row>
    <row r="963" customFormat="false" ht="15" hidden="false" customHeight="fals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3"/>
      <c r="M963" s="13"/>
      <c r="N963" s="13"/>
      <c r="O963" s="14" t="str">
        <f aca="false">IF(OR(L963="",L963=0),"",(1-M963)/L963)</f>
        <v/>
      </c>
      <c r="P963" s="15"/>
      <c r="Q963" s="12"/>
      <c r="R963" s="12"/>
      <c r="S963" s="13"/>
      <c r="T963" s="16" t="str">
        <f aca="false">IF(OR(S963="",L963=""),"",L963/(1-M963)-S963)</f>
        <v/>
      </c>
      <c r="U963" s="16" t="str">
        <f aca="false">IF(OR(L963="",P963=""),"",L963*(P963-1)-N963)</f>
        <v/>
      </c>
      <c r="V963" s="13"/>
      <c r="W963" s="17"/>
      <c r="X963" s="12"/>
      <c r="Y963" s="12"/>
      <c r="Z963" s="12"/>
      <c r="AA963" s="18" t="str">
        <f aca="false">IF(K963&lt;&gt;"ВИРТУАЛЬНЫЙ ВЫБОР","",IF(Z963="✅ ЗАШЛО",W963*(P963-1),IF(Z963="❌ НЕ ЗАШЛО",-W963,IF(Z963="½ ЗАШЛО",W963*(P963-1)/2,IF(Z963="½ НЕ ЗАШЛО",-W963/2,IF(Z963="ВОЗВРАТ",0,""))))))</f>
        <v/>
      </c>
      <c r="AB963" s="18" t="str">
        <f aca="false">IF(AND(K963="ВИРТУАЛЬНЫЙ ВЫБОР",OR(Z963="✅ ЗАШЛО",Z963="❌ НЕ ЗАШЛО",Z963="½ ЗАШЛО",Z963="½ НЕ ЗАШЛО",Z963="ВОЗВРАТ")),W963,"")</f>
        <v/>
      </c>
      <c r="AC963" s="15"/>
      <c r="AD963" s="16" t="str">
        <f aca="false">IF(OR(AC963="",P963=""),"",P963/AC963-1)</f>
        <v/>
      </c>
      <c r="AE963" s="19" t="str">
        <f aca="false">IF(AND(M963=0,OR(Z963="✅ ЗАШЛО",Z963="❌ НЕ ЗАШЛО"),L963&lt;&gt;""),(L963-IF(Z963="✅ ЗАШЛО",1,0))^2,"")</f>
        <v/>
      </c>
      <c r="AF963" s="15"/>
      <c r="AG963" s="15"/>
      <c r="AH963" s="13"/>
      <c r="AI963" s="13"/>
      <c r="AJ963" s="13"/>
      <c r="AK963" s="20" t="str">
        <f aca="false">IF(AH963="","",IF(ABS(AH963+AI963+AJ963-1)&lt;0.000001,"OK","ОШИБКА"))</f>
        <v/>
      </c>
      <c r="AL963" s="13"/>
      <c r="AM963" s="12"/>
      <c r="AN963" s="12"/>
      <c r="AO963" s="12"/>
      <c r="AP963" s="12"/>
      <c r="AQ963" s="18" t="str">
        <f aca="false">IF(A963="","",N(AQ962)+N(AA963))</f>
        <v/>
      </c>
      <c r="AR963" s="18" t="str">
        <f aca="false">IF(AQ963="","",MAX(0,MAX($AQ$8:AQ963))-AQ963)</f>
        <v/>
      </c>
    </row>
    <row r="964" customFormat="false" ht="15" hidden="false" customHeight="fals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3"/>
      <c r="M964" s="13"/>
      <c r="N964" s="13"/>
      <c r="O964" s="14" t="str">
        <f aca="false">IF(OR(L964="",L964=0),"",(1-M964)/L964)</f>
        <v/>
      </c>
      <c r="P964" s="15"/>
      <c r="Q964" s="12"/>
      <c r="R964" s="12"/>
      <c r="S964" s="13"/>
      <c r="T964" s="16" t="str">
        <f aca="false">IF(OR(S964="",L964=""),"",L964/(1-M964)-S964)</f>
        <v/>
      </c>
      <c r="U964" s="16" t="str">
        <f aca="false">IF(OR(L964="",P964=""),"",L964*(P964-1)-N964)</f>
        <v/>
      </c>
      <c r="V964" s="13"/>
      <c r="W964" s="17"/>
      <c r="X964" s="12"/>
      <c r="Y964" s="12"/>
      <c r="Z964" s="12"/>
      <c r="AA964" s="18" t="str">
        <f aca="false">IF(K964&lt;&gt;"ВИРТУАЛЬНЫЙ ВЫБОР","",IF(Z964="✅ ЗАШЛО",W964*(P964-1),IF(Z964="❌ НЕ ЗАШЛО",-W964,IF(Z964="½ ЗАШЛО",W964*(P964-1)/2,IF(Z964="½ НЕ ЗАШЛО",-W964/2,IF(Z964="ВОЗВРАТ",0,""))))))</f>
        <v/>
      </c>
      <c r="AB964" s="18" t="str">
        <f aca="false">IF(AND(K964="ВИРТУАЛЬНЫЙ ВЫБОР",OR(Z964="✅ ЗАШЛО",Z964="❌ НЕ ЗАШЛО",Z964="½ ЗАШЛО",Z964="½ НЕ ЗАШЛО",Z964="ВОЗВРАТ")),W964,"")</f>
        <v/>
      </c>
      <c r="AC964" s="15"/>
      <c r="AD964" s="16" t="str">
        <f aca="false">IF(OR(AC964="",P964=""),"",P964/AC964-1)</f>
        <v/>
      </c>
      <c r="AE964" s="19" t="str">
        <f aca="false">IF(AND(M964=0,OR(Z964="✅ ЗАШЛО",Z964="❌ НЕ ЗАШЛО"),L964&lt;&gt;""),(L964-IF(Z964="✅ ЗАШЛО",1,0))^2,"")</f>
        <v/>
      </c>
      <c r="AF964" s="15"/>
      <c r="AG964" s="15"/>
      <c r="AH964" s="13"/>
      <c r="AI964" s="13"/>
      <c r="AJ964" s="13"/>
      <c r="AK964" s="20" t="str">
        <f aca="false">IF(AH964="","",IF(ABS(AH964+AI964+AJ964-1)&lt;0.000001,"OK","ОШИБКА"))</f>
        <v/>
      </c>
      <c r="AL964" s="13"/>
      <c r="AM964" s="12"/>
      <c r="AN964" s="12"/>
      <c r="AO964" s="12"/>
      <c r="AP964" s="12"/>
      <c r="AQ964" s="18" t="str">
        <f aca="false">IF(A964="","",N(AQ963)+N(AA964))</f>
        <v/>
      </c>
      <c r="AR964" s="18" t="str">
        <f aca="false">IF(AQ964="","",MAX(0,MAX($AQ$8:AQ964))-AQ964)</f>
        <v/>
      </c>
    </row>
    <row r="965" customFormat="false" ht="15" hidden="false" customHeight="fals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3"/>
      <c r="M965" s="13"/>
      <c r="N965" s="13"/>
      <c r="O965" s="14" t="str">
        <f aca="false">IF(OR(L965="",L965=0),"",(1-M965)/L965)</f>
        <v/>
      </c>
      <c r="P965" s="15"/>
      <c r="Q965" s="12"/>
      <c r="R965" s="12"/>
      <c r="S965" s="13"/>
      <c r="T965" s="16" t="str">
        <f aca="false">IF(OR(S965="",L965=""),"",L965/(1-M965)-S965)</f>
        <v/>
      </c>
      <c r="U965" s="16" t="str">
        <f aca="false">IF(OR(L965="",P965=""),"",L965*(P965-1)-N965)</f>
        <v/>
      </c>
      <c r="V965" s="13"/>
      <c r="W965" s="17"/>
      <c r="X965" s="12"/>
      <c r="Y965" s="12"/>
      <c r="Z965" s="12"/>
      <c r="AA965" s="18" t="str">
        <f aca="false">IF(K965&lt;&gt;"ВИРТУАЛЬНЫЙ ВЫБОР","",IF(Z965="✅ ЗАШЛО",W965*(P965-1),IF(Z965="❌ НЕ ЗАШЛО",-W965,IF(Z965="½ ЗАШЛО",W965*(P965-1)/2,IF(Z965="½ НЕ ЗАШЛО",-W965/2,IF(Z965="ВОЗВРАТ",0,""))))))</f>
        <v/>
      </c>
      <c r="AB965" s="18" t="str">
        <f aca="false">IF(AND(K965="ВИРТУАЛЬНЫЙ ВЫБОР",OR(Z965="✅ ЗАШЛО",Z965="❌ НЕ ЗАШЛО",Z965="½ ЗАШЛО",Z965="½ НЕ ЗАШЛО",Z965="ВОЗВРАТ")),W965,"")</f>
        <v/>
      </c>
      <c r="AC965" s="15"/>
      <c r="AD965" s="16" t="str">
        <f aca="false">IF(OR(AC965="",P965=""),"",P965/AC965-1)</f>
        <v/>
      </c>
      <c r="AE965" s="19" t="str">
        <f aca="false">IF(AND(M965=0,OR(Z965="✅ ЗАШЛО",Z965="❌ НЕ ЗАШЛО"),L965&lt;&gt;""),(L965-IF(Z965="✅ ЗАШЛО",1,0))^2,"")</f>
        <v/>
      </c>
      <c r="AF965" s="15"/>
      <c r="AG965" s="15"/>
      <c r="AH965" s="13"/>
      <c r="AI965" s="13"/>
      <c r="AJ965" s="13"/>
      <c r="AK965" s="20" t="str">
        <f aca="false">IF(AH965="","",IF(ABS(AH965+AI965+AJ965-1)&lt;0.000001,"OK","ОШИБКА"))</f>
        <v/>
      </c>
      <c r="AL965" s="13"/>
      <c r="AM965" s="12"/>
      <c r="AN965" s="12"/>
      <c r="AO965" s="12"/>
      <c r="AP965" s="12"/>
      <c r="AQ965" s="18" t="str">
        <f aca="false">IF(A965="","",N(AQ964)+N(AA965))</f>
        <v/>
      </c>
      <c r="AR965" s="18" t="str">
        <f aca="false">IF(AQ965="","",MAX(0,MAX($AQ$8:AQ965))-AQ965)</f>
        <v/>
      </c>
    </row>
    <row r="966" customFormat="false" ht="15" hidden="false" customHeight="fals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3"/>
      <c r="M966" s="13"/>
      <c r="N966" s="13"/>
      <c r="O966" s="14" t="str">
        <f aca="false">IF(OR(L966="",L966=0),"",(1-M966)/L966)</f>
        <v/>
      </c>
      <c r="P966" s="15"/>
      <c r="Q966" s="12"/>
      <c r="R966" s="12"/>
      <c r="S966" s="13"/>
      <c r="T966" s="16" t="str">
        <f aca="false">IF(OR(S966="",L966=""),"",L966/(1-M966)-S966)</f>
        <v/>
      </c>
      <c r="U966" s="16" t="str">
        <f aca="false">IF(OR(L966="",P966=""),"",L966*(P966-1)-N966)</f>
        <v/>
      </c>
      <c r="V966" s="13"/>
      <c r="W966" s="17"/>
      <c r="X966" s="12"/>
      <c r="Y966" s="12"/>
      <c r="Z966" s="12"/>
      <c r="AA966" s="18" t="str">
        <f aca="false">IF(K966&lt;&gt;"ВИРТУАЛЬНЫЙ ВЫБОР","",IF(Z966="✅ ЗАШЛО",W966*(P966-1),IF(Z966="❌ НЕ ЗАШЛО",-W966,IF(Z966="½ ЗАШЛО",W966*(P966-1)/2,IF(Z966="½ НЕ ЗАШЛО",-W966/2,IF(Z966="ВОЗВРАТ",0,""))))))</f>
        <v/>
      </c>
      <c r="AB966" s="18" t="str">
        <f aca="false">IF(AND(K966="ВИРТУАЛЬНЫЙ ВЫБОР",OR(Z966="✅ ЗАШЛО",Z966="❌ НЕ ЗАШЛО",Z966="½ ЗАШЛО",Z966="½ НЕ ЗАШЛО",Z966="ВОЗВРАТ")),W966,"")</f>
        <v/>
      </c>
      <c r="AC966" s="15"/>
      <c r="AD966" s="16" t="str">
        <f aca="false">IF(OR(AC966="",P966=""),"",P966/AC966-1)</f>
        <v/>
      </c>
      <c r="AE966" s="19" t="str">
        <f aca="false">IF(AND(M966=0,OR(Z966="✅ ЗАШЛО",Z966="❌ НЕ ЗАШЛО"),L966&lt;&gt;""),(L966-IF(Z966="✅ ЗАШЛО",1,0))^2,"")</f>
        <v/>
      </c>
      <c r="AF966" s="15"/>
      <c r="AG966" s="15"/>
      <c r="AH966" s="13"/>
      <c r="AI966" s="13"/>
      <c r="AJ966" s="13"/>
      <c r="AK966" s="20" t="str">
        <f aca="false">IF(AH966="","",IF(ABS(AH966+AI966+AJ966-1)&lt;0.000001,"OK","ОШИБКА"))</f>
        <v/>
      </c>
      <c r="AL966" s="13"/>
      <c r="AM966" s="12"/>
      <c r="AN966" s="12"/>
      <c r="AO966" s="12"/>
      <c r="AP966" s="12"/>
      <c r="AQ966" s="18" t="str">
        <f aca="false">IF(A966="","",N(AQ965)+N(AA966))</f>
        <v/>
      </c>
      <c r="AR966" s="18" t="str">
        <f aca="false">IF(AQ966="","",MAX(0,MAX($AQ$8:AQ966))-AQ966)</f>
        <v/>
      </c>
    </row>
    <row r="967" customFormat="false" ht="15" hidden="false" customHeight="fals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3"/>
      <c r="M967" s="13"/>
      <c r="N967" s="13"/>
      <c r="O967" s="14" t="str">
        <f aca="false">IF(OR(L967="",L967=0),"",(1-M967)/L967)</f>
        <v/>
      </c>
      <c r="P967" s="15"/>
      <c r="Q967" s="12"/>
      <c r="R967" s="12"/>
      <c r="S967" s="13"/>
      <c r="T967" s="16" t="str">
        <f aca="false">IF(OR(S967="",L967=""),"",L967/(1-M967)-S967)</f>
        <v/>
      </c>
      <c r="U967" s="16" t="str">
        <f aca="false">IF(OR(L967="",P967=""),"",L967*(P967-1)-N967)</f>
        <v/>
      </c>
      <c r="V967" s="13"/>
      <c r="W967" s="17"/>
      <c r="X967" s="12"/>
      <c r="Y967" s="12"/>
      <c r="Z967" s="12"/>
      <c r="AA967" s="18" t="str">
        <f aca="false">IF(K967&lt;&gt;"ВИРТУАЛЬНЫЙ ВЫБОР","",IF(Z967="✅ ЗАШЛО",W967*(P967-1),IF(Z967="❌ НЕ ЗАШЛО",-W967,IF(Z967="½ ЗАШЛО",W967*(P967-1)/2,IF(Z967="½ НЕ ЗАШЛО",-W967/2,IF(Z967="ВОЗВРАТ",0,""))))))</f>
        <v/>
      </c>
      <c r="AB967" s="18" t="str">
        <f aca="false">IF(AND(K967="ВИРТУАЛЬНЫЙ ВЫБОР",OR(Z967="✅ ЗАШЛО",Z967="❌ НЕ ЗАШЛО",Z967="½ ЗАШЛО",Z967="½ НЕ ЗАШЛО",Z967="ВОЗВРАТ")),W967,"")</f>
        <v/>
      </c>
      <c r="AC967" s="15"/>
      <c r="AD967" s="16" t="str">
        <f aca="false">IF(OR(AC967="",P967=""),"",P967/AC967-1)</f>
        <v/>
      </c>
      <c r="AE967" s="19" t="str">
        <f aca="false">IF(AND(M967=0,OR(Z967="✅ ЗАШЛО",Z967="❌ НЕ ЗАШЛО"),L967&lt;&gt;""),(L967-IF(Z967="✅ ЗАШЛО",1,0))^2,"")</f>
        <v/>
      </c>
      <c r="AF967" s="15"/>
      <c r="AG967" s="15"/>
      <c r="AH967" s="13"/>
      <c r="AI967" s="13"/>
      <c r="AJ967" s="13"/>
      <c r="AK967" s="20" t="str">
        <f aca="false">IF(AH967="","",IF(ABS(AH967+AI967+AJ967-1)&lt;0.000001,"OK","ОШИБКА"))</f>
        <v/>
      </c>
      <c r="AL967" s="13"/>
      <c r="AM967" s="12"/>
      <c r="AN967" s="12"/>
      <c r="AO967" s="12"/>
      <c r="AP967" s="12"/>
      <c r="AQ967" s="18" t="str">
        <f aca="false">IF(A967="","",N(AQ966)+N(AA967))</f>
        <v/>
      </c>
      <c r="AR967" s="18" t="str">
        <f aca="false">IF(AQ967="","",MAX(0,MAX($AQ$8:AQ967))-AQ967)</f>
        <v/>
      </c>
    </row>
    <row r="968" customFormat="false" ht="15" hidden="false" customHeight="fals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3"/>
      <c r="M968" s="13"/>
      <c r="N968" s="13"/>
      <c r="O968" s="14" t="str">
        <f aca="false">IF(OR(L968="",L968=0),"",(1-M968)/L968)</f>
        <v/>
      </c>
      <c r="P968" s="15"/>
      <c r="Q968" s="12"/>
      <c r="R968" s="12"/>
      <c r="S968" s="13"/>
      <c r="T968" s="16" t="str">
        <f aca="false">IF(OR(S968="",L968=""),"",L968/(1-M968)-S968)</f>
        <v/>
      </c>
      <c r="U968" s="16" t="str">
        <f aca="false">IF(OR(L968="",P968=""),"",L968*(P968-1)-N968)</f>
        <v/>
      </c>
      <c r="V968" s="13"/>
      <c r="W968" s="17"/>
      <c r="X968" s="12"/>
      <c r="Y968" s="12"/>
      <c r="Z968" s="12"/>
      <c r="AA968" s="18" t="str">
        <f aca="false">IF(K968&lt;&gt;"ВИРТУАЛЬНЫЙ ВЫБОР","",IF(Z968="✅ ЗАШЛО",W968*(P968-1),IF(Z968="❌ НЕ ЗАШЛО",-W968,IF(Z968="½ ЗАШЛО",W968*(P968-1)/2,IF(Z968="½ НЕ ЗАШЛО",-W968/2,IF(Z968="ВОЗВРАТ",0,""))))))</f>
        <v/>
      </c>
      <c r="AB968" s="18" t="str">
        <f aca="false">IF(AND(K968="ВИРТУАЛЬНЫЙ ВЫБОР",OR(Z968="✅ ЗАШЛО",Z968="❌ НЕ ЗАШЛО",Z968="½ ЗАШЛО",Z968="½ НЕ ЗАШЛО",Z968="ВОЗВРАТ")),W968,"")</f>
        <v/>
      </c>
      <c r="AC968" s="15"/>
      <c r="AD968" s="16" t="str">
        <f aca="false">IF(OR(AC968="",P968=""),"",P968/AC968-1)</f>
        <v/>
      </c>
      <c r="AE968" s="19" t="str">
        <f aca="false">IF(AND(M968=0,OR(Z968="✅ ЗАШЛО",Z968="❌ НЕ ЗАШЛО"),L968&lt;&gt;""),(L968-IF(Z968="✅ ЗАШЛО",1,0))^2,"")</f>
        <v/>
      </c>
      <c r="AF968" s="15"/>
      <c r="AG968" s="15"/>
      <c r="AH968" s="13"/>
      <c r="AI968" s="13"/>
      <c r="AJ968" s="13"/>
      <c r="AK968" s="20" t="str">
        <f aca="false">IF(AH968="","",IF(ABS(AH968+AI968+AJ968-1)&lt;0.000001,"OK","ОШИБКА"))</f>
        <v/>
      </c>
      <c r="AL968" s="13"/>
      <c r="AM968" s="12"/>
      <c r="AN968" s="12"/>
      <c r="AO968" s="12"/>
      <c r="AP968" s="12"/>
      <c r="AQ968" s="18" t="str">
        <f aca="false">IF(A968="","",N(AQ967)+N(AA968))</f>
        <v/>
      </c>
      <c r="AR968" s="18" t="str">
        <f aca="false">IF(AQ968="","",MAX(0,MAX($AQ$8:AQ968))-AQ968)</f>
        <v/>
      </c>
    </row>
    <row r="969" customFormat="false" ht="15" hidden="false" customHeight="fals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3"/>
      <c r="M969" s="13"/>
      <c r="N969" s="13"/>
      <c r="O969" s="14" t="str">
        <f aca="false">IF(OR(L969="",L969=0),"",(1-M969)/L969)</f>
        <v/>
      </c>
      <c r="P969" s="15"/>
      <c r="Q969" s="12"/>
      <c r="R969" s="12"/>
      <c r="S969" s="13"/>
      <c r="T969" s="16" t="str">
        <f aca="false">IF(OR(S969="",L969=""),"",L969/(1-M969)-S969)</f>
        <v/>
      </c>
      <c r="U969" s="16" t="str">
        <f aca="false">IF(OR(L969="",P969=""),"",L969*(P969-1)-N969)</f>
        <v/>
      </c>
      <c r="V969" s="13"/>
      <c r="W969" s="17"/>
      <c r="X969" s="12"/>
      <c r="Y969" s="12"/>
      <c r="Z969" s="12"/>
      <c r="AA969" s="18" t="str">
        <f aca="false">IF(K969&lt;&gt;"ВИРТУАЛЬНЫЙ ВЫБОР","",IF(Z969="✅ ЗАШЛО",W969*(P969-1),IF(Z969="❌ НЕ ЗАШЛО",-W969,IF(Z969="½ ЗАШЛО",W969*(P969-1)/2,IF(Z969="½ НЕ ЗАШЛО",-W969/2,IF(Z969="ВОЗВРАТ",0,""))))))</f>
        <v/>
      </c>
      <c r="AB969" s="18" t="str">
        <f aca="false">IF(AND(K969="ВИРТУАЛЬНЫЙ ВЫБОР",OR(Z969="✅ ЗАШЛО",Z969="❌ НЕ ЗАШЛО",Z969="½ ЗАШЛО",Z969="½ НЕ ЗАШЛО",Z969="ВОЗВРАТ")),W969,"")</f>
        <v/>
      </c>
      <c r="AC969" s="15"/>
      <c r="AD969" s="16" t="str">
        <f aca="false">IF(OR(AC969="",P969=""),"",P969/AC969-1)</f>
        <v/>
      </c>
      <c r="AE969" s="19" t="str">
        <f aca="false">IF(AND(M969=0,OR(Z969="✅ ЗАШЛО",Z969="❌ НЕ ЗАШЛО"),L969&lt;&gt;""),(L969-IF(Z969="✅ ЗАШЛО",1,0))^2,"")</f>
        <v/>
      </c>
      <c r="AF969" s="15"/>
      <c r="AG969" s="15"/>
      <c r="AH969" s="13"/>
      <c r="AI969" s="13"/>
      <c r="AJ969" s="13"/>
      <c r="AK969" s="20" t="str">
        <f aca="false">IF(AH969="","",IF(ABS(AH969+AI969+AJ969-1)&lt;0.000001,"OK","ОШИБКА"))</f>
        <v/>
      </c>
      <c r="AL969" s="13"/>
      <c r="AM969" s="12"/>
      <c r="AN969" s="12"/>
      <c r="AO969" s="12"/>
      <c r="AP969" s="12"/>
      <c r="AQ969" s="18" t="str">
        <f aca="false">IF(A969="","",N(AQ968)+N(AA969))</f>
        <v/>
      </c>
      <c r="AR969" s="18" t="str">
        <f aca="false">IF(AQ969="","",MAX(0,MAX($AQ$8:AQ969))-AQ969)</f>
        <v/>
      </c>
    </row>
    <row r="970" customFormat="false" ht="15" hidden="false" customHeight="fals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3"/>
      <c r="M970" s="13"/>
      <c r="N970" s="13"/>
      <c r="O970" s="14" t="str">
        <f aca="false">IF(OR(L970="",L970=0),"",(1-M970)/L970)</f>
        <v/>
      </c>
      <c r="P970" s="15"/>
      <c r="Q970" s="12"/>
      <c r="R970" s="12"/>
      <c r="S970" s="13"/>
      <c r="T970" s="16" t="str">
        <f aca="false">IF(OR(S970="",L970=""),"",L970/(1-M970)-S970)</f>
        <v/>
      </c>
      <c r="U970" s="16" t="str">
        <f aca="false">IF(OR(L970="",P970=""),"",L970*(P970-1)-N970)</f>
        <v/>
      </c>
      <c r="V970" s="13"/>
      <c r="W970" s="17"/>
      <c r="X970" s="12"/>
      <c r="Y970" s="12"/>
      <c r="Z970" s="12"/>
      <c r="AA970" s="18" t="str">
        <f aca="false">IF(K970&lt;&gt;"ВИРТУАЛЬНЫЙ ВЫБОР","",IF(Z970="✅ ЗАШЛО",W970*(P970-1),IF(Z970="❌ НЕ ЗАШЛО",-W970,IF(Z970="½ ЗАШЛО",W970*(P970-1)/2,IF(Z970="½ НЕ ЗАШЛО",-W970/2,IF(Z970="ВОЗВРАТ",0,""))))))</f>
        <v/>
      </c>
      <c r="AB970" s="18" t="str">
        <f aca="false">IF(AND(K970="ВИРТУАЛЬНЫЙ ВЫБОР",OR(Z970="✅ ЗАШЛО",Z970="❌ НЕ ЗАШЛО",Z970="½ ЗАШЛО",Z970="½ НЕ ЗАШЛО",Z970="ВОЗВРАТ")),W970,"")</f>
        <v/>
      </c>
      <c r="AC970" s="15"/>
      <c r="AD970" s="16" t="str">
        <f aca="false">IF(OR(AC970="",P970=""),"",P970/AC970-1)</f>
        <v/>
      </c>
      <c r="AE970" s="19" t="str">
        <f aca="false">IF(AND(M970=0,OR(Z970="✅ ЗАШЛО",Z970="❌ НЕ ЗАШЛО"),L970&lt;&gt;""),(L970-IF(Z970="✅ ЗАШЛО",1,0))^2,"")</f>
        <v/>
      </c>
      <c r="AF970" s="15"/>
      <c r="AG970" s="15"/>
      <c r="AH970" s="13"/>
      <c r="AI970" s="13"/>
      <c r="AJ970" s="13"/>
      <c r="AK970" s="20" t="str">
        <f aca="false">IF(AH970="","",IF(ABS(AH970+AI970+AJ970-1)&lt;0.000001,"OK","ОШИБКА"))</f>
        <v/>
      </c>
      <c r="AL970" s="13"/>
      <c r="AM970" s="12"/>
      <c r="AN970" s="12"/>
      <c r="AO970" s="12"/>
      <c r="AP970" s="12"/>
      <c r="AQ970" s="18" t="str">
        <f aca="false">IF(A970="","",N(AQ969)+N(AA970))</f>
        <v/>
      </c>
      <c r="AR970" s="18" t="str">
        <f aca="false">IF(AQ970="","",MAX(0,MAX($AQ$8:AQ970))-AQ970)</f>
        <v/>
      </c>
    </row>
    <row r="971" customFormat="false" ht="15" hidden="false" customHeight="fals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3"/>
      <c r="M971" s="13"/>
      <c r="N971" s="13"/>
      <c r="O971" s="14" t="str">
        <f aca="false">IF(OR(L971="",L971=0),"",(1-M971)/L971)</f>
        <v/>
      </c>
      <c r="P971" s="15"/>
      <c r="Q971" s="12"/>
      <c r="R971" s="12"/>
      <c r="S971" s="13"/>
      <c r="T971" s="16" t="str">
        <f aca="false">IF(OR(S971="",L971=""),"",L971/(1-M971)-S971)</f>
        <v/>
      </c>
      <c r="U971" s="16" t="str">
        <f aca="false">IF(OR(L971="",P971=""),"",L971*(P971-1)-N971)</f>
        <v/>
      </c>
      <c r="V971" s="13"/>
      <c r="W971" s="17"/>
      <c r="X971" s="12"/>
      <c r="Y971" s="12"/>
      <c r="Z971" s="12"/>
      <c r="AA971" s="18" t="str">
        <f aca="false">IF(K971&lt;&gt;"ВИРТУАЛЬНЫЙ ВЫБОР","",IF(Z971="✅ ЗАШЛО",W971*(P971-1),IF(Z971="❌ НЕ ЗАШЛО",-W971,IF(Z971="½ ЗАШЛО",W971*(P971-1)/2,IF(Z971="½ НЕ ЗАШЛО",-W971/2,IF(Z971="ВОЗВРАТ",0,""))))))</f>
        <v/>
      </c>
      <c r="AB971" s="18" t="str">
        <f aca="false">IF(AND(K971="ВИРТУАЛЬНЫЙ ВЫБОР",OR(Z971="✅ ЗАШЛО",Z971="❌ НЕ ЗАШЛО",Z971="½ ЗАШЛО",Z971="½ НЕ ЗАШЛО",Z971="ВОЗВРАТ")),W971,"")</f>
        <v/>
      </c>
      <c r="AC971" s="15"/>
      <c r="AD971" s="16" t="str">
        <f aca="false">IF(OR(AC971="",P971=""),"",P971/AC971-1)</f>
        <v/>
      </c>
      <c r="AE971" s="19" t="str">
        <f aca="false">IF(AND(M971=0,OR(Z971="✅ ЗАШЛО",Z971="❌ НЕ ЗАШЛО"),L971&lt;&gt;""),(L971-IF(Z971="✅ ЗАШЛО",1,0))^2,"")</f>
        <v/>
      </c>
      <c r="AF971" s="15"/>
      <c r="AG971" s="15"/>
      <c r="AH971" s="13"/>
      <c r="AI971" s="13"/>
      <c r="AJ971" s="13"/>
      <c r="AK971" s="20" t="str">
        <f aca="false">IF(AH971="","",IF(ABS(AH971+AI971+AJ971-1)&lt;0.000001,"OK","ОШИБКА"))</f>
        <v/>
      </c>
      <c r="AL971" s="13"/>
      <c r="AM971" s="12"/>
      <c r="AN971" s="12"/>
      <c r="AO971" s="12"/>
      <c r="AP971" s="12"/>
      <c r="AQ971" s="18" t="str">
        <f aca="false">IF(A971="","",N(AQ970)+N(AA971))</f>
        <v/>
      </c>
      <c r="AR971" s="18" t="str">
        <f aca="false">IF(AQ971="","",MAX(0,MAX($AQ$8:AQ971))-AQ971)</f>
        <v/>
      </c>
    </row>
    <row r="972" customFormat="false" ht="15" hidden="false" customHeight="fals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3"/>
      <c r="M972" s="13"/>
      <c r="N972" s="13"/>
      <c r="O972" s="14" t="str">
        <f aca="false">IF(OR(L972="",L972=0),"",(1-M972)/L972)</f>
        <v/>
      </c>
      <c r="P972" s="15"/>
      <c r="Q972" s="12"/>
      <c r="R972" s="12"/>
      <c r="S972" s="13"/>
      <c r="T972" s="16" t="str">
        <f aca="false">IF(OR(S972="",L972=""),"",L972/(1-M972)-S972)</f>
        <v/>
      </c>
      <c r="U972" s="16" t="str">
        <f aca="false">IF(OR(L972="",P972=""),"",L972*(P972-1)-N972)</f>
        <v/>
      </c>
      <c r="V972" s="13"/>
      <c r="W972" s="17"/>
      <c r="X972" s="12"/>
      <c r="Y972" s="12"/>
      <c r="Z972" s="12"/>
      <c r="AA972" s="18" t="str">
        <f aca="false">IF(K972&lt;&gt;"ВИРТУАЛЬНЫЙ ВЫБОР","",IF(Z972="✅ ЗАШЛО",W972*(P972-1),IF(Z972="❌ НЕ ЗАШЛО",-W972,IF(Z972="½ ЗАШЛО",W972*(P972-1)/2,IF(Z972="½ НЕ ЗАШЛО",-W972/2,IF(Z972="ВОЗВРАТ",0,""))))))</f>
        <v/>
      </c>
      <c r="AB972" s="18" t="str">
        <f aca="false">IF(AND(K972="ВИРТУАЛЬНЫЙ ВЫБОР",OR(Z972="✅ ЗАШЛО",Z972="❌ НЕ ЗАШЛО",Z972="½ ЗАШЛО",Z972="½ НЕ ЗАШЛО",Z972="ВОЗВРАТ")),W972,"")</f>
        <v/>
      </c>
      <c r="AC972" s="15"/>
      <c r="AD972" s="16" t="str">
        <f aca="false">IF(OR(AC972="",P972=""),"",P972/AC972-1)</f>
        <v/>
      </c>
      <c r="AE972" s="19" t="str">
        <f aca="false">IF(AND(M972=0,OR(Z972="✅ ЗАШЛО",Z972="❌ НЕ ЗАШЛО"),L972&lt;&gt;""),(L972-IF(Z972="✅ ЗАШЛО",1,0))^2,"")</f>
        <v/>
      </c>
      <c r="AF972" s="15"/>
      <c r="AG972" s="15"/>
      <c r="AH972" s="13"/>
      <c r="AI972" s="13"/>
      <c r="AJ972" s="13"/>
      <c r="AK972" s="20" t="str">
        <f aca="false">IF(AH972="","",IF(ABS(AH972+AI972+AJ972-1)&lt;0.000001,"OK","ОШИБКА"))</f>
        <v/>
      </c>
      <c r="AL972" s="13"/>
      <c r="AM972" s="12"/>
      <c r="AN972" s="12"/>
      <c r="AO972" s="12"/>
      <c r="AP972" s="12"/>
      <c r="AQ972" s="18" t="str">
        <f aca="false">IF(A972="","",N(AQ971)+N(AA972))</f>
        <v/>
      </c>
      <c r="AR972" s="18" t="str">
        <f aca="false">IF(AQ972="","",MAX(0,MAX($AQ$8:AQ972))-AQ972)</f>
        <v/>
      </c>
    </row>
    <row r="973" customFormat="false" ht="15" hidden="false" customHeight="fals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3"/>
      <c r="M973" s="13"/>
      <c r="N973" s="13"/>
      <c r="O973" s="14" t="str">
        <f aca="false">IF(OR(L973="",L973=0),"",(1-M973)/L973)</f>
        <v/>
      </c>
      <c r="P973" s="15"/>
      <c r="Q973" s="12"/>
      <c r="R973" s="12"/>
      <c r="S973" s="13"/>
      <c r="T973" s="16" t="str">
        <f aca="false">IF(OR(S973="",L973=""),"",L973/(1-M973)-S973)</f>
        <v/>
      </c>
      <c r="U973" s="16" t="str">
        <f aca="false">IF(OR(L973="",P973=""),"",L973*(P973-1)-N973)</f>
        <v/>
      </c>
      <c r="V973" s="13"/>
      <c r="W973" s="17"/>
      <c r="X973" s="12"/>
      <c r="Y973" s="12"/>
      <c r="Z973" s="12"/>
      <c r="AA973" s="18" t="str">
        <f aca="false">IF(K973&lt;&gt;"ВИРТУАЛЬНЫЙ ВЫБОР","",IF(Z973="✅ ЗАШЛО",W973*(P973-1),IF(Z973="❌ НЕ ЗАШЛО",-W973,IF(Z973="½ ЗАШЛО",W973*(P973-1)/2,IF(Z973="½ НЕ ЗАШЛО",-W973/2,IF(Z973="ВОЗВРАТ",0,""))))))</f>
        <v/>
      </c>
      <c r="AB973" s="18" t="str">
        <f aca="false">IF(AND(K973="ВИРТУАЛЬНЫЙ ВЫБОР",OR(Z973="✅ ЗАШЛО",Z973="❌ НЕ ЗАШЛО",Z973="½ ЗАШЛО",Z973="½ НЕ ЗАШЛО",Z973="ВОЗВРАТ")),W973,"")</f>
        <v/>
      </c>
      <c r="AC973" s="15"/>
      <c r="AD973" s="16" t="str">
        <f aca="false">IF(OR(AC973="",P973=""),"",P973/AC973-1)</f>
        <v/>
      </c>
      <c r="AE973" s="19" t="str">
        <f aca="false">IF(AND(M973=0,OR(Z973="✅ ЗАШЛО",Z973="❌ НЕ ЗАШЛО"),L973&lt;&gt;""),(L973-IF(Z973="✅ ЗАШЛО",1,0))^2,"")</f>
        <v/>
      </c>
      <c r="AF973" s="15"/>
      <c r="AG973" s="15"/>
      <c r="AH973" s="13"/>
      <c r="AI973" s="13"/>
      <c r="AJ973" s="13"/>
      <c r="AK973" s="20" t="str">
        <f aca="false">IF(AH973="","",IF(ABS(AH973+AI973+AJ973-1)&lt;0.000001,"OK","ОШИБКА"))</f>
        <v/>
      </c>
      <c r="AL973" s="13"/>
      <c r="AM973" s="12"/>
      <c r="AN973" s="12"/>
      <c r="AO973" s="12"/>
      <c r="AP973" s="12"/>
      <c r="AQ973" s="18" t="str">
        <f aca="false">IF(A973="","",N(AQ972)+N(AA973))</f>
        <v/>
      </c>
      <c r="AR973" s="18" t="str">
        <f aca="false">IF(AQ973="","",MAX(0,MAX($AQ$8:AQ973))-AQ973)</f>
        <v/>
      </c>
    </row>
    <row r="974" customFormat="false" ht="15" hidden="false" customHeight="fals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3"/>
      <c r="M974" s="13"/>
      <c r="N974" s="13"/>
      <c r="O974" s="14" t="str">
        <f aca="false">IF(OR(L974="",L974=0),"",(1-M974)/L974)</f>
        <v/>
      </c>
      <c r="P974" s="15"/>
      <c r="Q974" s="12"/>
      <c r="R974" s="12"/>
      <c r="S974" s="13"/>
      <c r="T974" s="16" t="str">
        <f aca="false">IF(OR(S974="",L974=""),"",L974/(1-M974)-S974)</f>
        <v/>
      </c>
      <c r="U974" s="16" t="str">
        <f aca="false">IF(OR(L974="",P974=""),"",L974*(P974-1)-N974)</f>
        <v/>
      </c>
      <c r="V974" s="13"/>
      <c r="W974" s="17"/>
      <c r="X974" s="12"/>
      <c r="Y974" s="12"/>
      <c r="Z974" s="12"/>
      <c r="AA974" s="18" t="str">
        <f aca="false">IF(K974&lt;&gt;"ВИРТУАЛЬНЫЙ ВЫБОР","",IF(Z974="✅ ЗАШЛО",W974*(P974-1),IF(Z974="❌ НЕ ЗАШЛО",-W974,IF(Z974="½ ЗАШЛО",W974*(P974-1)/2,IF(Z974="½ НЕ ЗАШЛО",-W974/2,IF(Z974="ВОЗВРАТ",0,""))))))</f>
        <v/>
      </c>
      <c r="AB974" s="18" t="str">
        <f aca="false">IF(AND(K974="ВИРТУАЛЬНЫЙ ВЫБОР",OR(Z974="✅ ЗАШЛО",Z974="❌ НЕ ЗАШЛО",Z974="½ ЗАШЛО",Z974="½ НЕ ЗАШЛО",Z974="ВОЗВРАТ")),W974,"")</f>
        <v/>
      </c>
      <c r="AC974" s="15"/>
      <c r="AD974" s="16" t="str">
        <f aca="false">IF(OR(AC974="",P974=""),"",P974/AC974-1)</f>
        <v/>
      </c>
      <c r="AE974" s="19" t="str">
        <f aca="false">IF(AND(M974=0,OR(Z974="✅ ЗАШЛО",Z974="❌ НЕ ЗАШЛО"),L974&lt;&gt;""),(L974-IF(Z974="✅ ЗАШЛО",1,0))^2,"")</f>
        <v/>
      </c>
      <c r="AF974" s="15"/>
      <c r="AG974" s="15"/>
      <c r="AH974" s="13"/>
      <c r="AI974" s="13"/>
      <c r="AJ974" s="13"/>
      <c r="AK974" s="20" t="str">
        <f aca="false">IF(AH974="","",IF(ABS(AH974+AI974+AJ974-1)&lt;0.000001,"OK","ОШИБКА"))</f>
        <v/>
      </c>
      <c r="AL974" s="13"/>
      <c r="AM974" s="12"/>
      <c r="AN974" s="12"/>
      <c r="AO974" s="12"/>
      <c r="AP974" s="12"/>
      <c r="AQ974" s="18" t="str">
        <f aca="false">IF(A974="","",N(AQ973)+N(AA974))</f>
        <v/>
      </c>
      <c r="AR974" s="18" t="str">
        <f aca="false">IF(AQ974="","",MAX(0,MAX($AQ$8:AQ974))-AQ974)</f>
        <v/>
      </c>
    </row>
    <row r="975" customFormat="false" ht="15" hidden="false" customHeight="fals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3"/>
      <c r="M975" s="13"/>
      <c r="N975" s="13"/>
      <c r="O975" s="14" t="str">
        <f aca="false">IF(OR(L975="",L975=0),"",(1-M975)/L975)</f>
        <v/>
      </c>
      <c r="P975" s="15"/>
      <c r="Q975" s="12"/>
      <c r="R975" s="12"/>
      <c r="S975" s="13"/>
      <c r="T975" s="16" t="str">
        <f aca="false">IF(OR(S975="",L975=""),"",L975/(1-M975)-S975)</f>
        <v/>
      </c>
      <c r="U975" s="16" t="str">
        <f aca="false">IF(OR(L975="",P975=""),"",L975*(P975-1)-N975)</f>
        <v/>
      </c>
      <c r="V975" s="13"/>
      <c r="W975" s="17"/>
      <c r="X975" s="12"/>
      <c r="Y975" s="12"/>
      <c r="Z975" s="12"/>
      <c r="AA975" s="18" t="str">
        <f aca="false">IF(K975&lt;&gt;"ВИРТУАЛЬНЫЙ ВЫБОР","",IF(Z975="✅ ЗАШЛО",W975*(P975-1),IF(Z975="❌ НЕ ЗАШЛО",-W975,IF(Z975="½ ЗАШЛО",W975*(P975-1)/2,IF(Z975="½ НЕ ЗАШЛО",-W975/2,IF(Z975="ВОЗВРАТ",0,""))))))</f>
        <v/>
      </c>
      <c r="AB975" s="18" t="str">
        <f aca="false">IF(AND(K975="ВИРТУАЛЬНЫЙ ВЫБОР",OR(Z975="✅ ЗАШЛО",Z975="❌ НЕ ЗАШЛО",Z975="½ ЗАШЛО",Z975="½ НЕ ЗАШЛО",Z975="ВОЗВРАТ")),W975,"")</f>
        <v/>
      </c>
      <c r="AC975" s="15"/>
      <c r="AD975" s="16" t="str">
        <f aca="false">IF(OR(AC975="",P975=""),"",P975/AC975-1)</f>
        <v/>
      </c>
      <c r="AE975" s="19" t="str">
        <f aca="false">IF(AND(M975=0,OR(Z975="✅ ЗАШЛО",Z975="❌ НЕ ЗАШЛО"),L975&lt;&gt;""),(L975-IF(Z975="✅ ЗАШЛО",1,0))^2,"")</f>
        <v/>
      </c>
      <c r="AF975" s="15"/>
      <c r="AG975" s="15"/>
      <c r="AH975" s="13"/>
      <c r="AI975" s="13"/>
      <c r="AJ975" s="13"/>
      <c r="AK975" s="20" t="str">
        <f aca="false">IF(AH975="","",IF(ABS(AH975+AI975+AJ975-1)&lt;0.000001,"OK","ОШИБКА"))</f>
        <v/>
      </c>
      <c r="AL975" s="13"/>
      <c r="AM975" s="12"/>
      <c r="AN975" s="12"/>
      <c r="AO975" s="12"/>
      <c r="AP975" s="12"/>
      <c r="AQ975" s="18" t="str">
        <f aca="false">IF(A975="","",N(AQ974)+N(AA975))</f>
        <v/>
      </c>
      <c r="AR975" s="18" t="str">
        <f aca="false">IF(AQ975="","",MAX(0,MAX($AQ$8:AQ975))-AQ975)</f>
        <v/>
      </c>
    </row>
    <row r="976" customFormat="false" ht="15" hidden="false" customHeight="fals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3"/>
      <c r="M976" s="13"/>
      <c r="N976" s="13"/>
      <c r="O976" s="14" t="str">
        <f aca="false">IF(OR(L976="",L976=0),"",(1-M976)/L976)</f>
        <v/>
      </c>
      <c r="P976" s="15"/>
      <c r="Q976" s="12"/>
      <c r="R976" s="12"/>
      <c r="S976" s="13"/>
      <c r="T976" s="16" t="str">
        <f aca="false">IF(OR(S976="",L976=""),"",L976/(1-M976)-S976)</f>
        <v/>
      </c>
      <c r="U976" s="16" t="str">
        <f aca="false">IF(OR(L976="",P976=""),"",L976*(P976-1)-N976)</f>
        <v/>
      </c>
      <c r="V976" s="13"/>
      <c r="W976" s="17"/>
      <c r="X976" s="12"/>
      <c r="Y976" s="12"/>
      <c r="Z976" s="12"/>
      <c r="AA976" s="18" t="str">
        <f aca="false">IF(K976&lt;&gt;"ВИРТУАЛЬНЫЙ ВЫБОР","",IF(Z976="✅ ЗАШЛО",W976*(P976-1),IF(Z976="❌ НЕ ЗАШЛО",-W976,IF(Z976="½ ЗАШЛО",W976*(P976-1)/2,IF(Z976="½ НЕ ЗАШЛО",-W976/2,IF(Z976="ВОЗВРАТ",0,""))))))</f>
        <v/>
      </c>
      <c r="AB976" s="18" t="str">
        <f aca="false">IF(AND(K976="ВИРТУАЛЬНЫЙ ВЫБОР",OR(Z976="✅ ЗАШЛО",Z976="❌ НЕ ЗАШЛО",Z976="½ ЗАШЛО",Z976="½ НЕ ЗАШЛО",Z976="ВОЗВРАТ")),W976,"")</f>
        <v/>
      </c>
      <c r="AC976" s="15"/>
      <c r="AD976" s="16" t="str">
        <f aca="false">IF(OR(AC976="",P976=""),"",P976/AC976-1)</f>
        <v/>
      </c>
      <c r="AE976" s="19" t="str">
        <f aca="false">IF(AND(M976=0,OR(Z976="✅ ЗАШЛО",Z976="❌ НЕ ЗАШЛО"),L976&lt;&gt;""),(L976-IF(Z976="✅ ЗАШЛО",1,0))^2,"")</f>
        <v/>
      </c>
      <c r="AF976" s="15"/>
      <c r="AG976" s="15"/>
      <c r="AH976" s="13"/>
      <c r="AI976" s="13"/>
      <c r="AJ976" s="13"/>
      <c r="AK976" s="20" t="str">
        <f aca="false">IF(AH976="","",IF(ABS(AH976+AI976+AJ976-1)&lt;0.000001,"OK","ОШИБКА"))</f>
        <v/>
      </c>
      <c r="AL976" s="13"/>
      <c r="AM976" s="12"/>
      <c r="AN976" s="12"/>
      <c r="AO976" s="12"/>
      <c r="AP976" s="12"/>
      <c r="AQ976" s="18" t="str">
        <f aca="false">IF(A976="","",N(AQ975)+N(AA976))</f>
        <v/>
      </c>
      <c r="AR976" s="18" t="str">
        <f aca="false">IF(AQ976="","",MAX(0,MAX($AQ$8:AQ976))-AQ976)</f>
        <v/>
      </c>
    </row>
    <row r="977" customFormat="false" ht="15" hidden="false" customHeight="fals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3"/>
      <c r="M977" s="13"/>
      <c r="N977" s="13"/>
      <c r="O977" s="14" t="str">
        <f aca="false">IF(OR(L977="",L977=0),"",(1-M977)/L977)</f>
        <v/>
      </c>
      <c r="P977" s="15"/>
      <c r="Q977" s="12"/>
      <c r="R977" s="12"/>
      <c r="S977" s="13"/>
      <c r="T977" s="16" t="str">
        <f aca="false">IF(OR(S977="",L977=""),"",L977/(1-M977)-S977)</f>
        <v/>
      </c>
      <c r="U977" s="16" t="str">
        <f aca="false">IF(OR(L977="",P977=""),"",L977*(P977-1)-N977)</f>
        <v/>
      </c>
      <c r="V977" s="13"/>
      <c r="W977" s="17"/>
      <c r="X977" s="12"/>
      <c r="Y977" s="12"/>
      <c r="Z977" s="12"/>
      <c r="AA977" s="18" t="str">
        <f aca="false">IF(K977&lt;&gt;"ВИРТУАЛЬНЫЙ ВЫБОР","",IF(Z977="✅ ЗАШЛО",W977*(P977-1),IF(Z977="❌ НЕ ЗАШЛО",-W977,IF(Z977="½ ЗАШЛО",W977*(P977-1)/2,IF(Z977="½ НЕ ЗАШЛО",-W977/2,IF(Z977="ВОЗВРАТ",0,""))))))</f>
        <v/>
      </c>
      <c r="AB977" s="18" t="str">
        <f aca="false">IF(AND(K977="ВИРТУАЛЬНЫЙ ВЫБОР",OR(Z977="✅ ЗАШЛО",Z977="❌ НЕ ЗАШЛО",Z977="½ ЗАШЛО",Z977="½ НЕ ЗАШЛО",Z977="ВОЗВРАТ")),W977,"")</f>
        <v/>
      </c>
      <c r="AC977" s="15"/>
      <c r="AD977" s="16" t="str">
        <f aca="false">IF(OR(AC977="",P977=""),"",P977/AC977-1)</f>
        <v/>
      </c>
      <c r="AE977" s="19" t="str">
        <f aca="false">IF(AND(M977=0,OR(Z977="✅ ЗАШЛО",Z977="❌ НЕ ЗАШЛО"),L977&lt;&gt;""),(L977-IF(Z977="✅ ЗАШЛО",1,0))^2,"")</f>
        <v/>
      </c>
      <c r="AF977" s="15"/>
      <c r="AG977" s="15"/>
      <c r="AH977" s="13"/>
      <c r="AI977" s="13"/>
      <c r="AJ977" s="13"/>
      <c r="AK977" s="20" t="str">
        <f aca="false">IF(AH977="","",IF(ABS(AH977+AI977+AJ977-1)&lt;0.000001,"OK","ОШИБКА"))</f>
        <v/>
      </c>
      <c r="AL977" s="13"/>
      <c r="AM977" s="12"/>
      <c r="AN977" s="12"/>
      <c r="AO977" s="12"/>
      <c r="AP977" s="12"/>
      <c r="AQ977" s="18" t="str">
        <f aca="false">IF(A977="","",N(AQ976)+N(AA977))</f>
        <v/>
      </c>
      <c r="AR977" s="18" t="str">
        <f aca="false">IF(AQ977="","",MAX(0,MAX($AQ$8:AQ977))-AQ977)</f>
        <v/>
      </c>
    </row>
    <row r="978" customFormat="false" ht="15" hidden="false" customHeight="fals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3"/>
      <c r="M978" s="13"/>
      <c r="N978" s="13"/>
      <c r="O978" s="14" t="str">
        <f aca="false">IF(OR(L978="",L978=0),"",(1-M978)/L978)</f>
        <v/>
      </c>
      <c r="P978" s="15"/>
      <c r="Q978" s="12"/>
      <c r="R978" s="12"/>
      <c r="S978" s="13"/>
      <c r="T978" s="16" t="str">
        <f aca="false">IF(OR(S978="",L978=""),"",L978/(1-M978)-S978)</f>
        <v/>
      </c>
      <c r="U978" s="16" t="str">
        <f aca="false">IF(OR(L978="",P978=""),"",L978*(P978-1)-N978)</f>
        <v/>
      </c>
      <c r="V978" s="13"/>
      <c r="W978" s="17"/>
      <c r="X978" s="12"/>
      <c r="Y978" s="12"/>
      <c r="Z978" s="12"/>
      <c r="AA978" s="18" t="str">
        <f aca="false">IF(K978&lt;&gt;"ВИРТУАЛЬНЫЙ ВЫБОР","",IF(Z978="✅ ЗАШЛО",W978*(P978-1),IF(Z978="❌ НЕ ЗАШЛО",-W978,IF(Z978="½ ЗАШЛО",W978*(P978-1)/2,IF(Z978="½ НЕ ЗАШЛО",-W978/2,IF(Z978="ВОЗВРАТ",0,""))))))</f>
        <v/>
      </c>
      <c r="AB978" s="18" t="str">
        <f aca="false">IF(AND(K978="ВИРТУАЛЬНЫЙ ВЫБОР",OR(Z978="✅ ЗАШЛО",Z978="❌ НЕ ЗАШЛО",Z978="½ ЗАШЛО",Z978="½ НЕ ЗАШЛО",Z978="ВОЗВРАТ")),W978,"")</f>
        <v/>
      </c>
      <c r="AC978" s="15"/>
      <c r="AD978" s="16" t="str">
        <f aca="false">IF(OR(AC978="",P978=""),"",P978/AC978-1)</f>
        <v/>
      </c>
      <c r="AE978" s="19" t="str">
        <f aca="false">IF(AND(M978=0,OR(Z978="✅ ЗАШЛО",Z978="❌ НЕ ЗАШЛО"),L978&lt;&gt;""),(L978-IF(Z978="✅ ЗАШЛО",1,0))^2,"")</f>
        <v/>
      </c>
      <c r="AF978" s="15"/>
      <c r="AG978" s="15"/>
      <c r="AH978" s="13"/>
      <c r="AI978" s="13"/>
      <c r="AJ978" s="13"/>
      <c r="AK978" s="20" t="str">
        <f aca="false">IF(AH978="","",IF(ABS(AH978+AI978+AJ978-1)&lt;0.000001,"OK","ОШИБКА"))</f>
        <v/>
      </c>
      <c r="AL978" s="13"/>
      <c r="AM978" s="12"/>
      <c r="AN978" s="12"/>
      <c r="AO978" s="12"/>
      <c r="AP978" s="12"/>
      <c r="AQ978" s="18" t="str">
        <f aca="false">IF(A978="","",N(AQ977)+N(AA978))</f>
        <v/>
      </c>
      <c r="AR978" s="18" t="str">
        <f aca="false">IF(AQ978="","",MAX(0,MAX($AQ$8:AQ978))-AQ978)</f>
        <v/>
      </c>
    </row>
    <row r="979" customFormat="false" ht="15" hidden="false" customHeight="fals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3"/>
      <c r="M979" s="13"/>
      <c r="N979" s="13"/>
      <c r="O979" s="14" t="str">
        <f aca="false">IF(OR(L979="",L979=0),"",(1-M979)/L979)</f>
        <v/>
      </c>
      <c r="P979" s="15"/>
      <c r="Q979" s="12"/>
      <c r="R979" s="12"/>
      <c r="S979" s="13"/>
      <c r="T979" s="16" t="str">
        <f aca="false">IF(OR(S979="",L979=""),"",L979/(1-M979)-S979)</f>
        <v/>
      </c>
      <c r="U979" s="16" t="str">
        <f aca="false">IF(OR(L979="",P979=""),"",L979*(P979-1)-N979)</f>
        <v/>
      </c>
      <c r="V979" s="13"/>
      <c r="W979" s="17"/>
      <c r="X979" s="12"/>
      <c r="Y979" s="12"/>
      <c r="Z979" s="12"/>
      <c r="AA979" s="18" t="str">
        <f aca="false">IF(K979&lt;&gt;"ВИРТУАЛЬНЫЙ ВЫБОР","",IF(Z979="✅ ЗАШЛО",W979*(P979-1),IF(Z979="❌ НЕ ЗАШЛО",-W979,IF(Z979="½ ЗАШЛО",W979*(P979-1)/2,IF(Z979="½ НЕ ЗАШЛО",-W979/2,IF(Z979="ВОЗВРАТ",0,""))))))</f>
        <v/>
      </c>
      <c r="AB979" s="18" t="str">
        <f aca="false">IF(AND(K979="ВИРТУАЛЬНЫЙ ВЫБОР",OR(Z979="✅ ЗАШЛО",Z979="❌ НЕ ЗАШЛО",Z979="½ ЗАШЛО",Z979="½ НЕ ЗАШЛО",Z979="ВОЗВРАТ")),W979,"")</f>
        <v/>
      </c>
      <c r="AC979" s="15"/>
      <c r="AD979" s="16" t="str">
        <f aca="false">IF(OR(AC979="",P979=""),"",P979/AC979-1)</f>
        <v/>
      </c>
      <c r="AE979" s="19" t="str">
        <f aca="false">IF(AND(M979=0,OR(Z979="✅ ЗАШЛО",Z979="❌ НЕ ЗАШЛО"),L979&lt;&gt;""),(L979-IF(Z979="✅ ЗАШЛО",1,0))^2,"")</f>
        <v/>
      </c>
      <c r="AF979" s="15"/>
      <c r="AG979" s="15"/>
      <c r="AH979" s="13"/>
      <c r="AI979" s="13"/>
      <c r="AJ979" s="13"/>
      <c r="AK979" s="20" t="str">
        <f aca="false">IF(AH979="","",IF(ABS(AH979+AI979+AJ979-1)&lt;0.000001,"OK","ОШИБКА"))</f>
        <v/>
      </c>
      <c r="AL979" s="13"/>
      <c r="AM979" s="12"/>
      <c r="AN979" s="12"/>
      <c r="AO979" s="12"/>
      <c r="AP979" s="12"/>
      <c r="AQ979" s="18" t="str">
        <f aca="false">IF(A979="","",N(AQ978)+N(AA979))</f>
        <v/>
      </c>
      <c r="AR979" s="18" t="str">
        <f aca="false">IF(AQ979="","",MAX(0,MAX($AQ$8:AQ979))-AQ979)</f>
        <v/>
      </c>
    </row>
    <row r="980" customFormat="false" ht="15" hidden="false" customHeight="fals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3"/>
      <c r="M980" s="13"/>
      <c r="N980" s="13"/>
      <c r="O980" s="14" t="str">
        <f aca="false">IF(OR(L980="",L980=0),"",(1-M980)/L980)</f>
        <v/>
      </c>
      <c r="P980" s="15"/>
      <c r="Q980" s="12"/>
      <c r="R980" s="12"/>
      <c r="S980" s="13"/>
      <c r="T980" s="16" t="str">
        <f aca="false">IF(OR(S980="",L980=""),"",L980/(1-M980)-S980)</f>
        <v/>
      </c>
      <c r="U980" s="16" t="str">
        <f aca="false">IF(OR(L980="",P980=""),"",L980*(P980-1)-N980)</f>
        <v/>
      </c>
      <c r="V980" s="13"/>
      <c r="W980" s="17"/>
      <c r="X980" s="12"/>
      <c r="Y980" s="12"/>
      <c r="Z980" s="12"/>
      <c r="AA980" s="18" t="str">
        <f aca="false">IF(K980&lt;&gt;"ВИРТУАЛЬНЫЙ ВЫБОР","",IF(Z980="✅ ЗАШЛО",W980*(P980-1),IF(Z980="❌ НЕ ЗАШЛО",-W980,IF(Z980="½ ЗАШЛО",W980*(P980-1)/2,IF(Z980="½ НЕ ЗАШЛО",-W980/2,IF(Z980="ВОЗВРАТ",0,""))))))</f>
        <v/>
      </c>
      <c r="AB980" s="18" t="str">
        <f aca="false">IF(AND(K980="ВИРТУАЛЬНЫЙ ВЫБОР",OR(Z980="✅ ЗАШЛО",Z980="❌ НЕ ЗАШЛО",Z980="½ ЗАШЛО",Z980="½ НЕ ЗАШЛО",Z980="ВОЗВРАТ")),W980,"")</f>
        <v/>
      </c>
      <c r="AC980" s="15"/>
      <c r="AD980" s="16" t="str">
        <f aca="false">IF(OR(AC980="",P980=""),"",P980/AC980-1)</f>
        <v/>
      </c>
      <c r="AE980" s="19" t="str">
        <f aca="false">IF(AND(M980=0,OR(Z980="✅ ЗАШЛО",Z980="❌ НЕ ЗАШЛО"),L980&lt;&gt;""),(L980-IF(Z980="✅ ЗАШЛО",1,0))^2,"")</f>
        <v/>
      </c>
      <c r="AF980" s="15"/>
      <c r="AG980" s="15"/>
      <c r="AH980" s="13"/>
      <c r="AI980" s="13"/>
      <c r="AJ980" s="13"/>
      <c r="AK980" s="20" t="str">
        <f aca="false">IF(AH980="","",IF(ABS(AH980+AI980+AJ980-1)&lt;0.000001,"OK","ОШИБКА"))</f>
        <v/>
      </c>
      <c r="AL980" s="13"/>
      <c r="AM980" s="12"/>
      <c r="AN980" s="12"/>
      <c r="AO980" s="12"/>
      <c r="AP980" s="12"/>
      <c r="AQ980" s="18" t="str">
        <f aca="false">IF(A980="","",N(AQ979)+N(AA980))</f>
        <v/>
      </c>
      <c r="AR980" s="18" t="str">
        <f aca="false">IF(AQ980="","",MAX(0,MAX($AQ$8:AQ980))-AQ980)</f>
        <v/>
      </c>
    </row>
    <row r="981" customFormat="false" ht="15" hidden="false" customHeight="fals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3"/>
      <c r="M981" s="13"/>
      <c r="N981" s="13"/>
      <c r="O981" s="14" t="str">
        <f aca="false">IF(OR(L981="",L981=0),"",(1-M981)/L981)</f>
        <v/>
      </c>
      <c r="P981" s="15"/>
      <c r="Q981" s="12"/>
      <c r="R981" s="12"/>
      <c r="S981" s="13"/>
      <c r="T981" s="16" t="str">
        <f aca="false">IF(OR(S981="",L981=""),"",L981/(1-M981)-S981)</f>
        <v/>
      </c>
      <c r="U981" s="16" t="str">
        <f aca="false">IF(OR(L981="",P981=""),"",L981*(P981-1)-N981)</f>
        <v/>
      </c>
      <c r="V981" s="13"/>
      <c r="W981" s="17"/>
      <c r="X981" s="12"/>
      <c r="Y981" s="12"/>
      <c r="Z981" s="12"/>
      <c r="AA981" s="18" t="str">
        <f aca="false">IF(K981&lt;&gt;"ВИРТУАЛЬНЫЙ ВЫБОР","",IF(Z981="✅ ЗАШЛО",W981*(P981-1),IF(Z981="❌ НЕ ЗАШЛО",-W981,IF(Z981="½ ЗАШЛО",W981*(P981-1)/2,IF(Z981="½ НЕ ЗАШЛО",-W981/2,IF(Z981="ВОЗВРАТ",0,""))))))</f>
        <v/>
      </c>
      <c r="AB981" s="18" t="str">
        <f aca="false">IF(AND(K981="ВИРТУАЛЬНЫЙ ВЫБОР",OR(Z981="✅ ЗАШЛО",Z981="❌ НЕ ЗАШЛО",Z981="½ ЗАШЛО",Z981="½ НЕ ЗАШЛО",Z981="ВОЗВРАТ")),W981,"")</f>
        <v/>
      </c>
      <c r="AC981" s="15"/>
      <c r="AD981" s="16" t="str">
        <f aca="false">IF(OR(AC981="",P981=""),"",P981/AC981-1)</f>
        <v/>
      </c>
      <c r="AE981" s="19" t="str">
        <f aca="false">IF(AND(M981=0,OR(Z981="✅ ЗАШЛО",Z981="❌ НЕ ЗАШЛО"),L981&lt;&gt;""),(L981-IF(Z981="✅ ЗАШЛО",1,0))^2,"")</f>
        <v/>
      </c>
      <c r="AF981" s="15"/>
      <c r="AG981" s="15"/>
      <c r="AH981" s="13"/>
      <c r="AI981" s="13"/>
      <c r="AJ981" s="13"/>
      <c r="AK981" s="20" t="str">
        <f aca="false">IF(AH981="","",IF(ABS(AH981+AI981+AJ981-1)&lt;0.000001,"OK","ОШИБКА"))</f>
        <v/>
      </c>
      <c r="AL981" s="13"/>
      <c r="AM981" s="12"/>
      <c r="AN981" s="12"/>
      <c r="AO981" s="12"/>
      <c r="AP981" s="12"/>
      <c r="AQ981" s="18" t="str">
        <f aca="false">IF(A981="","",N(AQ980)+N(AA981))</f>
        <v/>
      </c>
      <c r="AR981" s="18" t="str">
        <f aca="false">IF(AQ981="","",MAX(0,MAX($AQ$8:AQ981))-AQ981)</f>
        <v/>
      </c>
    </row>
    <row r="982" customFormat="false" ht="15" hidden="false" customHeight="fals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3"/>
      <c r="M982" s="13"/>
      <c r="N982" s="13"/>
      <c r="O982" s="14" t="str">
        <f aca="false">IF(OR(L982="",L982=0),"",(1-M982)/L982)</f>
        <v/>
      </c>
      <c r="P982" s="15"/>
      <c r="Q982" s="12"/>
      <c r="R982" s="12"/>
      <c r="S982" s="13"/>
      <c r="T982" s="16" t="str">
        <f aca="false">IF(OR(S982="",L982=""),"",L982/(1-M982)-S982)</f>
        <v/>
      </c>
      <c r="U982" s="16" t="str">
        <f aca="false">IF(OR(L982="",P982=""),"",L982*(P982-1)-N982)</f>
        <v/>
      </c>
      <c r="V982" s="13"/>
      <c r="W982" s="17"/>
      <c r="X982" s="12"/>
      <c r="Y982" s="12"/>
      <c r="Z982" s="12"/>
      <c r="AA982" s="18" t="str">
        <f aca="false">IF(K982&lt;&gt;"ВИРТУАЛЬНЫЙ ВЫБОР","",IF(Z982="✅ ЗАШЛО",W982*(P982-1),IF(Z982="❌ НЕ ЗАШЛО",-W982,IF(Z982="½ ЗАШЛО",W982*(P982-1)/2,IF(Z982="½ НЕ ЗАШЛО",-W982/2,IF(Z982="ВОЗВРАТ",0,""))))))</f>
        <v/>
      </c>
      <c r="AB982" s="18" t="str">
        <f aca="false">IF(AND(K982="ВИРТУАЛЬНЫЙ ВЫБОР",OR(Z982="✅ ЗАШЛО",Z982="❌ НЕ ЗАШЛО",Z982="½ ЗАШЛО",Z982="½ НЕ ЗАШЛО",Z982="ВОЗВРАТ")),W982,"")</f>
        <v/>
      </c>
      <c r="AC982" s="15"/>
      <c r="AD982" s="16" t="str">
        <f aca="false">IF(OR(AC982="",P982=""),"",P982/AC982-1)</f>
        <v/>
      </c>
      <c r="AE982" s="19" t="str">
        <f aca="false">IF(AND(M982=0,OR(Z982="✅ ЗАШЛО",Z982="❌ НЕ ЗАШЛО"),L982&lt;&gt;""),(L982-IF(Z982="✅ ЗАШЛО",1,0))^2,"")</f>
        <v/>
      </c>
      <c r="AF982" s="15"/>
      <c r="AG982" s="15"/>
      <c r="AH982" s="13"/>
      <c r="AI982" s="13"/>
      <c r="AJ982" s="13"/>
      <c r="AK982" s="20" t="str">
        <f aca="false">IF(AH982="","",IF(ABS(AH982+AI982+AJ982-1)&lt;0.000001,"OK","ОШИБКА"))</f>
        <v/>
      </c>
      <c r="AL982" s="13"/>
      <c r="AM982" s="12"/>
      <c r="AN982" s="12"/>
      <c r="AO982" s="12"/>
      <c r="AP982" s="12"/>
      <c r="AQ982" s="18" t="str">
        <f aca="false">IF(A982="","",N(AQ981)+N(AA982))</f>
        <v/>
      </c>
      <c r="AR982" s="18" t="str">
        <f aca="false">IF(AQ982="","",MAX(0,MAX($AQ$8:AQ982))-AQ982)</f>
        <v/>
      </c>
    </row>
    <row r="983" customFormat="false" ht="15" hidden="false" customHeight="fals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3"/>
      <c r="M983" s="13"/>
      <c r="N983" s="13"/>
      <c r="O983" s="14" t="str">
        <f aca="false">IF(OR(L983="",L983=0),"",(1-M983)/L983)</f>
        <v/>
      </c>
      <c r="P983" s="15"/>
      <c r="Q983" s="12"/>
      <c r="R983" s="12"/>
      <c r="S983" s="13"/>
      <c r="T983" s="16" t="str">
        <f aca="false">IF(OR(S983="",L983=""),"",L983/(1-M983)-S983)</f>
        <v/>
      </c>
      <c r="U983" s="16" t="str">
        <f aca="false">IF(OR(L983="",P983=""),"",L983*(P983-1)-N983)</f>
        <v/>
      </c>
      <c r="V983" s="13"/>
      <c r="W983" s="17"/>
      <c r="X983" s="12"/>
      <c r="Y983" s="12"/>
      <c r="Z983" s="12"/>
      <c r="AA983" s="18" t="str">
        <f aca="false">IF(K983&lt;&gt;"ВИРТУАЛЬНЫЙ ВЫБОР","",IF(Z983="✅ ЗАШЛО",W983*(P983-1),IF(Z983="❌ НЕ ЗАШЛО",-W983,IF(Z983="½ ЗАШЛО",W983*(P983-1)/2,IF(Z983="½ НЕ ЗАШЛО",-W983/2,IF(Z983="ВОЗВРАТ",0,""))))))</f>
        <v/>
      </c>
      <c r="AB983" s="18" t="str">
        <f aca="false">IF(AND(K983="ВИРТУАЛЬНЫЙ ВЫБОР",OR(Z983="✅ ЗАШЛО",Z983="❌ НЕ ЗАШЛО",Z983="½ ЗАШЛО",Z983="½ НЕ ЗАШЛО",Z983="ВОЗВРАТ")),W983,"")</f>
        <v/>
      </c>
      <c r="AC983" s="15"/>
      <c r="AD983" s="16" t="str">
        <f aca="false">IF(OR(AC983="",P983=""),"",P983/AC983-1)</f>
        <v/>
      </c>
      <c r="AE983" s="19" t="str">
        <f aca="false">IF(AND(M983=0,OR(Z983="✅ ЗАШЛО",Z983="❌ НЕ ЗАШЛО"),L983&lt;&gt;""),(L983-IF(Z983="✅ ЗАШЛО",1,0))^2,"")</f>
        <v/>
      </c>
      <c r="AF983" s="15"/>
      <c r="AG983" s="15"/>
      <c r="AH983" s="13"/>
      <c r="AI983" s="13"/>
      <c r="AJ983" s="13"/>
      <c r="AK983" s="20" t="str">
        <f aca="false">IF(AH983="","",IF(ABS(AH983+AI983+AJ983-1)&lt;0.000001,"OK","ОШИБКА"))</f>
        <v/>
      </c>
      <c r="AL983" s="13"/>
      <c r="AM983" s="12"/>
      <c r="AN983" s="12"/>
      <c r="AO983" s="12"/>
      <c r="AP983" s="12"/>
      <c r="AQ983" s="18" t="str">
        <f aca="false">IF(A983="","",N(AQ982)+N(AA983))</f>
        <v/>
      </c>
      <c r="AR983" s="18" t="str">
        <f aca="false">IF(AQ983="","",MAX(0,MAX($AQ$8:AQ983))-AQ983)</f>
        <v/>
      </c>
    </row>
    <row r="984" customFormat="false" ht="15" hidden="false" customHeight="fals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3"/>
      <c r="M984" s="13"/>
      <c r="N984" s="13"/>
      <c r="O984" s="14" t="str">
        <f aca="false">IF(OR(L984="",L984=0),"",(1-M984)/L984)</f>
        <v/>
      </c>
      <c r="P984" s="15"/>
      <c r="Q984" s="12"/>
      <c r="R984" s="12"/>
      <c r="S984" s="13"/>
      <c r="T984" s="16" t="str">
        <f aca="false">IF(OR(S984="",L984=""),"",L984/(1-M984)-S984)</f>
        <v/>
      </c>
      <c r="U984" s="16" t="str">
        <f aca="false">IF(OR(L984="",P984=""),"",L984*(P984-1)-N984)</f>
        <v/>
      </c>
      <c r="V984" s="13"/>
      <c r="W984" s="17"/>
      <c r="X984" s="12"/>
      <c r="Y984" s="12"/>
      <c r="Z984" s="12"/>
      <c r="AA984" s="18" t="str">
        <f aca="false">IF(K984&lt;&gt;"ВИРТУАЛЬНЫЙ ВЫБОР","",IF(Z984="✅ ЗАШЛО",W984*(P984-1),IF(Z984="❌ НЕ ЗАШЛО",-W984,IF(Z984="½ ЗАШЛО",W984*(P984-1)/2,IF(Z984="½ НЕ ЗАШЛО",-W984/2,IF(Z984="ВОЗВРАТ",0,""))))))</f>
        <v/>
      </c>
      <c r="AB984" s="18" t="str">
        <f aca="false">IF(AND(K984="ВИРТУАЛЬНЫЙ ВЫБОР",OR(Z984="✅ ЗАШЛО",Z984="❌ НЕ ЗАШЛО",Z984="½ ЗАШЛО",Z984="½ НЕ ЗАШЛО",Z984="ВОЗВРАТ")),W984,"")</f>
        <v/>
      </c>
      <c r="AC984" s="15"/>
      <c r="AD984" s="16" t="str">
        <f aca="false">IF(OR(AC984="",P984=""),"",P984/AC984-1)</f>
        <v/>
      </c>
      <c r="AE984" s="19" t="str">
        <f aca="false">IF(AND(M984=0,OR(Z984="✅ ЗАШЛО",Z984="❌ НЕ ЗАШЛО"),L984&lt;&gt;""),(L984-IF(Z984="✅ ЗАШЛО",1,0))^2,"")</f>
        <v/>
      </c>
      <c r="AF984" s="15"/>
      <c r="AG984" s="15"/>
      <c r="AH984" s="13"/>
      <c r="AI984" s="13"/>
      <c r="AJ984" s="13"/>
      <c r="AK984" s="20" t="str">
        <f aca="false">IF(AH984="","",IF(ABS(AH984+AI984+AJ984-1)&lt;0.000001,"OK","ОШИБКА"))</f>
        <v/>
      </c>
      <c r="AL984" s="13"/>
      <c r="AM984" s="12"/>
      <c r="AN984" s="12"/>
      <c r="AO984" s="12"/>
      <c r="AP984" s="12"/>
      <c r="AQ984" s="18" t="str">
        <f aca="false">IF(A984="","",N(AQ983)+N(AA984))</f>
        <v/>
      </c>
      <c r="AR984" s="18" t="str">
        <f aca="false">IF(AQ984="","",MAX(0,MAX($AQ$8:AQ984))-AQ984)</f>
        <v/>
      </c>
    </row>
    <row r="985" customFormat="false" ht="15" hidden="false" customHeight="fals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3"/>
      <c r="M985" s="13"/>
      <c r="N985" s="13"/>
      <c r="O985" s="14" t="str">
        <f aca="false">IF(OR(L985="",L985=0),"",(1-M985)/L985)</f>
        <v/>
      </c>
      <c r="P985" s="15"/>
      <c r="Q985" s="12"/>
      <c r="R985" s="12"/>
      <c r="S985" s="13"/>
      <c r="T985" s="16" t="str">
        <f aca="false">IF(OR(S985="",L985=""),"",L985/(1-M985)-S985)</f>
        <v/>
      </c>
      <c r="U985" s="16" t="str">
        <f aca="false">IF(OR(L985="",P985=""),"",L985*(P985-1)-N985)</f>
        <v/>
      </c>
      <c r="V985" s="13"/>
      <c r="W985" s="17"/>
      <c r="X985" s="12"/>
      <c r="Y985" s="12"/>
      <c r="Z985" s="12"/>
      <c r="AA985" s="18" t="str">
        <f aca="false">IF(K985&lt;&gt;"ВИРТУАЛЬНЫЙ ВЫБОР","",IF(Z985="✅ ЗАШЛО",W985*(P985-1),IF(Z985="❌ НЕ ЗАШЛО",-W985,IF(Z985="½ ЗАШЛО",W985*(P985-1)/2,IF(Z985="½ НЕ ЗАШЛО",-W985/2,IF(Z985="ВОЗВРАТ",0,""))))))</f>
        <v/>
      </c>
      <c r="AB985" s="18" t="str">
        <f aca="false">IF(AND(K985="ВИРТУАЛЬНЫЙ ВЫБОР",OR(Z985="✅ ЗАШЛО",Z985="❌ НЕ ЗАШЛО",Z985="½ ЗАШЛО",Z985="½ НЕ ЗАШЛО",Z985="ВОЗВРАТ")),W985,"")</f>
        <v/>
      </c>
      <c r="AC985" s="15"/>
      <c r="AD985" s="16" t="str">
        <f aca="false">IF(OR(AC985="",P985=""),"",P985/AC985-1)</f>
        <v/>
      </c>
      <c r="AE985" s="19" t="str">
        <f aca="false">IF(AND(M985=0,OR(Z985="✅ ЗАШЛО",Z985="❌ НЕ ЗАШЛО"),L985&lt;&gt;""),(L985-IF(Z985="✅ ЗАШЛО",1,0))^2,"")</f>
        <v/>
      </c>
      <c r="AF985" s="15"/>
      <c r="AG985" s="15"/>
      <c r="AH985" s="13"/>
      <c r="AI985" s="13"/>
      <c r="AJ985" s="13"/>
      <c r="AK985" s="20" t="str">
        <f aca="false">IF(AH985="","",IF(ABS(AH985+AI985+AJ985-1)&lt;0.000001,"OK","ОШИБКА"))</f>
        <v/>
      </c>
      <c r="AL985" s="13"/>
      <c r="AM985" s="12"/>
      <c r="AN985" s="12"/>
      <c r="AO985" s="12"/>
      <c r="AP985" s="12"/>
      <c r="AQ985" s="18" t="str">
        <f aca="false">IF(A985="","",N(AQ984)+N(AA985))</f>
        <v/>
      </c>
      <c r="AR985" s="18" t="str">
        <f aca="false">IF(AQ985="","",MAX(0,MAX($AQ$8:AQ985))-AQ985)</f>
        <v/>
      </c>
    </row>
    <row r="986" customFormat="false" ht="15" hidden="false" customHeight="fals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3"/>
      <c r="M986" s="13"/>
      <c r="N986" s="13"/>
      <c r="O986" s="14" t="str">
        <f aca="false">IF(OR(L986="",L986=0),"",(1-M986)/L986)</f>
        <v/>
      </c>
      <c r="P986" s="15"/>
      <c r="Q986" s="12"/>
      <c r="R986" s="12"/>
      <c r="S986" s="13"/>
      <c r="T986" s="16" t="str">
        <f aca="false">IF(OR(S986="",L986=""),"",L986/(1-M986)-S986)</f>
        <v/>
      </c>
      <c r="U986" s="16" t="str">
        <f aca="false">IF(OR(L986="",P986=""),"",L986*(P986-1)-N986)</f>
        <v/>
      </c>
      <c r="V986" s="13"/>
      <c r="W986" s="17"/>
      <c r="X986" s="12"/>
      <c r="Y986" s="12"/>
      <c r="Z986" s="12"/>
      <c r="AA986" s="18" t="str">
        <f aca="false">IF(K986&lt;&gt;"ВИРТУАЛЬНЫЙ ВЫБОР","",IF(Z986="✅ ЗАШЛО",W986*(P986-1),IF(Z986="❌ НЕ ЗАШЛО",-W986,IF(Z986="½ ЗАШЛО",W986*(P986-1)/2,IF(Z986="½ НЕ ЗАШЛО",-W986/2,IF(Z986="ВОЗВРАТ",0,""))))))</f>
        <v/>
      </c>
      <c r="AB986" s="18" t="str">
        <f aca="false">IF(AND(K986="ВИРТУАЛЬНЫЙ ВЫБОР",OR(Z986="✅ ЗАШЛО",Z986="❌ НЕ ЗАШЛО",Z986="½ ЗАШЛО",Z986="½ НЕ ЗАШЛО",Z986="ВОЗВРАТ")),W986,"")</f>
        <v/>
      </c>
      <c r="AC986" s="15"/>
      <c r="AD986" s="16" t="str">
        <f aca="false">IF(OR(AC986="",P986=""),"",P986/AC986-1)</f>
        <v/>
      </c>
      <c r="AE986" s="19" t="str">
        <f aca="false">IF(AND(M986=0,OR(Z986="✅ ЗАШЛО",Z986="❌ НЕ ЗАШЛО"),L986&lt;&gt;""),(L986-IF(Z986="✅ ЗАШЛО",1,0))^2,"")</f>
        <v/>
      </c>
      <c r="AF986" s="15"/>
      <c r="AG986" s="15"/>
      <c r="AH986" s="13"/>
      <c r="AI986" s="13"/>
      <c r="AJ986" s="13"/>
      <c r="AK986" s="20" t="str">
        <f aca="false">IF(AH986="","",IF(ABS(AH986+AI986+AJ986-1)&lt;0.000001,"OK","ОШИБКА"))</f>
        <v/>
      </c>
      <c r="AL986" s="13"/>
      <c r="AM986" s="12"/>
      <c r="AN986" s="12"/>
      <c r="AO986" s="12"/>
      <c r="AP986" s="12"/>
      <c r="AQ986" s="18" t="str">
        <f aca="false">IF(A986="","",N(AQ985)+N(AA986))</f>
        <v/>
      </c>
      <c r="AR986" s="18" t="str">
        <f aca="false">IF(AQ986="","",MAX(0,MAX($AQ$8:AQ986))-AQ986)</f>
        <v/>
      </c>
    </row>
    <row r="987" customFormat="false" ht="15" hidden="false" customHeight="fals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3"/>
      <c r="M987" s="13"/>
      <c r="N987" s="13"/>
      <c r="O987" s="14" t="str">
        <f aca="false">IF(OR(L987="",L987=0),"",(1-M987)/L987)</f>
        <v/>
      </c>
      <c r="P987" s="15"/>
      <c r="Q987" s="12"/>
      <c r="R987" s="12"/>
      <c r="S987" s="13"/>
      <c r="T987" s="16" t="str">
        <f aca="false">IF(OR(S987="",L987=""),"",L987/(1-M987)-S987)</f>
        <v/>
      </c>
      <c r="U987" s="16" t="str">
        <f aca="false">IF(OR(L987="",P987=""),"",L987*(P987-1)-N987)</f>
        <v/>
      </c>
      <c r="V987" s="13"/>
      <c r="W987" s="17"/>
      <c r="X987" s="12"/>
      <c r="Y987" s="12"/>
      <c r="Z987" s="12"/>
      <c r="AA987" s="18" t="str">
        <f aca="false">IF(K987&lt;&gt;"ВИРТУАЛЬНЫЙ ВЫБОР","",IF(Z987="✅ ЗАШЛО",W987*(P987-1),IF(Z987="❌ НЕ ЗАШЛО",-W987,IF(Z987="½ ЗАШЛО",W987*(P987-1)/2,IF(Z987="½ НЕ ЗАШЛО",-W987/2,IF(Z987="ВОЗВРАТ",0,""))))))</f>
        <v/>
      </c>
      <c r="AB987" s="18" t="str">
        <f aca="false">IF(AND(K987="ВИРТУАЛЬНЫЙ ВЫБОР",OR(Z987="✅ ЗАШЛО",Z987="❌ НЕ ЗАШЛО",Z987="½ ЗАШЛО",Z987="½ НЕ ЗАШЛО",Z987="ВОЗВРАТ")),W987,"")</f>
        <v/>
      </c>
      <c r="AC987" s="15"/>
      <c r="AD987" s="16" t="str">
        <f aca="false">IF(OR(AC987="",P987=""),"",P987/AC987-1)</f>
        <v/>
      </c>
      <c r="AE987" s="19" t="str">
        <f aca="false">IF(AND(M987=0,OR(Z987="✅ ЗАШЛО",Z987="❌ НЕ ЗАШЛО"),L987&lt;&gt;""),(L987-IF(Z987="✅ ЗАШЛО",1,0))^2,"")</f>
        <v/>
      </c>
      <c r="AF987" s="15"/>
      <c r="AG987" s="15"/>
      <c r="AH987" s="13"/>
      <c r="AI987" s="13"/>
      <c r="AJ987" s="13"/>
      <c r="AK987" s="20" t="str">
        <f aca="false">IF(AH987="","",IF(ABS(AH987+AI987+AJ987-1)&lt;0.000001,"OK","ОШИБКА"))</f>
        <v/>
      </c>
      <c r="AL987" s="13"/>
      <c r="AM987" s="12"/>
      <c r="AN987" s="12"/>
      <c r="AO987" s="12"/>
      <c r="AP987" s="12"/>
      <c r="AQ987" s="18" t="str">
        <f aca="false">IF(A987="","",N(AQ986)+N(AA987))</f>
        <v/>
      </c>
      <c r="AR987" s="18" t="str">
        <f aca="false">IF(AQ987="","",MAX(0,MAX($AQ$8:AQ987))-AQ987)</f>
        <v/>
      </c>
    </row>
    <row r="988" customFormat="false" ht="15" hidden="false" customHeight="fals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3"/>
      <c r="M988" s="13"/>
      <c r="N988" s="13"/>
      <c r="O988" s="14" t="str">
        <f aca="false">IF(OR(L988="",L988=0),"",(1-M988)/L988)</f>
        <v/>
      </c>
      <c r="P988" s="15"/>
      <c r="Q988" s="12"/>
      <c r="R988" s="12"/>
      <c r="S988" s="13"/>
      <c r="T988" s="16" t="str">
        <f aca="false">IF(OR(S988="",L988=""),"",L988/(1-M988)-S988)</f>
        <v/>
      </c>
      <c r="U988" s="16" t="str">
        <f aca="false">IF(OR(L988="",P988=""),"",L988*(P988-1)-N988)</f>
        <v/>
      </c>
      <c r="V988" s="13"/>
      <c r="W988" s="17"/>
      <c r="X988" s="12"/>
      <c r="Y988" s="12"/>
      <c r="Z988" s="12"/>
      <c r="AA988" s="18" t="str">
        <f aca="false">IF(K988&lt;&gt;"ВИРТУАЛЬНЫЙ ВЫБОР","",IF(Z988="✅ ЗАШЛО",W988*(P988-1),IF(Z988="❌ НЕ ЗАШЛО",-W988,IF(Z988="½ ЗАШЛО",W988*(P988-1)/2,IF(Z988="½ НЕ ЗАШЛО",-W988/2,IF(Z988="ВОЗВРАТ",0,""))))))</f>
        <v/>
      </c>
      <c r="AB988" s="18" t="str">
        <f aca="false">IF(AND(K988="ВИРТУАЛЬНЫЙ ВЫБОР",OR(Z988="✅ ЗАШЛО",Z988="❌ НЕ ЗАШЛО",Z988="½ ЗАШЛО",Z988="½ НЕ ЗАШЛО",Z988="ВОЗВРАТ")),W988,"")</f>
        <v/>
      </c>
      <c r="AC988" s="15"/>
      <c r="AD988" s="16" t="str">
        <f aca="false">IF(OR(AC988="",P988=""),"",P988/AC988-1)</f>
        <v/>
      </c>
      <c r="AE988" s="19" t="str">
        <f aca="false">IF(AND(M988=0,OR(Z988="✅ ЗАШЛО",Z988="❌ НЕ ЗАШЛО"),L988&lt;&gt;""),(L988-IF(Z988="✅ ЗАШЛО",1,0))^2,"")</f>
        <v/>
      </c>
      <c r="AF988" s="15"/>
      <c r="AG988" s="15"/>
      <c r="AH988" s="13"/>
      <c r="AI988" s="13"/>
      <c r="AJ988" s="13"/>
      <c r="AK988" s="20" t="str">
        <f aca="false">IF(AH988="","",IF(ABS(AH988+AI988+AJ988-1)&lt;0.000001,"OK","ОШИБКА"))</f>
        <v/>
      </c>
      <c r="AL988" s="13"/>
      <c r="AM988" s="12"/>
      <c r="AN988" s="12"/>
      <c r="AO988" s="12"/>
      <c r="AP988" s="12"/>
      <c r="AQ988" s="18" t="str">
        <f aca="false">IF(A988="","",N(AQ987)+N(AA988))</f>
        <v/>
      </c>
      <c r="AR988" s="18" t="str">
        <f aca="false">IF(AQ988="","",MAX(0,MAX($AQ$8:AQ988))-AQ988)</f>
        <v/>
      </c>
    </row>
    <row r="989" customFormat="false" ht="15" hidden="false" customHeight="fals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3"/>
      <c r="M989" s="13"/>
      <c r="N989" s="13"/>
      <c r="O989" s="14" t="str">
        <f aca="false">IF(OR(L989="",L989=0),"",(1-M989)/L989)</f>
        <v/>
      </c>
      <c r="P989" s="15"/>
      <c r="Q989" s="12"/>
      <c r="R989" s="12"/>
      <c r="S989" s="13"/>
      <c r="T989" s="16" t="str">
        <f aca="false">IF(OR(S989="",L989=""),"",L989/(1-M989)-S989)</f>
        <v/>
      </c>
      <c r="U989" s="16" t="str">
        <f aca="false">IF(OR(L989="",P989=""),"",L989*(P989-1)-N989)</f>
        <v/>
      </c>
      <c r="V989" s="13"/>
      <c r="W989" s="17"/>
      <c r="X989" s="12"/>
      <c r="Y989" s="12"/>
      <c r="Z989" s="12"/>
      <c r="AA989" s="18" t="str">
        <f aca="false">IF(K989&lt;&gt;"ВИРТУАЛЬНЫЙ ВЫБОР","",IF(Z989="✅ ЗАШЛО",W989*(P989-1),IF(Z989="❌ НЕ ЗАШЛО",-W989,IF(Z989="½ ЗАШЛО",W989*(P989-1)/2,IF(Z989="½ НЕ ЗАШЛО",-W989/2,IF(Z989="ВОЗВРАТ",0,""))))))</f>
        <v/>
      </c>
      <c r="AB989" s="18" t="str">
        <f aca="false">IF(AND(K989="ВИРТУАЛЬНЫЙ ВЫБОР",OR(Z989="✅ ЗАШЛО",Z989="❌ НЕ ЗАШЛО",Z989="½ ЗАШЛО",Z989="½ НЕ ЗАШЛО",Z989="ВОЗВРАТ")),W989,"")</f>
        <v/>
      </c>
      <c r="AC989" s="15"/>
      <c r="AD989" s="16" t="str">
        <f aca="false">IF(OR(AC989="",P989=""),"",P989/AC989-1)</f>
        <v/>
      </c>
      <c r="AE989" s="19" t="str">
        <f aca="false">IF(AND(M989=0,OR(Z989="✅ ЗАШЛО",Z989="❌ НЕ ЗАШЛО"),L989&lt;&gt;""),(L989-IF(Z989="✅ ЗАШЛО",1,0))^2,"")</f>
        <v/>
      </c>
      <c r="AF989" s="15"/>
      <c r="AG989" s="15"/>
      <c r="AH989" s="13"/>
      <c r="AI989" s="13"/>
      <c r="AJ989" s="13"/>
      <c r="AK989" s="20" t="str">
        <f aca="false">IF(AH989="","",IF(ABS(AH989+AI989+AJ989-1)&lt;0.000001,"OK","ОШИБКА"))</f>
        <v/>
      </c>
      <c r="AL989" s="13"/>
      <c r="AM989" s="12"/>
      <c r="AN989" s="12"/>
      <c r="AO989" s="12"/>
      <c r="AP989" s="12"/>
      <c r="AQ989" s="18" t="str">
        <f aca="false">IF(A989="","",N(AQ988)+N(AA989))</f>
        <v/>
      </c>
      <c r="AR989" s="18" t="str">
        <f aca="false">IF(AQ989="","",MAX(0,MAX($AQ$8:AQ989))-AQ989)</f>
        <v/>
      </c>
    </row>
    <row r="990" customFormat="false" ht="15" hidden="false" customHeight="fals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3"/>
      <c r="M990" s="13"/>
      <c r="N990" s="13"/>
      <c r="O990" s="14" t="str">
        <f aca="false">IF(OR(L990="",L990=0),"",(1-M990)/L990)</f>
        <v/>
      </c>
      <c r="P990" s="15"/>
      <c r="Q990" s="12"/>
      <c r="R990" s="12"/>
      <c r="S990" s="13"/>
      <c r="T990" s="16" t="str">
        <f aca="false">IF(OR(S990="",L990=""),"",L990/(1-M990)-S990)</f>
        <v/>
      </c>
      <c r="U990" s="16" t="str">
        <f aca="false">IF(OR(L990="",P990=""),"",L990*(P990-1)-N990)</f>
        <v/>
      </c>
      <c r="V990" s="13"/>
      <c r="W990" s="17"/>
      <c r="X990" s="12"/>
      <c r="Y990" s="12"/>
      <c r="Z990" s="12"/>
      <c r="AA990" s="18" t="str">
        <f aca="false">IF(K990&lt;&gt;"ВИРТУАЛЬНЫЙ ВЫБОР","",IF(Z990="✅ ЗАШЛО",W990*(P990-1),IF(Z990="❌ НЕ ЗАШЛО",-W990,IF(Z990="½ ЗАШЛО",W990*(P990-1)/2,IF(Z990="½ НЕ ЗАШЛО",-W990/2,IF(Z990="ВОЗВРАТ",0,""))))))</f>
        <v/>
      </c>
      <c r="AB990" s="18" t="str">
        <f aca="false">IF(AND(K990="ВИРТУАЛЬНЫЙ ВЫБОР",OR(Z990="✅ ЗАШЛО",Z990="❌ НЕ ЗАШЛО",Z990="½ ЗАШЛО",Z990="½ НЕ ЗАШЛО",Z990="ВОЗВРАТ")),W990,"")</f>
        <v/>
      </c>
      <c r="AC990" s="15"/>
      <c r="AD990" s="16" t="str">
        <f aca="false">IF(OR(AC990="",P990=""),"",P990/AC990-1)</f>
        <v/>
      </c>
      <c r="AE990" s="19" t="str">
        <f aca="false">IF(AND(M990=0,OR(Z990="✅ ЗАШЛО",Z990="❌ НЕ ЗАШЛО"),L990&lt;&gt;""),(L990-IF(Z990="✅ ЗАШЛО",1,0))^2,"")</f>
        <v/>
      </c>
      <c r="AF990" s="15"/>
      <c r="AG990" s="15"/>
      <c r="AH990" s="13"/>
      <c r="AI990" s="13"/>
      <c r="AJ990" s="13"/>
      <c r="AK990" s="20" t="str">
        <f aca="false">IF(AH990="","",IF(ABS(AH990+AI990+AJ990-1)&lt;0.000001,"OK","ОШИБКА"))</f>
        <v/>
      </c>
      <c r="AL990" s="13"/>
      <c r="AM990" s="12"/>
      <c r="AN990" s="12"/>
      <c r="AO990" s="12"/>
      <c r="AP990" s="12"/>
      <c r="AQ990" s="18" t="str">
        <f aca="false">IF(A990="","",N(AQ989)+N(AA990))</f>
        <v/>
      </c>
      <c r="AR990" s="18" t="str">
        <f aca="false">IF(AQ990="","",MAX(0,MAX($AQ$8:AQ990))-AQ990)</f>
        <v/>
      </c>
    </row>
    <row r="991" customFormat="false" ht="15" hidden="false" customHeight="fals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3"/>
      <c r="M991" s="13"/>
      <c r="N991" s="13"/>
      <c r="O991" s="14" t="str">
        <f aca="false">IF(OR(L991="",L991=0),"",(1-M991)/L991)</f>
        <v/>
      </c>
      <c r="P991" s="15"/>
      <c r="Q991" s="12"/>
      <c r="R991" s="12"/>
      <c r="S991" s="13"/>
      <c r="T991" s="16" t="str">
        <f aca="false">IF(OR(S991="",L991=""),"",L991/(1-M991)-S991)</f>
        <v/>
      </c>
      <c r="U991" s="16" t="str">
        <f aca="false">IF(OR(L991="",P991=""),"",L991*(P991-1)-N991)</f>
        <v/>
      </c>
      <c r="V991" s="13"/>
      <c r="W991" s="17"/>
      <c r="X991" s="12"/>
      <c r="Y991" s="12"/>
      <c r="Z991" s="12"/>
      <c r="AA991" s="18" t="str">
        <f aca="false">IF(K991&lt;&gt;"ВИРТУАЛЬНЫЙ ВЫБОР","",IF(Z991="✅ ЗАШЛО",W991*(P991-1),IF(Z991="❌ НЕ ЗАШЛО",-W991,IF(Z991="½ ЗАШЛО",W991*(P991-1)/2,IF(Z991="½ НЕ ЗАШЛО",-W991/2,IF(Z991="ВОЗВРАТ",0,""))))))</f>
        <v/>
      </c>
      <c r="AB991" s="18" t="str">
        <f aca="false">IF(AND(K991="ВИРТУАЛЬНЫЙ ВЫБОР",OR(Z991="✅ ЗАШЛО",Z991="❌ НЕ ЗАШЛО",Z991="½ ЗАШЛО",Z991="½ НЕ ЗАШЛО",Z991="ВОЗВРАТ")),W991,"")</f>
        <v/>
      </c>
      <c r="AC991" s="15"/>
      <c r="AD991" s="16" t="str">
        <f aca="false">IF(OR(AC991="",P991=""),"",P991/AC991-1)</f>
        <v/>
      </c>
      <c r="AE991" s="19" t="str">
        <f aca="false">IF(AND(M991=0,OR(Z991="✅ ЗАШЛО",Z991="❌ НЕ ЗАШЛО"),L991&lt;&gt;""),(L991-IF(Z991="✅ ЗАШЛО",1,0))^2,"")</f>
        <v/>
      </c>
      <c r="AF991" s="15"/>
      <c r="AG991" s="15"/>
      <c r="AH991" s="13"/>
      <c r="AI991" s="13"/>
      <c r="AJ991" s="13"/>
      <c r="AK991" s="20" t="str">
        <f aca="false">IF(AH991="","",IF(ABS(AH991+AI991+AJ991-1)&lt;0.000001,"OK","ОШИБКА"))</f>
        <v/>
      </c>
      <c r="AL991" s="13"/>
      <c r="AM991" s="12"/>
      <c r="AN991" s="12"/>
      <c r="AO991" s="12"/>
      <c r="AP991" s="12"/>
      <c r="AQ991" s="18" t="str">
        <f aca="false">IF(A991="","",N(AQ990)+N(AA991))</f>
        <v/>
      </c>
      <c r="AR991" s="18" t="str">
        <f aca="false">IF(AQ991="","",MAX(0,MAX($AQ$8:AQ991))-AQ991)</f>
        <v/>
      </c>
    </row>
    <row r="992" customFormat="false" ht="15" hidden="false" customHeight="fals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3"/>
      <c r="M992" s="13"/>
      <c r="N992" s="13"/>
      <c r="O992" s="14" t="str">
        <f aca="false">IF(OR(L992="",L992=0),"",(1-M992)/L992)</f>
        <v/>
      </c>
      <c r="P992" s="15"/>
      <c r="Q992" s="12"/>
      <c r="R992" s="12"/>
      <c r="S992" s="13"/>
      <c r="T992" s="16" t="str">
        <f aca="false">IF(OR(S992="",L992=""),"",L992/(1-M992)-S992)</f>
        <v/>
      </c>
      <c r="U992" s="16" t="str">
        <f aca="false">IF(OR(L992="",P992=""),"",L992*(P992-1)-N992)</f>
        <v/>
      </c>
      <c r="V992" s="13"/>
      <c r="W992" s="17"/>
      <c r="X992" s="12"/>
      <c r="Y992" s="12"/>
      <c r="Z992" s="12"/>
      <c r="AA992" s="18" t="str">
        <f aca="false">IF(K992&lt;&gt;"ВИРТУАЛЬНЫЙ ВЫБОР","",IF(Z992="✅ ЗАШЛО",W992*(P992-1),IF(Z992="❌ НЕ ЗАШЛО",-W992,IF(Z992="½ ЗАШЛО",W992*(P992-1)/2,IF(Z992="½ НЕ ЗАШЛО",-W992/2,IF(Z992="ВОЗВРАТ",0,""))))))</f>
        <v/>
      </c>
      <c r="AB992" s="18" t="str">
        <f aca="false">IF(AND(K992="ВИРТУАЛЬНЫЙ ВЫБОР",OR(Z992="✅ ЗАШЛО",Z992="❌ НЕ ЗАШЛО",Z992="½ ЗАШЛО",Z992="½ НЕ ЗАШЛО",Z992="ВОЗВРАТ")),W992,"")</f>
        <v/>
      </c>
      <c r="AC992" s="15"/>
      <c r="AD992" s="16" t="str">
        <f aca="false">IF(OR(AC992="",P992=""),"",P992/AC992-1)</f>
        <v/>
      </c>
      <c r="AE992" s="19" t="str">
        <f aca="false">IF(AND(M992=0,OR(Z992="✅ ЗАШЛО",Z992="❌ НЕ ЗАШЛО"),L992&lt;&gt;""),(L992-IF(Z992="✅ ЗАШЛО",1,0))^2,"")</f>
        <v/>
      </c>
      <c r="AF992" s="15"/>
      <c r="AG992" s="15"/>
      <c r="AH992" s="13"/>
      <c r="AI992" s="13"/>
      <c r="AJ992" s="13"/>
      <c r="AK992" s="20" t="str">
        <f aca="false">IF(AH992="","",IF(ABS(AH992+AI992+AJ992-1)&lt;0.000001,"OK","ОШИБКА"))</f>
        <v/>
      </c>
      <c r="AL992" s="13"/>
      <c r="AM992" s="12"/>
      <c r="AN992" s="12"/>
      <c r="AO992" s="12"/>
      <c r="AP992" s="12"/>
      <c r="AQ992" s="18" t="str">
        <f aca="false">IF(A992="","",N(AQ991)+N(AA992))</f>
        <v/>
      </c>
      <c r="AR992" s="18" t="str">
        <f aca="false">IF(AQ992="","",MAX(0,MAX($AQ$8:AQ992))-AQ992)</f>
        <v/>
      </c>
    </row>
    <row r="993" customFormat="false" ht="15" hidden="false" customHeight="fals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3"/>
      <c r="M993" s="13"/>
      <c r="N993" s="13"/>
      <c r="O993" s="14" t="str">
        <f aca="false">IF(OR(L993="",L993=0),"",(1-M993)/L993)</f>
        <v/>
      </c>
      <c r="P993" s="15"/>
      <c r="Q993" s="12"/>
      <c r="R993" s="12"/>
      <c r="S993" s="13"/>
      <c r="T993" s="16" t="str">
        <f aca="false">IF(OR(S993="",L993=""),"",L993/(1-M993)-S993)</f>
        <v/>
      </c>
      <c r="U993" s="16" t="str">
        <f aca="false">IF(OR(L993="",P993=""),"",L993*(P993-1)-N993)</f>
        <v/>
      </c>
      <c r="V993" s="13"/>
      <c r="W993" s="17"/>
      <c r="X993" s="12"/>
      <c r="Y993" s="12"/>
      <c r="Z993" s="12"/>
      <c r="AA993" s="18" t="str">
        <f aca="false">IF(K993&lt;&gt;"ВИРТУАЛЬНЫЙ ВЫБОР","",IF(Z993="✅ ЗАШЛО",W993*(P993-1),IF(Z993="❌ НЕ ЗАШЛО",-W993,IF(Z993="½ ЗАШЛО",W993*(P993-1)/2,IF(Z993="½ НЕ ЗАШЛО",-W993/2,IF(Z993="ВОЗВРАТ",0,""))))))</f>
        <v/>
      </c>
      <c r="AB993" s="18" t="str">
        <f aca="false">IF(AND(K993="ВИРТУАЛЬНЫЙ ВЫБОР",OR(Z993="✅ ЗАШЛО",Z993="❌ НЕ ЗАШЛО",Z993="½ ЗАШЛО",Z993="½ НЕ ЗАШЛО",Z993="ВОЗВРАТ")),W993,"")</f>
        <v/>
      </c>
      <c r="AC993" s="15"/>
      <c r="AD993" s="16" t="str">
        <f aca="false">IF(OR(AC993="",P993=""),"",P993/AC993-1)</f>
        <v/>
      </c>
      <c r="AE993" s="19" t="str">
        <f aca="false">IF(AND(M993=0,OR(Z993="✅ ЗАШЛО",Z993="❌ НЕ ЗАШЛО"),L993&lt;&gt;""),(L993-IF(Z993="✅ ЗАШЛО",1,0))^2,"")</f>
        <v/>
      </c>
      <c r="AF993" s="15"/>
      <c r="AG993" s="15"/>
      <c r="AH993" s="13"/>
      <c r="AI993" s="13"/>
      <c r="AJ993" s="13"/>
      <c r="AK993" s="20" t="str">
        <f aca="false">IF(AH993="","",IF(ABS(AH993+AI993+AJ993-1)&lt;0.000001,"OK","ОШИБКА"))</f>
        <v/>
      </c>
      <c r="AL993" s="13"/>
      <c r="AM993" s="12"/>
      <c r="AN993" s="12"/>
      <c r="AO993" s="12"/>
      <c r="AP993" s="12"/>
      <c r="AQ993" s="18" t="str">
        <f aca="false">IF(A993="","",N(AQ992)+N(AA993))</f>
        <v/>
      </c>
      <c r="AR993" s="18" t="str">
        <f aca="false">IF(AQ993="","",MAX(0,MAX($AQ$8:AQ993))-AQ993)</f>
        <v/>
      </c>
    </row>
    <row r="994" customFormat="false" ht="15" hidden="false" customHeight="fals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3"/>
      <c r="M994" s="13"/>
      <c r="N994" s="13"/>
      <c r="O994" s="14" t="str">
        <f aca="false">IF(OR(L994="",L994=0),"",(1-M994)/L994)</f>
        <v/>
      </c>
      <c r="P994" s="15"/>
      <c r="Q994" s="12"/>
      <c r="R994" s="12"/>
      <c r="S994" s="13"/>
      <c r="T994" s="16" t="str">
        <f aca="false">IF(OR(S994="",L994=""),"",L994/(1-M994)-S994)</f>
        <v/>
      </c>
      <c r="U994" s="16" t="str">
        <f aca="false">IF(OR(L994="",P994=""),"",L994*(P994-1)-N994)</f>
        <v/>
      </c>
      <c r="V994" s="13"/>
      <c r="W994" s="17"/>
      <c r="X994" s="12"/>
      <c r="Y994" s="12"/>
      <c r="Z994" s="12"/>
      <c r="AA994" s="18" t="str">
        <f aca="false">IF(K994&lt;&gt;"ВИРТУАЛЬНЫЙ ВЫБОР","",IF(Z994="✅ ЗАШЛО",W994*(P994-1),IF(Z994="❌ НЕ ЗАШЛО",-W994,IF(Z994="½ ЗАШЛО",W994*(P994-1)/2,IF(Z994="½ НЕ ЗАШЛО",-W994/2,IF(Z994="ВОЗВРАТ",0,""))))))</f>
        <v/>
      </c>
      <c r="AB994" s="18" t="str">
        <f aca="false">IF(AND(K994="ВИРТУАЛЬНЫЙ ВЫБОР",OR(Z994="✅ ЗАШЛО",Z994="❌ НЕ ЗАШЛО",Z994="½ ЗАШЛО",Z994="½ НЕ ЗАШЛО",Z994="ВОЗВРАТ")),W994,"")</f>
        <v/>
      </c>
      <c r="AC994" s="15"/>
      <c r="AD994" s="16" t="str">
        <f aca="false">IF(OR(AC994="",P994=""),"",P994/AC994-1)</f>
        <v/>
      </c>
      <c r="AE994" s="19" t="str">
        <f aca="false">IF(AND(M994=0,OR(Z994="✅ ЗАШЛО",Z994="❌ НЕ ЗАШЛО"),L994&lt;&gt;""),(L994-IF(Z994="✅ ЗАШЛО",1,0))^2,"")</f>
        <v/>
      </c>
      <c r="AF994" s="15"/>
      <c r="AG994" s="15"/>
      <c r="AH994" s="13"/>
      <c r="AI994" s="13"/>
      <c r="AJ994" s="13"/>
      <c r="AK994" s="20" t="str">
        <f aca="false">IF(AH994="","",IF(ABS(AH994+AI994+AJ994-1)&lt;0.000001,"OK","ОШИБКА"))</f>
        <v/>
      </c>
      <c r="AL994" s="13"/>
      <c r="AM994" s="12"/>
      <c r="AN994" s="12"/>
      <c r="AO994" s="12"/>
      <c r="AP994" s="12"/>
      <c r="AQ994" s="18" t="str">
        <f aca="false">IF(A994="","",N(AQ993)+N(AA994))</f>
        <v/>
      </c>
      <c r="AR994" s="18" t="str">
        <f aca="false">IF(AQ994="","",MAX(0,MAX($AQ$8:AQ994))-AQ994)</f>
        <v/>
      </c>
    </row>
    <row r="995" customFormat="false" ht="15" hidden="false" customHeight="fals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3"/>
      <c r="M995" s="13"/>
      <c r="N995" s="13"/>
      <c r="O995" s="14" t="str">
        <f aca="false">IF(OR(L995="",L995=0),"",(1-M995)/L995)</f>
        <v/>
      </c>
      <c r="P995" s="15"/>
      <c r="Q995" s="12"/>
      <c r="R995" s="12"/>
      <c r="S995" s="13"/>
      <c r="T995" s="16" t="str">
        <f aca="false">IF(OR(S995="",L995=""),"",L995/(1-M995)-S995)</f>
        <v/>
      </c>
      <c r="U995" s="16" t="str">
        <f aca="false">IF(OR(L995="",P995=""),"",L995*(P995-1)-N995)</f>
        <v/>
      </c>
      <c r="V995" s="13"/>
      <c r="W995" s="17"/>
      <c r="X995" s="12"/>
      <c r="Y995" s="12"/>
      <c r="Z995" s="12"/>
      <c r="AA995" s="18" t="str">
        <f aca="false">IF(K995&lt;&gt;"ВИРТУАЛЬНЫЙ ВЫБОР","",IF(Z995="✅ ЗАШЛО",W995*(P995-1),IF(Z995="❌ НЕ ЗАШЛО",-W995,IF(Z995="½ ЗАШЛО",W995*(P995-1)/2,IF(Z995="½ НЕ ЗАШЛО",-W995/2,IF(Z995="ВОЗВРАТ",0,""))))))</f>
        <v/>
      </c>
      <c r="AB995" s="18" t="str">
        <f aca="false">IF(AND(K995="ВИРТУАЛЬНЫЙ ВЫБОР",OR(Z995="✅ ЗАШЛО",Z995="❌ НЕ ЗАШЛО",Z995="½ ЗАШЛО",Z995="½ НЕ ЗАШЛО",Z995="ВОЗВРАТ")),W995,"")</f>
        <v/>
      </c>
      <c r="AC995" s="15"/>
      <c r="AD995" s="16" t="str">
        <f aca="false">IF(OR(AC995="",P995=""),"",P995/AC995-1)</f>
        <v/>
      </c>
      <c r="AE995" s="19" t="str">
        <f aca="false">IF(AND(M995=0,OR(Z995="✅ ЗАШЛО",Z995="❌ НЕ ЗАШЛО"),L995&lt;&gt;""),(L995-IF(Z995="✅ ЗАШЛО",1,0))^2,"")</f>
        <v/>
      </c>
      <c r="AF995" s="15"/>
      <c r="AG995" s="15"/>
      <c r="AH995" s="13"/>
      <c r="AI995" s="13"/>
      <c r="AJ995" s="13"/>
      <c r="AK995" s="20" t="str">
        <f aca="false">IF(AH995="","",IF(ABS(AH995+AI995+AJ995-1)&lt;0.000001,"OK","ОШИБКА"))</f>
        <v/>
      </c>
      <c r="AL995" s="13"/>
      <c r="AM995" s="12"/>
      <c r="AN995" s="12"/>
      <c r="AO995" s="12"/>
      <c r="AP995" s="12"/>
      <c r="AQ995" s="18" t="str">
        <f aca="false">IF(A995="","",N(AQ994)+N(AA995))</f>
        <v/>
      </c>
      <c r="AR995" s="18" t="str">
        <f aca="false">IF(AQ995="","",MAX(0,MAX($AQ$8:AQ995))-AQ995)</f>
        <v/>
      </c>
    </row>
    <row r="996" customFormat="false" ht="15" hidden="false" customHeight="fals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3"/>
      <c r="M996" s="13"/>
      <c r="N996" s="13"/>
      <c r="O996" s="14" t="str">
        <f aca="false">IF(OR(L996="",L996=0),"",(1-M996)/L996)</f>
        <v/>
      </c>
      <c r="P996" s="15"/>
      <c r="Q996" s="12"/>
      <c r="R996" s="12"/>
      <c r="S996" s="13"/>
      <c r="T996" s="16" t="str">
        <f aca="false">IF(OR(S996="",L996=""),"",L996/(1-M996)-S996)</f>
        <v/>
      </c>
      <c r="U996" s="16" t="str">
        <f aca="false">IF(OR(L996="",P996=""),"",L996*(P996-1)-N996)</f>
        <v/>
      </c>
      <c r="V996" s="13"/>
      <c r="W996" s="17"/>
      <c r="X996" s="12"/>
      <c r="Y996" s="12"/>
      <c r="Z996" s="12"/>
      <c r="AA996" s="18" t="str">
        <f aca="false">IF(K996&lt;&gt;"ВИРТУАЛЬНЫЙ ВЫБОР","",IF(Z996="✅ ЗАШЛО",W996*(P996-1),IF(Z996="❌ НЕ ЗАШЛО",-W996,IF(Z996="½ ЗАШЛО",W996*(P996-1)/2,IF(Z996="½ НЕ ЗАШЛО",-W996/2,IF(Z996="ВОЗВРАТ",0,""))))))</f>
        <v/>
      </c>
      <c r="AB996" s="18" t="str">
        <f aca="false">IF(AND(K996="ВИРТУАЛЬНЫЙ ВЫБОР",OR(Z996="✅ ЗАШЛО",Z996="❌ НЕ ЗАШЛО",Z996="½ ЗАШЛО",Z996="½ НЕ ЗАШЛО",Z996="ВОЗВРАТ")),W996,"")</f>
        <v/>
      </c>
      <c r="AC996" s="15"/>
      <c r="AD996" s="16" t="str">
        <f aca="false">IF(OR(AC996="",P996=""),"",P996/AC996-1)</f>
        <v/>
      </c>
      <c r="AE996" s="19" t="str">
        <f aca="false">IF(AND(M996=0,OR(Z996="✅ ЗАШЛО",Z996="❌ НЕ ЗАШЛО"),L996&lt;&gt;""),(L996-IF(Z996="✅ ЗАШЛО",1,0))^2,"")</f>
        <v/>
      </c>
      <c r="AF996" s="15"/>
      <c r="AG996" s="15"/>
      <c r="AH996" s="13"/>
      <c r="AI996" s="13"/>
      <c r="AJ996" s="13"/>
      <c r="AK996" s="20" t="str">
        <f aca="false">IF(AH996="","",IF(ABS(AH996+AI996+AJ996-1)&lt;0.000001,"OK","ОШИБКА"))</f>
        <v/>
      </c>
      <c r="AL996" s="13"/>
      <c r="AM996" s="12"/>
      <c r="AN996" s="12"/>
      <c r="AO996" s="12"/>
      <c r="AP996" s="12"/>
      <c r="AQ996" s="18" t="str">
        <f aca="false">IF(A996="","",N(AQ995)+N(AA996))</f>
        <v/>
      </c>
      <c r="AR996" s="18" t="str">
        <f aca="false">IF(AQ996="","",MAX(0,MAX($AQ$8:AQ996))-AQ996)</f>
        <v/>
      </c>
    </row>
    <row r="997" customFormat="false" ht="15" hidden="false" customHeight="fals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3"/>
      <c r="M997" s="13"/>
      <c r="N997" s="13"/>
      <c r="O997" s="14" t="str">
        <f aca="false">IF(OR(L997="",L997=0),"",(1-M997)/L997)</f>
        <v/>
      </c>
      <c r="P997" s="15"/>
      <c r="Q997" s="12"/>
      <c r="R997" s="12"/>
      <c r="S997" s="13"/>
      <c r="T997" s="16" t="str">
        <f aca="false">IF(OR(S997="",L997=""),"",L997/(1-M997)-S997)</f>
        <v/>
      </c>
      <c r="U997" s="16" t="str">
        <f aca="false">IF(OR(L997="",P997=""),"",L997*(P997-1)-N997)</f>
        <v/>
      </c>
      <c r="V997" s="13"/>
      <c r="W997" s="17"/>
      <c r="X997" s="12"/>
      <c r="Y997" s="12"/>
      <c r="Z997" s="12"/>
      <c r="AA997" s="18" t="str">
        <f aca="false">IF(K997&lt;&gt;"ВИРТУАЛЬНЫЙ ВЫБОР","",IF(Z997="✅ ЗАШЛО",W997*(P997-1),IF(Z997="❌ НЕ ЗАШЛО",-W997,IF(Z997="½ ЗАШЛО",W997*(P997-1)/2,IF(Z997="½ НЕ ЗАШЛО",-W997/2,IF(Z997="ВОЗВРАТ",0,""))))))</f>
        <v/>
      </c>
      <c r="AB997" s="18" t="str">
        <f aca="false">IF(AND(K997="ВИРТУАЛЬНЫЙ ВЫБОР",OR(Z997="✅ ЗАШЛО",Z997="❌ НЕ ЗАШЛО",Z997="½ ЗАШЛО",Z997="½ НЕ ЗАШЛО",Z997="ВОЗВРАТ")),W997,"")</f>
        <v/>
      </c>
      <c r="AC997" s="15"/>
      <c r="AD997" s="16" t="str">
        <f aca="false">IF(OR(AC997="",P997=""),"",P997/AC997-1)</f>
        <v/>
      </c>
      <c r="AE997" s="19" t="str">
        <f aca="false">IF(AND(M997=0,OR(Z997="✅ ЗАШЛО",Z997="❌ НЕ ЗАШЛО"),L997&lt;&gt;""),(L997-IF(Z997="✅ ЗАШЛО",1,0))^2,"")</f>
        <v/>
      </c>
      <c r="AF997" s="15"/>
      <c r="AG997" s="15"/>
      <c r="AH997" s="13"/>
      <c r="AI997" s="13"/>
      <c r="AJ997" s="13"/>
      <c r="AK997" s="20" t="str">
        <f aca="false">IF(AH997="","",IF(ABS(AH997+AI997+AJ997-1)&lt;0.000001,"OK","ОШИБКА"))</f>
        <v/>
      </c>
      <c r="AL997" s="13"/>
      <c r="AM997" s="12"/>
      <c r="AN997" s="12"/>
      <c r="AO997" s="12"/>
      <c r="AP997" s="12"/>
      <c r="AQ997" s="18" t="str">
        <f aca="false">IF(A997="","",N(AQ996)+N(AA997))</f>
        <v/>
      </c>
      <c r="AR997" s="18" t="str">
        <f aca="false">IF(AQ997="","",MAX(0,MAX($AQ$8:AQ997))-AQ997)</f>
        <v/>
      </c>
    </row>
    <row r="998" customFormat="false" ht="15" hidden="false" customHeight="fals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3"/>
      <c r="M998" s="13"/>
      <c r="N998" s="13"/>
      <c r="O998" s="14" t="str">
        <f aca="false">IF(OR(L998="",L998=0),"",(1-M998)/L998)</f>
        <v/>
      </c>
      <c r="P998" s="15"/>
      <c r="Q998" s="12"/>
      <c r="R998" s="12"/>
      <c r="S998" s="13"/>
      <c r="T998" s="16" t="str">
        <f aca="false">IF(OR(S998="",L998=""),"",L998/(1-M998)-S998)</f>
        <v/>
      </c>
      <c r="U998" s="16" t="str">
        <f aca="false">IF(OR(L998="",P998=""),"",L998*(P998-1)-N998)</f>
        <v/>
      </c>
      <c r="V998" s="13"/>
      <c r="W998" s="17"/>
      <c r="X998" s="12"/>
      <c r="Y998" s="12"/>
      <c r="Z998" s="12"/>
      <c r="AA998" s="18" t="str">
        <f aca="false">IF(K998&lt;&gt;"ВИРТУАЛЬНЫЙ ВЫБОР","",IF(Z998="✅ ЗАШЛО",W998*(P998-1),IF(Z998="❌ НЕ ЗАШЛО",-W998,IF(Z998="½ ЗАШЛО",W998*(P998-1)/2,IF(Z998="½ НЕ ЗАШЛО",-W998/2,IF(Z998="ВОЗВРАТ",0,""))))))</f>
        <v/>
      </c>
      <c r="AB998" s="18" t="str">
        <f aca="false">IF(AND(K998="ВИРТУАЛЬНЫЙ ВЫБОР",OR(Z998="✅ ЗАШЛО",Z998="❌ НЕ ЗАШЛО",Z998="½ ЗАШЛО",Z998="½ НЕ ЗАШЛО",Z998="ВОЗВРАТ")),W998,"")</f>
        <v/>
      </c>
      <c r="AC998" s="15"/>
      <c r="AD998" s="16" t="str">
        <f aca="false">IF(OR(AC998="",P998=""),"",P998/AC998-1)</f>
        <v/>
      </c>
      <c r="AE998" s="19" t="str">
        <f aca="false">IF(AND(M998=0,OR(Z998="✅ ЗАШЛО",Z998="❌ НЕ ЗАШЛО"),L998&lt;&gt;""),(L998-IF(Z998="✅ ЗАШЛО",1,0))^2,"")</f>
        <v/>
      </c>
      <c r="AF998" s="15"/>
      <c r="AG998" s="15"/>
      <c r="AH998" s="13"/>
      <c r="AI998" s="13"/>
      <c r="AJ998" s="13"/>
      <c r="AK998" s="20" t="str">
        <f aca="false">IF(AH998="","",IF(ABS(AH998+AI998+AJ998-1)&lt;0.000001,"OK","ОШИБКА"))</f>
        <v/>
      </c>
      <c r="AL998" s="13"/>
      <c r="AM998" s="12"/>
      <c r="AN998" s="12"/>
      <c r="AO998" s="12"/>
      <c r="AP998" s="12"/>
      <c r="AQ998" s="18" t="str">
        <f aca="false">IF(A998="","",N(AQ997)+N(AA998))</f>
        <v/>
      </c>
      <c r="AR998" s="18" t="str">
        <f aca="false">IF(AQ998="","",MAX(0,MAX($AQ$8:AQ998))-AQ998)</f>
        <v/>
      </c>
    </row>
    <row r="999" customFormat="false" ht="15" hidden="false" customHeight="fals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3"/>
      <c r="M999" s="13"/>
      <c r="N999" s="13"/>
      <c r="O999" s="14" t="str">
        <f aca="false">IF(OR(L999="",L999=0),"",(1-M999)/L999)</f>
        <v/>
      </c>
      <c r="P999" s="15"/>
      <c r="Q999" s="12"/>
      <c r="R999" s="12"/>
      <c r="S999" s="13"/>
      <c r="T999" s="16" t="str">
        <f aca="false">IF(OR(S999="",L999=""),"",L999/(1-M999)-S999)</f>
        <v/>
      </c>
      <c r="U999" s="16" t="str">
        <f aca="false">IF(OR(L999="",P999=""),"",L999*(P999-1)-N999)</f>
        <v/>
      </c>
      <c r="V999" s="13"/>
      <c r="W999" s="17"/>
      <c r="X999" s="12"/>
      <c r="Y999" s="12"/>
      <c r="Z999" s="12"/>
      <c r="AA999" s="18" t="str">
        <f aca="false">IF(K999&lt;&gt;"ВИРТУАЛЬНЫЙ ВЫБОР","",IF(Z999="✅ ЗАШЛО",W999*(P999-1),IF(Z999="❌ НЕ ЗАШЛО",-W999,IF(Z999="½ ЗАШЛО",W999*(P999-1)/2,IF(Z999="½ НЕ ЗАШЛО",-W999/2,IF(Z999="ВОЗВРАТ",0,""))))))</f>
        <v/>
      </c>
      <c r="AB999" s="18" t="str">
        <f aca="false">IF(AND(K999="ВИРТУАЛЬНЫЙ ВЫБОР",OR(Z999="✅ ЗАШЛО",Z999="❌ НЕ ЗАШЛО",Z999="½ ЗАШЛО",Z999="½ НЕ ЗАШЛО",Z999="ВОЗВРАТ")),W999,"")</f>
        <v/>
      </c>
      <c r="AC999" s="15"/>
      <c r="AD999" s="16" t="str">
        <f aca="false">IF(OR(AC999="",P999=""),"",P999/AC999-1)</f>
        <v/>
      </c>
      <c r="AE999" s="19" t="str">
        <f aca="false">IF(AND(M999=0,OR(Z999="✅ ЗАШЛО",Z999="❌ НЕ ЗАШЛО"),L999&lt;&gt;""),(L999-IF(Z999="✅ ЗАШЛО",1,0))^2,"")</f>
        <v/>
      </c>
      <c r="AF999" s="15"/>
      <c r="AG999" s="15"/>
      <c r="AH999" s="13"/>
      <c r="AI999" s="13"/>
      <c r="AJ999" s="13"/>
      <c r="AK999" s="20" t="str">
        <f aca="false">IF(AH999="","",IF(ABS(AH999+AI999+AJ999-1)&lt;0.000001,"OK","ОШИБКА"))</f>
        <v/>
      </c>
      <c r="AL999" s="13"/>
      <c r="AM999" s="12"/>
      <c r="AN999" s="12"/>
      <c r="AO999" s="12"/>
      <c r="AP999" s="12"/>
      <c r="AQ999" s="18" t="str">
        <f aca="false">IF(A999="","",N(AQ998)+N(AA999))</f>
        <v/>
      </c>
      <c r="AR999" s="18" t="str">
        <f aca="false">IF(AQ999="","",MAX(0,MAX($AQ$8:AQ999))-AQ999)</f>
        <v/>
      </c>
    </row>
    <row r="1000" customFormat="false" ht="15" hidden="false" customHeight="fals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3"/>
      <c r="M1000" s="13"/>
      <c r="N1000" s="13"/>
      <c r="O1000" s="14" t="str">
        <f aca="false">IF(OR(L1000="",L1000=0),"",(1-M1000)/L1000)</f>
        <v/>
      </c>
      <c r="P1000" s="15"/>
      <c r="Q1000" s="12"/>
      <c r="R1000" s="12"/>
      <c r="S1000" s="13"/>
      <c r="T1000" s="16" t="str">
        <f aca="false">IF(OR(S1000="",L1000=""),"",L1000/(1-M1000)-S1000)</f>
        <v/>
      </c>
      <c r="U1000" s="16" t="str">
        <f aca="false">IF(OR(L1000="",P1000=""),"",L1000*(P1000-1)-N1000)</f>
        <v/>
      </c>
      <c r="V1000" s="13"/>
      <c r="W1000" s="17"/>
      <c r="X1000" s="12"/>
      <c r="Y1000" s="12"/>
      <c r="Z1000" s="12"/>
      <c r="AA1000" s="18" t="str">
        <f aca="false">IF(K1000&lt;&gt;"ВИРТУАЛЬНЫЙ ВЫБОР","",IF(Z1000="✅ ЗАШЛО",W1000*(P1000-1),IF(Z1000="❌ НЕ ЗАШЛО",-W1000,IF(Z1000="½ ЗАШЛО",W1000*(P1000-1)/2,IF(Z1000="½ НЕ ЗАШЛО",-W1000/2,IF(Z1000="ВОЗВРАТ",0,""))))))</f>
        <v/>
      </c>
      <c r="AB1000" s="18" t="str">
        <f aca="false">IF(AND(K1000="ВИРТУАЛЬНЫЙ ВЫБОР",OR(Z1000="✅ ЗАШЛО",Z1000="❌ НЕ ЗАШЛО",Z1000="½ ЗАШЛО",Z1000="½ НЕ ЗАШЛО",Z1000="ВОЗВРАТ")),W1000,"")</f>
        <v/>
      </c>
      <c r="AC1000" s="15"/>
      <c r="AD1000" s="16" t="str">
        <f aca="false">IF(OR(AC1000="",P1000=""),"",P1000/AC1000-1)</f>
        <v/>
      </c>
      <c r="AE1000" s="19" t="str">
        <f aca="false">IF(AND(M1000=0,OR(Z1000="✅ ЗАШЛО",Z1000="❌ НЕ ЗАШЛО"),L1000&lt;&gt;""),(L1000-IF(Z1000="✅ ЗАШЛО",1,0))^2,"")</f>
        <v/>
      </c>
      <c r="AF1000" s="15"/>
      <c r="AG1000" s="15"/>
      <c r="AH1000" s="13"/>
      <c r="AI1000" s="13"/>
      <c r="AJ1000" s="13"/>
      <c r="AK1000" s="20" t="str">
        <f aca="false">IF(AH1000="","",IF(ABS(AH1000+AI1000+AJ1000-1)&lt;0.000001,"OK","ОШИБКА"))</f>
        <v/>
      </c>
      <c r="AL1000" s="13"/>
      <c r="AM1000" s="12"/>
      <c r="AN1000" s="12"/>
      <c r="AO1000" s="12"/>
      <c r="AP1000" s="12"/>
      <c r="AQ1000" s="18" t="str">
        <f aca="false">IF(A1000="","",N(AQ999)+N(AA1000))</f>
        <v/>
      </c>
      <c r="AR1000" s="18" t="str">
        <f aca="false">IF(AQ1000="","",MAX(0,MAX($AQ$8:AQ1000))-AQ1000)</f>
        <v/>
      </c>
    </row>
  </sheetData>
  <autoFilter ref="A7:AR1000"/>
  <conditionalFormatting sqref="Z8:Z1000">
    <cfRule type="expression" priority="2" aboveAverage="0" equalAverage="0" bottom="0" percent="0" rank="0" text="" dxfId="4">
      <formula>NOT(ISERROR(SEARCH("✅",Z8)))</formula>
    </cfRule>
    <cfRule type="expression" priority="3" aboveAverage="0" equalAverage="0" bottom="0" percent="0" rank="0" text="" dxfId="5">
      <formula>NOT(ISERROR(SEARCH("❌",Z8)))</formula>
    </cfRule>
    <cfRule type="expression" priority="4" aboveAverage="0" equalAverage="0" bottom="0" percent="0" rank="0" text="" dxfId="6">
      <formula>NOT(ISERROR(SEARCH("ВОЗВРАТ",Z8)))</formula>
    </cfRule>
    <cfRule type="expression" priority="5" aboveAverage="0" equalAverage="0" bottom="0" percent="0" rank="0" text="" dxfId="6">
      <formula>NOT(ISERROR(SEARCH("ОТМЕНА",Z8)))</formula>
    </cfRule>
    <cfRule type="expression" priority="6" aboveAverage="0" equalAverage="0" bottom="0" percent="0" rank="0" text="" dxfId="7">
      <formula>NOT(ISERROR(SEARCH("ОЖИДАНИЕ",Z8)))</formula>
    </cfRule>
  </conditionalFormatting>
  <conditionalFormatting sqref="AK8:AK1000">
    <cfRule type="expression" priority="7" aboveAverage="0" equalAverage="0" bottom="0" percent="0" rank="0" text="" dxfId="5">
      <formula>AK8="ОШИБКА"</formula>
    </cfRule>
  </conditionalFormatting>
  <dataValidations count="3">
    <dataValidation allowBlank="true" errorStyle="stop" operator="between" showDropDown="false" showErrorMessage="false" showInputMessage="false" sqref="Z8:Z1000" type="list">
      <formula1>"✅ ЗАШЛО,❌ НЕ ЗАШЛО,½ ЗАШЛО,½ НЕ ЗАШЛО,ВОЗВРАТ,ОТМЕНА,ОЖИДАНИЕ"</formula1>
      <formula2>0</formula2>
    </dataValidation>
    <dataValidation allowBlank="true" errorStyle="stop" operator="between" showDropDown="false" showErrorMessage="false" showInputMessage="false" sqref="K8:K1000" type="list">
      <formula1>"ВИРТУАЛЬНЫЙ ВЫБОР,НАБЛЮДЕНИЕ,НЕТ ЛИНИИ,НЕДОСТАТОЧНО ДАННЫХ,RETRO"</formula1>
      <formula2>0</formula2>
    </dataValidation>
    <dataValidation allowBlank="true" errorStyle="stop" operator="between" showDropDown="false" showErrorMessage="false" showInputMessage="false" sqref="H8:H1000" type="list">
      <formula1>"1x2_60,dc_60,total_60,total_ot,handicap_60,handicap_ot,win_ot"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1" t="s">
        <v>76</v>
      </c>
      <c r="B1" s="21" t="s">
        <v>77</v>
      </c>
      <c r="C1" s="21" t="s">
        <v>78</v>
      </c>
    </row>
    <row r="2" customFormat="false" ht="15" hidden="false" customHeight="false" outlineLevel="0" collapsed="false">
      <c r="A2" s="20" t="s">
        <v>0</v>
      </c>
      <c r="B2" s="22" t="n">
        <v>10000</v>
      </c>
      <c r="C2" s="20" t="s">
        <v>79</v>
      </c>
    </row>
    <row r="3" customFormat="false" ht="15" hidden="false" customHeight="false" outlineLevel="0" collapsed="false">
      <c r="A3" s="20" t="s">
        <v>80</v>
      </c>
      <c r="B3" s="23" t="n">
        <v>0.03</v>
      </c>
      <c r="C3" s="20" t="s">
        <v>81</v>
      </c>
    </row>
    <row r="4" customFormat="false" ht="15" hidden="false" customHeight="false" outlineLevel="0" collapsed="false">
      <c r="A4" s="20" t="s">
        <v>82</v>
      </c>
      <c r="B4" s="23" t="n">
        <v>0</v>
      </c>
      <c r="C4" s="20" t="s">
        <v>83</v>
      </c>
    </row>
    <row r="5" customFormat="false" ht="15" hidden="false" customHeight="false" outlineLevel="0" collapsed="false">
      <c r="A5" s="20" t="s">
        <v>84</v>
      </c>
      <c r="B5" s="23" t="n">
        <v>0.05</v>
      </c>
      <c r="C5" s="20" t="s">
        <v>85</v>
      </c>
    </row>
    <row r="6" customFormat="false" ht="15" hidden="false" customHeight="false" outlineLevel="0" collapsed="false">
      <c r="A6" s="20" t="s">
        <v>86</v>
      </c>
      <c r="B6" s="22" t="n">
        <v>4</v>
      </c>
      <c r="C6" s="20" t="s">
        <v>87</v>
      </c>
    </row>
    <row r="7" customFormat="false" ht="15" hidden="false" customHeight="false" outlineLevel="0" collapsed="false">
      <c r="A7" s="20" t="s">
        <v>88</v>
      </c>
      <c r="B7" s="22" t="n">
        <v>0.25</v>
      </c>
      <c r="C7" s="20" t="s">
        <v>89</v>
      </c>
    </row>
    <row r="8" customFormat="false" ht="15" hidden="false" customHeight="false" outlineLevel="0" collapsed="false">
      <c r="A8" s="20" t="s">
        <v>90</v>
      </c>
      <c r="B8" s="23" t="n">
        <v>0.02</v>
      </c>
      <c r="C8" s="20" t="s">
        <v>91</v>
      </c>
    </row>
    <row r="9" customFormat="false" ht="15" hidden="false" customHeight="false" outlineLevel="0" collapsed="false">
      <c r="A9" s="20" t="s">
        <v>92</v>
      </c>
      <c r="B9" s="24" t="n">
        <v>0.5</v>
      </c>
      <c r="C9" s="20" t="s">
        <v>93</v>
      </c>
    </row>
    <row r="10" customFormat="false" ht="15" hidden="false" customHeight="false" outlineLevel="0" collapsed="false">
      <c r="A10" s="20" t="s">
        <v>94</v>
      </c>
      <c r="B10" s="22" t="n">
        <v>240</v>
      </c>
      <c r="C10" s="20" t="s">
        <v>95</v>
      </c>
    </row>
    <row r="11" customFormat="false" ht="15" hidden="false" customHeight="false" outlineLevel="0" collapsed="false">
      <c r="A11" s="20" t="s">
        <v>96</v>
      </c>
      <c r="B11" s="22" t="n">
        <v>8</v>
      </c>
      <c r="C11" s="20" t="s">
        <v>95</v>
      </c>
    </row>
    <row r="12" customFormat="false" ht="15" hidden="false" customHeight="false" outlineLevel="0" collapsed="false">
      <c r="A12" s="20" t="s">
        <v>97</v>
      </c>
      <c r="B12" s="22" t="s">
        <v>65</v>
      </c>
      <c r="C12" s="2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6"/>
  </cols>
  <sheetData>
    <row r="1" customFormat="false" ht="15" hidden="false" customHeight="false" outlineLevel="0" collapsed="false">
      <c r="A1" s="21" t="s">
        <v>99</v>
      </c>
      <c r="B1" s="21" t="s">
        <v>100</v>
      </c>
      <c r="C1" s="21" t="s">
        <v>101</v>
      </c>
      <c r="D1" s="21" t="s">
        <v>102</v>
      </c>
      <c r="E1" s="21" t="s">
        <v>103</v>
      </c>
      <c r="F1" s="21" t="s">
        <v>104</v>
      </c>
    </row>
    <row r="2" customFormat="false" ht="15" hidden="false" customHeight="false" outlineLevel="0" collapsed="false">
      <c r="A2" s="13" t="n">
        <v>0</v>
      </c>
      <c r="B2" s="13" t="n">
        <v>0.1</v>
      </c>
      <c r="C2" s="3" t="n">
        <f aca="false">COUNTIFS(KHL!$L$8:$L$1000,"&gt;="&amp;A2,KHL!$L$8:$L$1000,"&lt;"&amp;B2,KHL!$AE$8:$AE$1000,"&lt;&gt;")</f>
        <v>0</v>
      </c>
      <c r="D2" s="25" t="str">
        <f aca="false">IFERROR(AVERAGEIFS(KHL!$L$8:$L$1000,KHL!$L$8:$L$1000,"&gt;="&amp;A2,KHL!$L$8:$L$1000,"&lt;"&amp;B2,KHL!$AE$8:$AE$1000,"&lt;&gt;"),"")</f>
        <v/>
      </c>
      <c r="E2" s="25" t="str">
        <f aca="false">IFERROR(COUNTIFS(KHL!$L$8:$L$1000,"&gt;="&amp;A2,KHL!$L$8:$L$1000,"&lt;"&amp;B2,KHL!$AE$8:$AE$1000,"&lt;&gt;",KHL!$Z$8:$Z$1000,"✅ ЗАШЛО")/C2,"")</f>
        <v/>
      </c>
      <c r="F2" s="25" t="str">
        <f aca="false">IF(OR(D2="",E2=""),"",E2-D2)</f>
        <v/>
      </c>
    </row>
    <row r="3" customFormat="false" ht="15" hidden="false" customHeight="false" outlineLevel="0" collapsed="false">
      <c r="A3" s="13" t="n">
        <v>0.1</v>
      </c>
      <c r="B3" s="13" t="n">
        <v>0.2</v>
      </c>
      <c r="C3" s="3" t="n">
        <f aca="false">COUNTIFS(KHL!$L$8:$L$1000,"&gt;="&amp;A3,KHL!$L$8:$L$1000,"&lt;"&amp;B3,KHL!$AE$8:$AE$1000,"&lt;&gt;")</f>
        <v>0</v>
      </c>
      <c r="D3" s="25" t="str">
        <f aca="false">IFERROR(AVERAGEIFS(KHL!$L$8:$L$1000,KHL!$L$8:$L$1000,"&gt;="&amp;A3,KHL!$L$8:$L$1000,"&lt;"&amp;B3,KHL!$AE$8:$AE$1000,"&lt;&gt;"),"")</f>
        <v/>
      </c>
      <c r="E3" s="25" t="str">
        <f aca="false">IFERROR(COUNTIFS(KHL!$L$8:$L$1000,"&gt;="&amp;A3,KHL!$L$8:$L$1000,"&lt;"&amp;B3,KHL!$AE$8:$AE$1000,"&lt;&gt;",KHL!$Z$8:$Z$1000,"✅ ЗАШЛО")/C3,"")</f>
        <v/>
      </c>
      <c r="F3" s="25" t="str">
        <f aca="false">IF(OR(D3="",E3=""),"",E3-D3)</f>
        <v/>
      </c>
    </row>
    <row r="4" customFormat="false" ht="15" hidden="false" customHeight="false" outlineLevel="0" collapsed="false">
      <c r="A4" s="13" t="n">
        <v>0.2</v>
      </c>
      <c r="B4" s="13" t="n">
        <v>0.3</v>
      </c>
      <c r="C4" s="3" t="n">
        <f aca="false">COUNTIFS(KHL!$L$8:$L$1000,"&gt;="&amp;A4,KHL!$L$8:$L$1000,"&lt;"&amp;B4,KHL!$AE$8:$AE$1000,"&lt;&gt;")</f>
        <v>0</v>
      </c>
      <c r="D4" s="25" t="str">
        <f aca="false">IFERROR(AVERAGEIFS(KHL!$L$8:$L$1000,KHL!$L$8:$L$1000,"&gt;="&amp;A4,KHL!$L$8:$L$1000,"&lt;"&amp;B4,KHL!$AE$8:$AE$1000,"&lt;&gt;"),"")</f>
        <v/>
      </c>
      <c r="E4" s="25" t="str">
        <f aca="false">IFERROR(COUNTIFS(KHL!$L$8:$L$1000,"&gt;="&amp;A4,KHL!$L$8:$L$1000,"&lt;"&amp;B4,KHL!$AE$8:$AE$1000,"&lt;&gt;",KHL!$Z$8:$Z$1000,"✅ ЗАШЛО")/C4,"")</f>
        <v/>
      </c>
      <c r="F4" s="25" t="str">
        <f aca="false">IF(OR(D4="",E4=""),"",E4-D4)</f>
        <v/>
      </c>
    </row>
    <row r="5" customFormat="false" ht="15" hidden="false" customHeight="false" outlineLevel="0" collapsed="false">
      <c r="A5" s="13" t="n">
        <v>0.3</v>
      </c>
      <c r="B5" s="13" t="n">
        <v>0.4</v>
      </c>
      <c r="C5" s="3" t="n">
        <f aca="false">COUNTIFS(KHL!$L$8:$L$1000,"&gt;="&amp;A5,KHL!$L$8:$L$1000,"&lt;"&amp;B5,KHL!$AE$8:$AE$1000,"&lt;&gt;")</f>
        <v>0</v>
      </c>
      <c r="D5" s="25" t="str">
        <f aca="false">IFERROR(AVERAGEIFS(KHL!$L$8:$L$1000,KHL!$L$8:$L$1000,"&gt;="&amp;A5,KHL!$L$8:$L$1000,"&lt;"&amp;B5,KHL!$AE$8:$AE$1000,"&lt;&gt;"),"")</f>
        <v/>
      </c>
      <c r="E5" s="25" t="str">
        <f aca="false">IFERROR(COUNTIFS(KHL!$L$8:$L$1000,"&gt;="&amp;A5,KHL!$L$8:$L$1000,"&lt;"&amp;B5,KHL!$AE$8:$AE$1000,"&lt;&gt;",KHL!$Z$8:$Z$1000,"✅ ЗАШЛО")/C5,"")</f>
        <v/>
      </c>
      <c r="F5" s="25" t="str">
        <f aca="false">IF(OR(D5="",E5=""),"",E5-D5)</f>
        <v/>
      </c>
    </row>
    <row r="6" customFormat="false" ht="15" hidden="false" customHeight="false" outlineLevel="0" collapsed="false">
      <c r="A6" s="13" t="n">
        <v>0.4</v>
      </c>
      <c r="B6" s="13" t="n">
        <v>0.5</v>
      </c>
      <c r="C6" s="3" t="n">
        <f aca="false">COUNTIFS(KHL!$L$8:$L$1000,"&gt;="&amp;A6,KHL!$L$8:$L$1000,"&lt;"&amp;B6,KHL!$AE$8:$AE$1000,"&lt;&gt;")</f>
        <v>0</v>
      </c>
      <c r="D6" s="25" t="str">
        <f aca="false">IFERROR(AVERAGEIFS(KHL!$L$8:$L$1000,KHL!$L$8:$L$1000,"&gt;="&amp;A6,KHL!$L$8:$L$1000,"&lt;"&amp;B6,KHL!$AE$8:$AE$1000,"&lt;&gt;"),"")</f>
        <v/>
      </c>
      <c r="E6" s="25" t="str">
        <f aca="false">IFERROR(COUNTIFS(KHL!$L$8:$L$1000,"&gt;="&amp;A6,KHL!$L$8:$L$1000,"&lt;"&amp;B6,KHL!$AE$8:$AE$1000,"&lt;&gt;",KHL!$Z$8:$Z$1000,"✅ ЗАШЛО")/C6,"")</f>
        <v/>
      </c>
      <c r="F6" s="25" t="str">
        <f aca="false">IF(OR(D6="",E6=""),"",E6-D6)</f>
        <v/>
      </c>
    </row>
    <row r="7" customFormat="false" ht="15" hidden="false" customHeight="false" outlineLevel="0" collapsed="false">
      <c r="A7" s="13" t="n">
        <v>0.5</v>
      </c>
      <c r="B7" s="13" t="n">
        <v>0.6</v>
      </c>
      <c r="C7" s="3" t="n">
        <f aca="false">COUNTIFS(KHL!$L$8:$L$1000,"&gt;="&amp;A7,KHL!$L$8:$L$1000,"&lt;"&amp;B7,KHL!$AE$8:$AE$1000,"&lt;&gt;")</f>
        <v>1</v>
      </c>
      <c r="D7" s="25" t="n">
        <f aca="false">IFERROR(AVERAGEIFS(KHL!$L$8:$L$1000,KHL!$L$8:$L$1000,"&gt;="&amp;A7,KHL!$L$8:$L$1000,"&lt;"&amp;B7,KHL!$AE$8:$AE$1000,"&lt;&gt;"),"")</f>
        <v>0.512</v>
      </c>
      <c r="E7" s="25" t="n">
        <f aca="false">IFERROR(COUNTIFS(KHL!$L$8:$L$1000,"&gt;="&amp;A7,KHL!$L$8:$L$1000,"&lt;"&amp;B7,KHL!$AE$8:$AE$1000,"&lt;&gt;",KHL!$Z$8:$Z$1000,"✅ ЗАШЛО")/C7,"")</f>
        <v>1</v>
      </c>
      <c r="F7" s="25" t="n">
        <f aca="false">IF(OR(D7="",E7=""),"",E7-D7)</f>
        <v>0.488</v>
      </c>
    </row>
    <row r="8" customFormat="false" ht="15" hidden="false" customHeight="false" outlineLevel="0" collapsed="false">
      <c r="A8" s="13" t="n">
        <v>0.6</v>
      </c>
      <c r="B8" s="13" t="n">
        <v>0.7</v>
      </c>
      <c r="C8" s="3" t="n">
        <f aca="false">COUNTIFS(KHL!$L$8:$L$1000,"&gt;="&amp;A8,KHL!$L$8:$L$1000,"&lt;"&amp;B8,KHL!$AE$8:$AE$1000,"&lt;&gt;")</f>
        <v>0</v>
      </c>
      <c r="D8" s="25" t="str">
        <f aca="false">IFERROR(AVERAGEIFS(KHL!$L$8:$L$1000,KHL!$L$8:$L$1000,"&gt;="&amp;A8,KHL!$L$8:$L$1000,"&lt;"&amp;B8,KHL!$AE$8:$AE$1000,"&lt;&gt;"),"")</f>
        <v/>
      </c>
      <c r="E8" s="25" t="str">
        <f aca="false">IFERROR(COUNTIFS(KHL!$L$8:$L$1000,"&gt;="&amp;A8,KHL!$L$8:$L$1000,"&lt;"&amp;B8,KHL!$AE$8:$AE$1000,"&lt;&gt;",KHL!$Z$8:$Z$1000,"✅ ЗАШЛО")/C8,"")</f>
        <v/>
      </c>
      <c r="F8" s="25" t="str">
        <f aca="false">IF(OR(D8="",E8=""),"",E8-D8)</f>
        <v/>
      </c>
    </row>
    <row r="9" customFormat="false" ht="15" hidden="false" customHeight="false" outlineLevel="0" collapsed="false">
      <c r="A9" s="13" t="n">
        <v>0.7</v>
      </c>
      <c r="B9" s="13" t="n">
        <v>0.8</v>
      </c>
      <c r="C9" s="3" t="n">
        <f aca="false">COUNTIFS(KHL!$L$8:$L$1000,"&gt;="&amp;A9,KHL!$L$8:$L$1000,"&lt;"&amp;B9,KHL!$AE$8:$AE$1000,"&lt;&gt;")</f>
        <v>0</v>
      </c>
      <c r="D9" s="25" t="str">
        <f aca="false">IFERROR(AVERAGEIFS(KHL!$L$8:$L$1000,KHL!$L$8:$L$1000,"&gt;="&amp;A9,KHL!$L$8:$L$1000,"&lt;"&amp;B9,KHL!$AE$8:$AE$1000,"&lt;&gt;"),"")</f>
        <v/>
      </c>
      <c r="E9" s="25" t="str">
        <f aca="false">IFERROR(COUNTIFS(KHL!$L$8:$L$1000,"&gt;="&amp;A9,KHL!$L$8:$L$1000,"&lt;"&amp;B9,KHL!$AE$8:$AE$1000,"&lt;&gt;",KHL!$Z$8:$Z$1000,"✅ ЗАШЛО")/C9,"")</f>
        <v/>
      </c>
      <c r="F9" s="25" t="str">
        <f aca="false">IF(OR(D9="",E9=""),"",E9-D9)</f>
        <v/>
      </c>
    </row>
    <row r="10" customFormat="false" ht="15" hidden="false" customHeight="false" outlineLevel="0" collapsed="false">
      <c r="A10" s="13" t="n">
        <v>0.8</v>
      </c>
      <c r="B10" s="13" t="n">
        <v>0.9</v>
      </c>
      <c r="C10" s="3" t="n">
        <f aca="false">COUNTIFS(KHL!$L$8:$L$1000,"&gt;="&amp;A10,KHL!$L$8:$L$1000,"&lt;"&amp;B10,KHL!$AE$8:$AE$1000,"&lt;&gt;")</f>
        <v>0</v>
      </c>
      <c r="D10" s="25" t="str">
        <f aca="false">IFERROR(AVERAGEIFS(KHL!$L$8:$L$1000,KHL!$L$8:$L$1000,"&gt;="&amp;A10,KHL!$L$8:$L$1000,"&lt;"&amp;B10,KHL!$AE$8:$AE$1000,"&lt;&gt;"),"")</f>
        <v/>
      </c>
      <c r="E10" s="25" t="str">
        <f aca="false">IFERROR(COUNTIFS(KHL!$L$8:$L$1000,"&gt;="&amp;A10,KHL!$L$8:$L$1000,"&lt;"&amp;B10,KHL!$AE$8:$AE$1000,"&lt;&gt;",KHL!$Z$8:$Z$1000,"✅ ЗАШЛО")/C10,"")</f>
        <v/>
      </c>
      <c r="F10" s="25" t="str">
        <f aca="false">IF(OR(D10="",E10=""),"",E10-D10)</f>
        <v/>
      </c>
    </row>
    <row r="11" customFormat="false" ht="15" hidden="false" customHeight="false" outlineLevel="0" collapsed="false">
      <c r="A11" s="13" t="n">
        <v>0.9</v>
      </c>
      <c r="B11" s="13" t="n">
        <v>1</v>
      </c>
      <c r="C11" s="3" t="n">
        <f aca="false">COUNTIFS(KHL!$L$8:$L$1000,"&gt;="&amp;A11,KHL!$L$8:$L$1000,"&lt;"&amp;B11,KHL!$AE$8:$AE$1000,"&lt;&gt;")</f>
        <v>0</v>
      </c>
      <c r="D11" s="25" t="str">
        <f aca="false">IFERROR(AVERAGEIFS(KHL!$L$8:$L$1000,KHL!$L$8:$L$1000,"&gt;="&amp;A11,KHL!$L$8:$L$1000,"&lt;"&amp;B11,KHL!$AE$8:$AE$1000,"&lt;&gt;"),"")</f>
        <v/>
      </c>
      <c r="E11" s="25" t="str">
        <f aca="false">IFERROR(COUNTIFS(KHL!$L$8:$L$1000,"&gt;="&amp;A11,KHL!$L$8:$L$1000,"&lt;"&amp;B11,KHL!$AE$8:$AE$1000,"&lt;&gt;",KHL!$Z$8:$Z$1000,"✅ ЗАШЛО")/C11,"")</f>
        <v/>
      </c>
      <c r="F11" s="25" t="str">
        <f aca="false">IF(OR(D11="",E11=""),"",E11-D11)</f>
        <v/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26" t="s">
        <v>105</v>
      </c>
      <c r="B13" s="3"/>
      <c r="C13" s="3"/>
      <c r="D13" s="3"/>
      <c r="E13" s="3"/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0" t="s">
        <v>107</v>
      </c>
    </row>
    <row r="3" customFormat="false" ht="15" hidden="false" customHeight="false" outlineLevel="0" collapsed="false">
      <c r="A3" s="20" t="s">
        <v>108</v>
      </c>
    </row>
    <row r="4" customFormat="false" ht="15" hidden="false" customHeight="false" outlineLevel="0" collapsed="false">
      <c r="A4" s="20" t="s">
        <v>109</v>
      </c>
    </row>
    <row r="5" customFormat="false" ht="15" hidden="false" customHeight="false" outlineLevel="0" collapsed="false">
      <c r="A5" s="20" t="s">
        <v>110</v>
      </c>
    </row>
    <row r="6" customFormat="false" ht="15" hidden="false" customHeight="false" outlineLevel="0" collapsed="false">
      <c r="A6" s="20" t="s">
        <v>111</v>
      </c>
    </row>
    <row r="7" customFormat="false" ht="15" hidden="false" customHeight="false" outlineLevel="0" collapsed="false">
      <c r="A7" s="20" t="s">
        <v>112</v>
      </c>
    </row>
    <row r="8" customFormat="false" ht="15" hidden="false" customHeight="false" outlineLevel="0" collapsed="false">
      <c r="A8" s="20" t="s">
        <v>113</v>
      </c>
    </row>
    <row r="9" customFormat="false" ht="15" hidden="false" customHeight="false" outlineLevel="0" collapsed="false">
      <c r="A9" s="2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2026-10-02T07:30:17Z</dcterms:created>
  <dc:creator>openpyxl</dc:creator>
  <dc:description/>
  <dc:language>en-US</dc:language>
  <cp:lastModifiedBy/>
  <dcterms:modified xsi:type="dcterms:W3CDTF">2026-10-02T07:30:18Z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