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L" sheetId="1" state="visible" r:id="rId1"/>
    <sheet name="Прогнозы" sheetId="2" state="visible" r:id="rId2"/>
    <sheet name="Пересчёт v1→v2" sheetId="3" state="visible" r:id="rId3"/>
    <sheet name="Рейтинги" sheetId="4" state="visible" r:id="rId4"/>
    <sheet name="Настройки" sheetId="5" state="visible" r:id="rId5"/>
    <sheet name="Промпт" sheetId="6" state="visible" r:id="rId6"/>
    <sheet name="Журнал v1 (архив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65" fontId="2" fillId="3" borderId="1" pivotButton="0" quotePrefix="0" xfId="0"/>
    <xf numFmtId="2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10" fontId="0" fillId="0" borderId="0" pivotButton="0" quotePrefix="0" xfId="0"/>
    <xf numFmtId="20" fontId="0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FEB9C"/>
        </patternFill>
      </fill>
    </dxf>
    <dxf>
      <font>
        <color rgb="00C00000"/>
      </font>
    </dxf>
    <dxf>
      <font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7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6" customWidth="1" min="4" max="4"/>
    <col width="16" customWidth="1" min="5" max="5"/>
    <col width="1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8" customWidth="1" min="12" max="12"/>
    <col width="10" customWidth="1" min="13" max="13"/>
    <col width="10" customWidth="1" min="14" max="14"/>
    <col width="17" customWidth="1" min="15" max="15"/>
    <col width="10" customWidth="1" min="16" max="16"/>
    <col width="10" customWidth="1" min="17" max="17"/>
    <col width="1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7" customWidth="1" min="25" max="25"/>
    <col width="10" customWidth="1" min="26" max="26"/>
    <col width="9" customWidth="1" min="27" max="27"/>
    <col width="8" customWidth="1" min="28" max="28"/>
    <col width="8" customWidth="1" min="29" max="29"/>
    <col width="8" customWidth="1" min="30" max="30"/>
    <col width="8" customWidth="1" min="31" max="31"/>
    <col width="10" customWidth="1" min="32" max="32"/>
    <col width="12" customWidth="1" min="33" max="33"/>
    <col width="9" customWidth="1" min="34" max="34"/>
    <col width="60" customWidth="1" min="35" max="35"/>
  </cols>
  <sheetData>
    <row r="1">
      <c r="A1" s="1" t="inlineStr">
        <is>
          <t>Пул</t>
        </is>
      </c>
      <c r="B1" s="1" t="inlineStr">
        <is>
          <t>Начальный банк</t>
        </is>
      </c>
      <c r="C1" s="1" t="inlineStr">
        <is>
          <t>Текущий банк</t>
        </is>
      </c>
      <c r="D1" s="1" t="inlineStr">
        <is>
          <t>Ставок</t>
        </is>
      </c>
      <c r="E1" s="1" t="inlineStr">
        <is>
          <t>Рассчитано</t>
        </is>
      </c>
      <c r="F1" s="1" t="inlineStr">
        <is>
          <t>Зашло</t>
        </is>
      </c>
      <c r="G1" s="1" t="inlineStr">
        <is>
          <t>Не зашло</t>
        </is>
      </c>
      <c r="H1" s="1" t="inlineStr">
        <is>
          <t>Возврат</t>
        </is>
      </c>
      <c r="I1" s="1" t="inlineStr">
        <is>
          <t>Ожидание</t>
        </is>
      </c>
      <c r="J1" s="1" t="inlineStr">
        <is>
          <t>Оборот</t>
        </is>
      </c>
      <c r="K1" s="1" t="inlineStr">
        <is>
          <t>P&amp;L</t>
        </is>
      </c>
      <c r="L1" s="1" t="inlineStr">
        <is>
          <t>Yield</t>
        </is>
      </c>
      <c r="M1" s="1" t="inlineStr">
        <is>
          <t>Средний кэф</t>
        </is>
      </c>
      <c r="N1" s="1" t="inlineStr">
        <is>
          <t>Средний EV (ожид.)</t>
        </is>
      </c>
      <c r="O1" s="1" t="inlineStr">
        <is>
          <t>Средний CLV</t>
        </is>
      </c>
      <c r="P1" s="1" t="inlineStr">
        <is>
          <t>Brier модели</t>
        </is>
      </c>
      <c r="Q1" s="1" t="inlineStr">
        <is>
          <t>Brier рынка</t>
        </is>
      </c>
      <c r="R1" s="1" t="inlineStr">
        <is>
          <t>Hit rate</t>
        </is>
      </c>
    </row>
    <row r="2">
      <c r="A2" s="2" t="inlineStr">
        <is>
          <t>Главное</t>
        </is>
      </c>
      <c r="B2" s="3">
        <f>1000</f>
        <v/>
      </c>
      <c r="C2" s="3">
        <f>B2+K2</f>
        <v/>
      </c>
      <c r="D2" s="4">
        <f>COUNTIFS($H$8:$H$5000,$A2)</f>
        <v/>
      </c>
      <c r="E2" s="4">
        <f>F2+G2+H2</f>
        <v/>
      </c>
      <c r="F2" s="4">
        <f>COUNTIFS($H$8:$H$5000,$A2,$AG$8:$AG$5000,"ЗАШЛО")</f>
        <v/>
      </c>
      <c r="G2" s="4">
        <f>COUNTIFS($H$8:$H$5000,$A2,$AG$8:$AG$5000,"НЕ ЗАШЛО")</f>
        <v/>
      </c>
      <c r="H2" s="4">
        <f>COUNTIFS($H$8:$H$5000,$A2,$AG$8:$AG$5000,"ВОЗВРАТ")</f>
        <v/>
      </c>
      <c r="I2" s="4">
        <f>COUNTIFS($H$8:$H$5000,$A2,$AG$8:$AG$5000,"ОЖИДАНИЕ")</f>
        <v/>
      </c>
      <c r="J2" s="3">
        <f>SUMIFS($AA$8:$AA$5000,$H$8:$H$5000,$A2,$AG$8:$AG$5000,"ЗАШЛО")+SUMIFS($AA$8:$AA$5000,$H$8:$H$5000,$A2,$AG$8:$AG$5000,"НЕ ЗАШЛО")+SUMIFS($AA$8:$AA$5000,$H$8:$H$5000,$A2,$AG$8:$AG$5000,"ВОЗВРАТ")</f>
        <v/>
      </c>
      <c r="K2" s="3">
        <f>SUMPRODUCT(($H$8:$H$5000=$A2)*($AG$8:$AG$5000="ЗАШЛО")*$AA$8:$AA$5000*($M$8:$M$5000-1))-SUMIFS($AA$8:$AA$5000,$H$8:$H$5000,$A2,$AG$8:$AG$5000,"НЕ ЗАШЛО")</f>
        <v/>
      </c>
      <c r="L2" s="5">
        <f>IF(J2&gt;0,K2/J2,"")</f>
        <v/>
      </c>
      <c r="M2" s="6">
        <f>IFERROR(AVERAGEIFS($M$8:$M$5000,$H$8:$H$5000,$A2),"")</f>
        <v/>
      </c>
      <c r="N2" s="5">
        <f>IFERROR(AVERAGEIFS($W$8:$W$5000,$H$8:$H$5000,$A2),"")</f>
        <v/>
      </c>
      <c r="O2" s="5">
        <f>IFERROR(SUMPRODUCT(($H$8:$H$5000=$A2)*($AC$8:$AC$5000&lt;&gt;"")*($M$8:$M$5000*$AC$8:$AC$5000-1))/COUNTIFS($H$8:$H$5000,$A2,$AC$8:$AC$5000,"&lt;&gt;"),"")</f>
        <v/>
      </c>
      <c r="P2" s="7">
        <f>IFERROR(SUMPRODUCT(($H$8:$H$5000=$A2)*(($AG$8:$AG$5000="ЗАШЛО")+($AG$8:$AG$5000="НЕ ЗАШЛО"))*($T$8:$T$5000-($AG$8:$AG$5000="ЗАШЛО"))^2)/(F2+G2),"")</f>
        <v/>
      </c>
      <c r="Q2" s="7">
        <f>IFERROR(SUMPRODUCT(($H$8:$H$5000=$A2)*(($AG$8:$AG$5000="ЗАШЛО")+($AG$8:$AG$5000="НЕ ЗАШЛО"))*($S$8:$S$5000-($AG$8:$AG$5000="ЗАШЛО"))^2)/(F2+G2),"")</f>
        <v/>
      </c>
      <c r="R2" s="5">
        <f>IF(F2+G2&gt;0,F2/(F2+G2),"")</f>
        <v/>
      </c>
    </row>
    <row r="3">
      <c r="A3" s="2" t="inlineStr">
        <is>
          <t>Надёжное</t>
        </is>
      </c>
      <c r="B3" s="3">
        <f>1000</f>
        <v/>
      </c>
      <c r="C3" s="3">
        <f>B3+K3</f>
        <v/>
      </c>
      <c r="D3" s="4">
        <f>COUNTIFS($H$8:$H$5000,$A3)</f>
        <v/>
      </c>
      <c r="E3" s="4">
        <f>F3+G3+H3</f>
        <v/>
      </c>
      <c r="F3" s="4">
        <f>COUNTIFS($H$8:$H$5000,$A3,$AG$8:$AG$5000,"ЗАШЛО")</f>
        <v/>
      </c>
      <c r="G3" s="4">
        <f>COUNTIFS($H$8:$H$5000,$A3,$AG$8:$AG$5000,"НЕ ЗАШЛО")</f>
        <v/>
      </c>
      <c r="H3" s="4">
        <f>COUNTIFS($H$8:$H$5000,$A3,$AG$8:$AG$5000,"ВОЗВРАТ")</f>
        <v/>
      </c>
      <c r="I3" s="4">
        <f>COUNTIFS($H$8:$H$5000,$A3,$AG$8:$AG$5000,"ОЖИДАНИЕ")</f>
        <v/>
      </c>
      <c r="J3" s="3">
        <f>SUMIFS($AA$8:$AA$5000,$H$8:$H$5000,$A3,$AG$8:$AG$5000,"ЗАШЛО")+SUMIFS($AA$8:$AA$5000,$H$8:$H$5000,$A3,$AG$8:$AG$5000,"НЕ ЗАШЛО")+SUMIFS($AA$8:$AA$5000,$H$8:$H$5000,$A3,$AG$8:$AG$5000,"ВОЗВРАТ")</f>
        <v/>
      </c>
      <c r="K3" s="3">
        <f>SUMPRODUCT(($H$8:$H$5000=$A3)*($AG$8:$AG$5000="ЗАШЛО")*$AA$8:$AA$5000*($M$8:$M$5000-1))-SUMIFS($AA$8:$AA$5000,$H$8:$H$5000,$A3,$AG$8:$AG$5000,"НЕ ЗАШЛО")</f>
        <v/>
      </c>
      <c r="L3" s="5">
        <f>IF(J3&gt;0,K3/J3,"")</f>
        <v/>
      </c>
      <c r="M3" s="6">
        <f>IFERROR(AVERAGEIFS($M$8:$M$5000,$H$8:$H$5000,$A3),"")</f>
        <v/>
      </c>
      <c r="N3" s="5">
        <f>IFERROR(AVERAGEIFS($W$8:$W$5000,$H$8:$H$5000,$A3),"")</f>
        <v/>
      </c>
      <c r="O3" s="5">
        <f>IFERROR(SUMPRODUCT(($H$8:$H$5000=$A3)*($AC$8:$AC$5000&lt;&gt;"")*($M$8:$M$5000*$AC$8:$AC$5000-1))/COUNTIFS($H$8:$H$5000,$A3,$AC$8:$AC$5000,"&lt;&gt;"),"")</f>
        <v/>
      </c>
      <c r="P3" s="7">
        <f>IFERROR(SUMPRODUCT(($H$8:$H$5000=$A3)*(($AG$8:$AG$5000="ЗАШЛО")+($AG$8:$AG$5000="НЕ ЗАШЛО"))*($T$8:$T$5000-($AG$8:$AG$5000="ЗАШЛО"))^2)/(F3+G3),"")</f>
        <v/>
      </c>
      <c r="Q3" s="7">
        <f>IFERROR(SUMPRODUCT(($H$8:$H$5000=$A3)*(($AG$8:$AG$5000="ЗАШЛО")+($AG$8:$AG$5000="НЕ ЗАШЛО"))*($S$8:$S$5000-($AG$8:$AG$5000="ЗАШЛО"))^2)/(F3+G3),"")</f>
        <v/>
      </c>
      <c r="R3" s="5">
        <f>IF(F3+G3&gt;0,F3/(F3+G3),"")</f>
        <v/>
      </c>
    </row>
    <row r="4">
      <c r="A4" s="2" t="inlineStr">
        <is>
          <t>Смелое</t>
        </is>
      </c>
      <c r="B4" s="3">
        <f>1000</f>
        <v/>
      </c>
      <c r="C4" s="3">
        <f>B4+K4</f>
        <v/>
      </c>
      <c r="D4" s="4">
        <f>COUNTIFS($H$8:$H$5000,$A4)</f>
        <v/>
      </c>
      <c r="E4" s="4">
        <f>F4+G4+H4</f>
        <v/>
      </c>
      <c r="F4" s="4">
        <f>COUNTIFS($H$8:$H$5000,$A4,$AG$8:$AG$5000,"ЗАШЛО")</f>
        <v/>
      </c>
      <c r="G4" s="4">
        <f>COUNTIFS($H$8:$H$5000,$A4,$AG$8:$AG$5000,"НЕ ЗАШЛО")</f>
        <v/>
      </c>
      <c r="H4" s="4">
        <f>COUNTIFS($H$8:$H$5000,$A4,$AG$8:$AG$5000,"ВОЗВРАТ")</f>
        <v/>
      </c>
      <c r="I4" s="4">
        <f>COUNTIFS($H$8:$H$5000,$A4,$AG$8:$AG$5000,"ОЖИДАНИЕ")</f>
        <v/>
      </c>
      <c r="J4" s="3">
        <f>SUMIFS($AA$8:$AA$5000,$H$8:$H$5000,$A4,$AG$8:$AG$5000,"ЗАШЛО")+SUMIFS($AA$8:$AA$5000,$H$8:$H$5000,$A4,$AG$8:$AG$5000,"НЕ ЗАШЛО")+SUMIFS($AA$8:$AA$5000,$H$8:$H$5000,$A4,$AG$8:$AG$5000,"ВОЗВРАТ")</f>
        <v/>
      </c>
      <c r="K4" s="3">
        <f>SUMPRODUCT(($H$8:$H$5000=$A4)*($AG$8:$AG$5000="ЗАШЛО")*$AA$8:$AA$5000*($M$8:$M$5000-1))-SUMIFS($AA$8:$AA$5000,$H$8:$H$5000,$A4,$AG$8:$AG$5000,"НЕ ЗАШЛО")</f>
        <v/>
      </c>
      <c r="L4" s="5">
        <f>IF(J4&gt;0,K4/J4,"")</f>
        <v/>
      </c>
      <c r="M4" s="6">
        <f>IFERROR(AVERAGEIFS($M$8:$M$5000,$H$8:$H$5000,$A4),"")</f>
        <v/>
      </c>
      <c r="N4" s="5">
        <f>IFERROR(AVERAGEIFS($W$8:$W$5000,$H$8:$H$5000,$A4),"")</f>
        <v/>
      </c>
      <c r="O4" s="5">
        <f>IFERROR(SUMPRODUCT(($H$8:$H$5000=$A4)*($AC$8:$AC$5000&lt;&gt;"")*($M$8:$M$5000*$AC$8:$AC$5000-1))/COUNTIFS($H$8:$H$5000,$A4,$AC$8:$AC$5000,"&lt;&gt;"),"")</f>
        <v/>
      </c>
      <c r="P4" s="7">
        <f>IFERROR(SUMPRODUCT(($H$8:$H$5000=$A4)*(($AG$8:$AG$5000="ЗАШЛО")+($AG$8:$AG$5000="НЕ ЗАШЛО"))*($T$8:$T$5000-($AG$8:$AG$5000="ЗАШЛО"))^2)/(F4+G4),"")</f>
        <v/>
      </c>
      <c r="Q4" s="7">
        <f>IFERROR(SUMPRODUCT(($H$8:$H$5000=$A4)*(($AG$8:$AG$5000="ЗАШЛО")+($AG$8:$AG$5000="НЕ ЗАШЛО"))*($S$8:$S$5000-($AG$8:$AG$5000="ЗАШЛО"))^2)/(F4+G4),"")</f>
        <v/>
      </c>
      <c r="R4" s="5">
        <f>IF(F4+G4&gt;0,F4/(F4+G4),"")</f>
        <v/>
      </c>
    </row>
    <row r="5">
      <c r="A5" s="8" t="inlineStr">
        <is>
          <t>ИТОГО</t>
        </is>
      </c>
      <c r="B5" s="9">
        <f>SUM(B2:B4)</f>
        <v/>
      </c>
      <c r="C5" s="9">
        <f>B5+K5</f>
        <v/>
      </c>
      <c r="D5" s="8">
        <f>COUNTIFS($H$8:$H$5000,"&lt;&gt;")</f>
        <v/>
      </c>
      <c r="E5" s="8">
        <f>F5+G5+H5</f>
        <v/>
      </c>
      <c r="F5" s="8">
        <f>COUNTIFS($H$8:$H$5000,"&lt;&gt;",$AG$8:$AG$5000,"ЗАШЛО")</f>
        <v/>
      </c>
      <c r="G5" s="8">
        <f>COUNTIFS($H$8:$H$5000,"&lt;&gt;",$AG$8:$AG$5000,"НЕ ЗАШЛО")</f>
        <v/>
      </c>
      <c r="H5" s="8">
        <f>COUNTIFS($H$8:$H$5000,"&lt;&gt;",$AG$8:$AG$5000,"ВОЗВРАТ")</f>
        <v/>
      </c>
      <c r="I5" s="8">
        <f>COUNTIFS($H$8:$H$5000,"&lt;&gt;",$AG$8:$AG$5000,"ОЖИДАНИЕ")</f>
        <v/>
      </c>
      <c r="J5" s="9">
        <f>SUMIFS($AA$8:$AA$5000,$H$8:$H$5000,"&lt;&gt;",$AG$8:$AG$5000,"ЗАШЛО")+SUMIFS($AA$8:$AA$5000,$H$8:$H$5000,"&lt;&gt;",$AG$8:$AG$5000,"НЕ ЗАШЛО")+SUMIFS($AA$8:$AA$5000,$H$8:$H$5000,"&lt;&gt;",$AG$8:$AG$5000,"ВОЗВРАТ")</f>
        <v/>
      </c>
      <c r="K5" s="9">
        <f>SUMPRODUCT(($H$8:$H$5000&lt;&gt;"")*($AG$8:$AG$5000="ЗАШЛО")*$AA$8:$AA$5000*($M$8:$M$5000-1))-SUMIFS($AA$8:$AA$5000,$H$8:$H$5000,"&lt;&gt;",$AG$8:$AG$5000,"НЕ ЗАШЛО")</f>
        <v/>
      </c>
      <c r="L5" s="10">
        <f>IF(J5&gt;0,K5/J5,"")</f>
        <v/>
      </c>
      <c r="M5" s="11">
        <f>IFERROR(AVERAGEIFS($M$8:$M$5000,$H$8:$H$5000,"&lt;&gt;"),"")</f>
        <v/>
      </c>
      <c r="N5" s="10">
        <f>IFERROR(AVERAGEIFS($W$8:$W$5000,$H$8:$H$5000,"&lt;&gt;"),"")</f>
        <v/>
      </c>
      <c r="O5" s="10">
        <f>IFERROR(SUMPRODUCT(($H$8:$H$5000&lt;&gt;"")*($AC$8:$AC$5000&lt;&gt;"")*($M$8:$M$5000*$AC$8:$AC$5000-1))/COUNTIFS($H$8:$H$5000,"&lt;&gt;",$AC$8:$AC$5000,"&lt;&gt;"),"")</f>
        <v/>
      </c>
      <c r="P5" s="12">
        <f>IFERROR(SUMPRODUCT(($H$8:$H$5000&lt;&gt;"")*(($AG$8:$AG$5000="ЗАШЛО")+($AG$8:$AG$5000="НЕ ЗАШЛО"))*($T$8:$T$5000-($AG$8:$AG$5000="ЗАШЛО"))^2)/(F5+G5),"")</f>
        <v/>
      </c>
      <c r="Q5" s="12">
        <f>IFERROR(SUMPRODUCT(($H$8:$H$5000&lt;&gt;"")*(($AG$8:$AG$5000="ЗАШЛО")+($AG$8:$AG$5000="НЕ ЗАШЛО"))*($S$8:$S$5000-($AG$8:$AG$5000="ЗАШЛО"))^2)/(F5+G5),"")</f>
        <v/>
      </c>
      <c r="R5" s="10">
        <f>IF(F5+G5&gt;0,F5/(F5+G5),"")</f>
        <v/>
      </c>
    </row>
    <row r="7" ht="32" customHeight="1">
      <c r="A7" s="1" t="inlineStr">
        <is>
          <t>ID</t>
        </is>
      </c>
      <c r="B7" s="1" t="inlineStr">
        <is>
          <t>Дата</t>
        </is>
      </c>
      <c r="C7" s="1" t="inlineStr">
        <is>
          <t>Время МСК</t>
        </is>
      </c>
      <c r="D7" s="1" t="inlineStr">
        <is>
          <t>Хозяева</t>
        </is>
      </c>
      <c r="E7" s="1" t="inlineStr">
        <is>
          <t>Гости</t>
        </is>
      </c>
      <c r="F7" s="1" t="inlineStr">
        <is>
          <t>Cutoff (UTC+5)</t>
        </is>
      </c>
      <c r="G7" s="1" t="inlineStr">
        <is>
          <t>Версия</t>
        </is>
      </c>
      <c r="H7" s="1" t="inlineStr">
        <is>
          <t>Пул</t>
        </is>
      </c>
      <c r="I7" s="1" t="inlineStr">
        <is>
          <t>Рынок</t>
        </is>
      </c>
      <c r="J7" s="1" t="inlineStr">
        <is>
          <t>Выбор</t>
        </is>
      </c>
      <c r="K7" s="1" t="inlineStr">
        <is>
          <t>Линия</t>
        </is>
      </c>
      <c r="L7" s="1" t="inlineStr">
        <is>
          <t>Ставка</t>
        </is>
      </c>
      <c r="M7" s="1" t="inlineStr">
        <is>
          <t>Коэффициент</t>
        </is>
      </c>
      <c r="N7" s="1" t="inlineStr">
        <is>
          <t>Букмекер</t>
        </is>
      </c>
      <c r="O7" s="1" t="inlineStr">
        <is>
          <t>Время кэфа</t>
        </is>
      </c>
      <c r="P7" s="1" t="inlineStr">
        <is>
          <t>λ хозяев</t>
        </is>
      </c>
      <c r="Q7" s="1" t="inlineStr">
        <is>
          <t>λ гостей</t>
        </is>
      </c>
      <c r="R7" s="1" t="inlineStr">
        <is>
          <t>p модели</t>
        </is>
      </c>
      <c r="S7" s="1" t="inlineStr">
        <is>
          <t>q рынка</t>
        </is>
      </c>
      <c r="T7" s="1" t="inlineStr">
        <is>
          <t>p итог</t>
        </is>
      </c>
      <c r="U7" s="1" t="inlineStr">
        <is>
          <t>p возврата</t>
        </is>
      </c>
      <c r="V7" s="1" t="inlineStr">
        <is>
          <t>Fair кэф</t>
        </is>
      </c>
      <c r="W7" s="1" t="inlineStr">
        <is>
          <t>EV</t>
        </is>
      </c>
      <c r="X7" s="1" t="inlineStr">
        <is>
          <t>EV худший</t>
        </is>
      </c>
      <c r="Y7" s="1" t="inlineStr">
        <is>
          <t>Kelly</t>
        </is>
      </c>
      <c r="Z7" s="1" t="inlineStr">
        <is>
          <t>Банк пула до ставки</t>
        </is>
      </c>
      <c r="AA7" s="1" t="inlineStr">
        <is>
          <t>Ставка, у.е.</t>
        </is>
      </c>
      <c r="AB7" s="1" t="inlineStr">
        <is>
          <t>Кэф закрытия</t>
        </is>
      </c>
      <c r="AC7" s="1" t="inlineStr">
        <is>
          <t>q закрытия</t>
        </is>
      </c>
      <c r="AD7" s="1" t="inlineStr">
        <is>
          <t>CLV</t>
        </is>
      </c>
      <c r="AE7" s="1" t="inlineStr">
        <is>
          <t>Счёт 60м</t>
        </is>
      </c>
      <c r="AF7" s="1" t="inlineStr">
        <is>
          <t>Счёт итог</t>
        </is>
      </c>
      <c r="AG7" s="1" t="inlineStr">
        <is>
          <t>Результат</t>
        </is>
      </c>
      <c r="AH7" s="1" t="inlineStr">
        <is>
          <t>P&amp;L</t>
        </is>
      </c>
      <c r="AI7" s="1" t="inlineStr">
        <is>
          <t>Обоснование (из признаков модели)</t>
        </is>
      </c>
    </row>
    <row r="8">
      <c r="M8" s="13" t="n"/>
      <c r="P8" s="13" t="n"/>
      <c r="Q8" s="13" t="n"/>
      <c r="R8" s="14" t="n"/>
      <c r="S8" s="14" t="n"/>
      <c r="T8" s="14" t="n"/>
      <c r="U8" s="14" t="n"/>
      <c r="V8" s="13" t="n"/>
      <c r="W8" s="14" t="n"/>
      <c r="X8" s="14" t="n"/>
      <c r="Y8" s="14" t="n"/>
      <c r="Z8" s="15" t="n"/>
      <c r="AA8" s="15" t="n"/>
      <c r="AB8" s="13" t="n"/>
      <c r="AC8" s="14" t="n"/>
      <c r="AD8" s="14" t="n"/>
      <c r="AH8" s="15" t="n"/>
    </row>
    <row r="9">
      <c r="M9" s="13" t="n"/>
      <c r="P9" s="13" t="n"/>
      <c r="Q9" s="13" t="n"/>
      <c r="R9" s="14" t="n"/>
      <c r="S9" s="14" t="n"/>
      <c r="T9" s="14" t="n"/>
      <c r="U9" s="14" t="n"/>
      <c r="V9" s="13" t="n"/>
      <c r="W9" s="14" t="n"/>
      <c r="X9" s="14" t="n"/>
      <c r="Y9" s="14" t="n"/>
      <c r="Z9" s="15" t="n"/>
      <c r="AA9" s="15" t="n"/>
      <c r="AB9" s="13" t="n"/>
      <c r="AC9" s="14" t="n"/>
      <c r="AD9" s="14" t="n"/>
      <c r="AH9" s="15" t="n"/>
    </row>
    <row r="10">
      <c r="M10" s="13" t="n"/>
      <c r="P10" s="13" t="n"/>
      <c r="Q10" s="13" t="n"/>
      <c r="R10" s="14" t="n"/>
      <c r="S10" s="14" t="n"/>
      <c r="T10" s="14" t="n"/>
      <c r="U10" s="14" t="n"/>
      <c r="V10" s="13" t="n"/>
      <c r="W10" s="14" t="n"/>
      <c r="X10" s="14" t="n"/>
      <c r="Y10" s="14" t="n"/>
      <c r="Z10" s="15" t="n"/>
      <c r="AA10" s="15" t="n"/>
      <c r="AB10" s="13" t="n"/>
      <c r="AC10" s="14" t="n"/>
      <c r="AD10" s="14" t="n"/>
      <c r="AH10" s="15" t="n"/>
    </row>
    <row r="11">
      <c r="M11" s="13" t="n"/>
      <c r="P11" s="13" t="n"/>
      <c r="Q11" s="13" t="n"/>
      <c r="R11" s="14" t="n"/>
      <c r="S11" s="14" t="n"/>
      <c r="T11" s="14" t="n"/>
      <c r="U11" s="14" t="n"/>
      <c r="V11" s="13" t="n"/>
      <c r="W11" s="14" t="n"/>
      <c r="X11" s="14" t="n"/>
      <c r="Y11" s="14" t="n"/>
      <c r="Z11" s="15" t="n"/>
      <c r="AA11" s="15" t="n"/>
      <c r="AB11" s="13" t="n"/>
      <c r="AC11" s="14" t="n"/>
      <c r="AD11" s="14" t="n"/>
      <c r="AH11" s="15" t="n"/>
    </row>
    <row r="12">
      <c r="M12" s="13" t="n"/>
      <c r="P12" s="13" t="n"/>
      <c r="Q12" s="13" t="n"/>
      <c r="R12" s="14" t="n"/>
      <c r="S12" s="14" t="n"/>
      <c r="T12" s="14" t="n"/>
      <c r="U12" s="14" t="n"/>
      <c r="V12" s="13" t="n"/>
      <c r="W12" s="14" t="n"/>
      <c r="X12" s="14" t="n"/>
      <c r="Y12" s="14" t="n"/>
      <c r="Z12" s="15" t="n"/>
      <c r="AA12" s="15" t="n"/>
      <c r="AB12" s="13" t="n"/>
      <c r="AC12" s="14" t="n"/>
      <c r="AD12" s="14" t="n"/>
      <c r="AH12" s="15" t="n"/>
    </row>
    <row r="13">
      <c r="M13" s="13" t="n"/>
      <c r="P13" s="13" t="n"/>
      <c r="Q13" s="13" t="n"/>
      <c r="R13" s="14" t="n"/>
      <c r="S13" s="14" t="n"/>
      <c r="T13" s="14" t="n"/>
      <c r="U13" s="14" t="n"/>
      <c r="V13" s="13" t="n"/>
      <c r="W13" s="14" t="n"/>
      <c r="X13" s="14" t="n"/>
      <c r="Y13" s="14" t="n"/>
      <c r="Z13" s="15" t="n"/>
      <c r="AA13" s="15" t="n"/>
      <c r="AB13" s="13" t="n"/>
      <c r="AC13" s="14" t="n"/>
      <c r="AD13" s="14" t="n"/>
      <c r="AH13" s="15" t="n"/>
    </row>
    <row r="14">
      <c r="M14" s="13" t="n"/>
      <c r="P14" s="13" t="n"/>
      <c r="Q14" s="13" t="n"/>
      <c r="R14" s="14" t="n"/>
      <c r="S14" s="14" t="n"/>
      <c r="T14" s="14" t="n"/>
      <c r="U14" s="14" t="n"/>
      <c r="V14" s="13" t="n"/>
      <c r="W14" s="14" t="n"/>
      <c r="X14" s="14" t="n"/>
      <c r="Y14" s="14" t="n"/>
      <c r="Z14" s="15" t="n"/>
      <c r="AA14" s="15" t="n"/>
      <c r="AB14" s="13" t="n"/>
      <c r="AC14" s="14" t="n"/>
      <c r="AD14" s="14" t="n"/>
      <c r="AH14" s="15" t="n"/>
    </row>
    <row r="15">
      <c r="M15" s="13" t="n"/>
      <c r="P15" s="13" t="n"/>
      <c r="Q15" s="13" t="n"/>
      <c r="R15" s="14" t="n"/>
      <c r="S15" s="14" t="n"/>
      <c r="T15" s="14" t="n"/>
      <c r="U15" s="14" t="n"/>
      <c r="V15" s="13" t="n"/>
      <c r="W15" s="14" t="n"/>
      <c r="X15" s="14" t="n"/>
      <c r="Y15" s="14" t="n"/>
      <c r="Z15" s="15" t="n"/>
      <c r="AA15" s="15" t="n"/>
      <c r="AB15" s="13" t="n"/>
      <c r="AC15" s="14" t="n"/>
      <c r="AD15" s="14" t="n"/>
      <c r="AH15" s="15" t="n"/>
    </row>
    <row r="16">
      <c r="M16" s="13" t="n"/>
      <c r="P16" s="13" t="n"/>
      <c r="Q16" s="13" t="n"/>
      <c r="R16" s="14" t="n"/>
      <c r="S16" s="14" t="n"/>
      <c r="T16" s="14" t="n"/>
      <c r="U16" s="14" t="n"/>
      <c r="V16" s="13" t="n"/>
      <c r="W16" s="14" t="n"/>
      <c r="X16" s="14" t="n"/>
      <c r="Y16" s="14" t="n"/>
      <c r="Z16" s="15" t="n"/>
      <c r="AA16" s="15" t="n"/>
      <c r="AB16" s="13" t="n"/>
      <c r="AC16" s="14" t="n"/>
      <c r="AD16" s="14" t="n"/>
      <c r="AH16" s="15" t="n"/>
    </row>
    <row r="17">
      <c r="M17" s="13" t="n"/>
      <c r="P17" s="13" t="n"/>
      <c r="Q17" s="13" t="n"/>
      <c r="R17" s="14" t="n"/>
      <c r="S17" s="14" t="n"/>
      <c r="T17" s="14" t="n"/>
      <c r="U17" s="14" t="n"/>
      <c r="V17" s="13" t="n"/>
      <c r="W17" s="14" t="n"/>
      <c r="X17" s="14" t="n"/>
      <c r="Y17" s="14" t="n"/>
      <c r="Z17" s="15" t="n"/>
      <c r="AA17" s="15" t="n"/>
      <c r="AB17" s="13" t="n"/>
      <c r="AC17" s="14" t="n"/>
      <c r="AD17" s="14" t="n"/>
      <c r="AH17" s="15" t="n"/>
    </row>
    <row r="18">
      <c r="M18" s="13" t="n"/>
      <c r="P18" s="13" t="n"/>
      <c r="Q18" s="13" t="n"/>
      <c r="R18" s="14" t="n"/>
      <c r="S18" s="14" t="n"/>
      <c r="T18" s="14" t="n"/>
      <c r="U18" s="14" t="n"/>
      <c r="V18" s="13" t="n"/>
      <c r="W18" s="14" t="n"/>
      <c r="X18" s="14" t="n"/>
      <c r="Y18" s="14" t="n"/>
      <c r="Z18" s="15" t="n"/>
      <c r="AA18" s="15" t="n"/>
      <c r="AB18" s="13" t="n"/>
      <c r="AC18" s="14" t="n"/>
      <c r="AD18" s="14" t="n"/>
      <c r="AH18" s="15" t="n"/>
    </row>
    <row r="19">
      <c r="M19" s="13" t="n"/>
      <c r="P19" s="13" t="n"/>
      <c r="Q19" s="13" t="n"/>
      <c r="R19" s="14" t="n"/>
      <c r="S19" s="14" t="n"/>
      <c r="T19" s="14" t="n"/>
      <c r="U19" s="14" t="n"/>
      <c r="V19" s="13" t="n"/>
      <c r="W19" s="14" t="n"/>
      <c r="X19" s="14" t="n"/>
      <c r="Y19" s="14" t="n"/>
      <c r="Z19" s="15" t="n"/>
      <c r="AA19" s="15" t="n"/>
      <c r="AB19" s="13" t="n"/>
      <c r="AC19" s="14" t="n"/>
      <c r="AD19" s="14" t="n"/>
      <c r="AH19" s="15" t="n"/>
    </row>
    <row r="20">
      <c r="M20" s="13" t="n"/>
      <c r="P20" s="13" t="n"/>
      <c r="Q20" s="13" t="n"/>
      <c r="R20" s="14" t="n"/>
      <c r="S20" s="14" t="n"/>
      <c r="T20" s="14" t="n"/>
      <c r="U20" s="14" t="n"/>
      <c r="V20" s="13" t="n"/>
      <c r="W20" s="14" t="n"/>
      <c r="X20" s="14" t="n"/>
      <c r="Y20" s="14" t="n"/>
      <c r="Z20" s="15" t="n"/>
      <c r="AA20" s="15" t="n"/>
      <c r="AB20" s="13" t="n"/>
      <c r="AC20" s="14" t="n"/>
      <c r="AD20" s="14" t="n"/>
      <c r="AH20" s="15" t="n"/>
    </row>
    <row r="21">
      <c r="M21" s="13" t="n"/>
      <c r="P21" s="13" t="n"/>
      <c r="Q21" s="13" t="n"/>
      <c r="R21" s="14" t="n"/>
      <c r="S21" s="14" t="n"/>
      <c r="T21" s="14" t="n"/>
      <c r="U21" s="14" t="n"/>
      <c r="V21" s="13" t="n"/>
      <c r="W21" s="14" t="n"/>
      <c r="X21" s="14" t="n"/>
      <c r="Y21" s="14" t="n"/>
      <c r="Z21" s="15" t="n"/>
      <c r="AA21" s="15" t="n"/>
      <c r="AB21" s="13" t="n"/>
      <c r="AC21" s="14" t="n"/>
      <c r="AD21" s="14" t="n"/>
      <c r="AH21" s="15" t="n"/>
    </row>
    <row r="22">
      <c r="M22" s="13" t="n"/>
      <c r="P22" s="13" t="n"/>
      <c r="Q22" s="13" t="n"/>
      <c r="R22" s="14" t="n"/>
      <c r="S22" s="14" t="n"/>
      <c r="T22" s="14" t="n"/>
      <c r="U22" s="14" t="n"/>
      <c r="V22" s="13" t="n"/>
      <c r="W22" s="14" t="n"/>
      <c r="X22" s="14" t="n"/>
      <c r="Y22" s="14" t="n"/>
      <c r="Z22" s="15" t="n"/>
      <c r="AA22" s="15" t="n"/>
      <c r="AB22" s="13" t="n"/>
      <c r="AC22" s="14" t="n"/>
      <c r="AD22" s="14" t="n"/>
      <c r="AH22" s="15" t="n"/>
    </row>
    <row r="23">
      <c r="M23" s="13" t="n"/>
      <c r="P23" s="13" t="n"/>
      <c r="Q23" s="13" t="n"/>
      <c r="R23" s="14" t="n"/>
      <c r="S23" s="14" t="n"/>
      <c r="T23" s="14" t="n"/>
      <c r="U23" s="14" t="n"/>
      <c r="V23" s="13" t="n"/>
      <c r="W23" s="14" t="n"/>
      <c r="X23" s="14" t="n"/>
      <c r="Y23" s="14" t="n"/>
      <c r="Z23" s="15" t="n"/>
      <c r="AA23" s="15" t="n"/>
      <c r="AB23" s="13" t="n"/>
      <c r="AC23" s="14" t="n"/>
      <c r="AD23" s="14" t="n"/>
      <c r="AH23" s="15" t="n"/>
    </row>
    <row r="24">
      <c r="M24" s="13" t="n"/>
      <c r="P24" s="13" t="n"/>
      <c r="Q24" s="13" t="n"/>
      <c r="R24" s="14" t="n"/>
      <c r="S24" s="14" t="n"/>
      <c r="T24" s="14" t="n"/>
      <c r="U24" s="14" t="n"/>
      <c r="V24" s="13" t="n"/>
      <c r="W24" s="14" t="n"/>
      <c r="X24" s="14" t="n"/>
      <c r="Y24" s="14" t="n"/>
      <c r="Z24" s="15" t="n"/>
      <c r="AA24" s="15" t="n"/>
      <c r="AB24" s="13" t="n"/>
      <c r="AC24" s="14" t="n"/>
      <c r="AD24" s="14" t="n"/>
      <c r="AH24" s="15" t="n"/>
    </row>
    <row r="25">
      <c r="M25" s="13" t="n"/>
      <c r="P25" s="13" t="n"/>
      <c r="Q25" s="13" t="n"/>
      <c r="R25" s="14" t="n"/>
      <c r="S25" s="14" t="n"/>
      <c r="T25" s="14" t="n"/>
      <c r="U25" s="14" t="n"/>
      <c r="V25" s="13" t="n"/>
      <c r="W25" s="14" t="n"/>
      <c r="X25" s="14" t="n"/>
      <c r="Y25" s="14" t="n"/>
      <c r="Z25" s="15" t="n"/>
      <c r="AA25" s="15" t="n"/>
      <c r="AB25" s="13" t="n"/>
      <c r="AC25" s="14" t="n"/>
      <c r="AD25" s="14" t="n"/>
      <c r="AH25" s="15" t="n"/>
    </row>
    <row r="26">
      <c r="M26" s="13" t="n"/>
      <c r="P26" s="13" t="n"/>
      <c r="Q26" s="13" t="n"/>
      <c r="R26" s="14" t="n"/>
      <c r="S26" s="14" t="n"/>
      <c r="T26" s="14" t="n"/>
      <c r="U26" s="14" t="n"/>
      <c r="V26" s="13" t="n"/>
      <c r="W26" s="14" t="n"/>
      <c r="X26" s="14" t="n"/>
      <c r="Y26" s="14" t="n"/>
      <c r="Z26" s="15" t="n"/>
      <c r="AA26" s="15" t="n"/>
      <c r="AB26" s="13" t="n"/>
      <c r="AC26" s="14" t="n"/>
      <c r="AD26" s="14" t="n"/>
      <c r="AH26" s="15" t="n"/>
    </row>
    <row r="27">
      <c r="M27" s="13" t="n"/>
      <c r="P27" s="13" t="n"/>
      <c r="Q27" s="13" t="n"/>
      <c r="R27" s="14" t="n"/>
      <c r="S27" s="14" t="n"/>
      <c r="T27" s="14" t="n"/>
      <c r="U27" s="14" t="n"/>
      <c r="V27" s="13" t="n"/>
      <c r="W27" s="14" t="n"/>
      <c r="X27" s="14" t="n"/>
      <c r="Y27" s="14" t="n"/>
      <c r="Z27" s="15" t="n"/>
      <c r="AA27" s="15" t="n"/>
      <c r="AB27" s="13" t="n"/>
      <c r="AC27" s="14" t="n"/>
      <c r="AD27" s="14" t="n"/>
      <c r="AH27" s="15" t="n"/>
    </row>
    <row r="28">
      <c r="M28" s="13" t="n"/>
      <c r="P28" s="13" t="n"/>
      <c r="Q28" s="13" t="n"/>
      <c r="R28" s="14" t="n"/>
      <c r="S28" s="14" t="n"/>
      <c r="T28" s="14" t="n"/>
      <c r="U28" s="14" t="n"/>
      <c r="V28" s="13" t="n"/>
      <c r="W28" s="14" t="n"/>
      <c r="X28" s="14" t="n"/>
      <c r="Y28" s="14" t="n"/>
      <c r="Z28" s="15" t="n"/>
      <c r="AA28" s="15" t="n"/>
      <c r="AB28" s="13" t="n"/>
      <c r="AC28" s="14" t="n"/>
      <c r="AD28" s="14" t="n"/>
      <c r="AH28" s="15" t="n"/>
    </row>
    <row r="29">
      <c r="M29" s="13" t="n"/>
      <c r="P29" s="13" t="n"/>
      <c r="Q29" s="13" t="n"/>
      <c r="R29" s="14" t="n"/>
      <c r="S29" s="14" t="n"/>
      <c r="T29" s="14" t="n"/>
      <c r="U29" s="14" t="n"/>
      <c r="V29" s="13" t="n"/>
      <c r="W29" s="14" t="n"/>
      <c r="X29" s="14" t="n"/>
      <c r="Y29" s="14" t="n"/>
      <c r="Z29" s="15" t="n"/>
      <c r="AA29" s="15" t="n"/>
      <c r="AB29" s="13" t="n"/>
      <c r="AC29" s="14" t="n"/>
      <c r="AD29" s="14" t="n"/>
      <c r="AH29" s="15" t="n"/>
    </row>
    <row r="30">
      <c r="M30" s="13" t="n"/>
      <c r="P30" s="13" t="n"/>
      <c r="Q30" s="13" t="n"/>
      <c r="R30" s="14" t="n"/>
      <c r="S30" s="14" t="n"/>
      <c r="T30" s="14" t="n"/>
      <c r="U30" s="14" t="n"/>
      <c r="V30" s="13" t="n"/>
      <c r="W30" s="14" t="n"/>
      <c r="X30" s="14" t="n"/>
      <c r="Y30" s="14" t="n"/>
      <c r="Z30" s="15" t="n"/>
      <c r="AA30" s="15" t="n"/>
      <c r="AB30" s="13" t="n"/>
      <c r="AC30" s="14" t="n"/>
      <c r="AD30" s="14" t="n"/>
      <c r="AH30" s="15" t="n"/>
    </row>
    <row r="31">
      <c r="M31" s="13" t="n"/>
      <c r="P31" s="13" t="n"/>
      <c r="Q31" s="13" t="n"/>
      <c r="R31" s="14" t="n"/>
      <c r="S31" s="14" t="n"/>
      <c r="T31" s="14" t="n"/>
      <c r="U31" s="14" t="n"/>
      <c r="V31" s="13" t="n"/>
      <c r="W31" s="14" t="n"/>
      <c r="X31" s="14" t="n"/>
      <c r="Y31" s="14" t="n"/>
      <c r="Z31" s="15" t="n"/>
      <c r="AA31" s="15" t="n"/>
      <c r="AB31" s="13" t="n"/>
      <c r="AC31" s="14" t="n"/>
      <c r="AD31" s="14" t="n"/>
      <c r="AH31" s="15" t="n"/>
    </row>
    <row r="32">
      <c r="M32" s="13" t="n"/>
      <c r="P32" s="13" t="n"/>
      <c r="Q32" s="13" t="n"/>
      <c r="R32" s="14" t="n"/>
      <c r="S32" s="14" t="n"/>
      <c r="T32" s="14" t="n"/>
      <c r="U32" s="14" t="n"/>
      <c r="V32" s="13" t="n"/>
      <c r="W32" s="14" t="n"/>
      <c r="X32" s="14" t="n"/>
      <c r="Y32" s="14" t="n"/>
      <c r="Z32" s="15" t="n"/>
      <c r="AA32" s="15" t="n"/>
      <c r="AB32" s="13" t="n"/>
      <c r="AC32" s="14" t="n"/>
      <c r="AD32" s="14" t="n"/>
      <c r="AH32" s="15" t="n"/>
    </row>
    <row r="33">
      <c r="M33" s="13" t="n"/>
      <c r="P33" s="13" t="n"/>
      <c r="Q33" s="13" t="n"/>
      <c r="R33" s="14" t="n"/>
      <c r="S33" s="14" t="n"/>
      <c r="T33" s="14" t="n"/>
      <c r="U33" s="14" t="n"/>
      <c r="V33" s="13" t="n"/>
      <c r="W33" s="14" t="n"/>
      <c r="X33" s="14" t="n"/>
      <c r="Y33" s="14" t="n"/>
      <c r="Z33" s="15" t="n"/>
      <c r="AA33" s="15" t="n"/>
      <c r="AB33" s="13" t="n"/>
      <c r="AC33" s="14" t="n"/>
      <c r="AD33" s="14" t="n"/>
      <c r="AH33" s="15" t="n"/>
    </row>
    <row r="34">
      <c r="M34" s="13" t="n"/>
      <c r="P34" s="13" t="n"/>
      <c r="Q34" s="13" t="n"/>
      <c r="R34" s="14" t="n"/>
      <c r="S34" s="14" t="n"/>
      <c r="T34" s="14" t="n"/>
      <c r="U34" s="14" t="n"/>
      <c r="V34" s="13" t="n"/>
      <c r="W34" s="14" t="n"/>
      <c r="X34" s="14" t="n"/>
      <c r="Y34" s="14" t="n"/>
      <c r="Z34" s="15" t="n"/>
      <c r="AA34" s="15" t="n"/>
      <c r="AB34" s="13" t="n"/>
      <c r="AC34" s="14" t="n"/>
      <c r="AD34" s="14" t="n"/>
      <c r="AH34" s="15" t="n"/>
    </row>
    <row r="35">
      <c r="M35" s="13" t="n"/>
      <c r="P35" s="13" t="n"/>
      <c r="Q35" s="13" t="n"/>
      <c r="R35" s="14" t="n"/>
      <c r="S35" s="14" t="n"/>
      <c r="T35" s="14" t="n"/>
      <c r="U35" s="14" t="n"/>
      <c r="V35" s="13" t="n"/>
      <c r="W35" s="14" t="n"/>
      <c r="X35" s="14" t="n"/>
      <c r="Y35" s="14" t="n"/>
      <c r="Z35" s="15" t="n"/>
      <c r="AA35" s="15" t="n"/>
      <c r="AB35" s="13" t="n"/>
      <c r="AC35" s="14" t="n"/>
      <c r="AD35" s="14" t="n"/>
      <c r="AH35" s="15" t="n"/>
    </row>
    <row r="36">
      <c r="M36" s="13" t="n"/>
      <c r="P36" s="13" t="n"/>
      <c r="Q36" s="13" t="n"/>
      <c r="R36" s="14" t="n"/>
      <c r="S36" s="14" t="n"/>
      <c r="T36" s="14" t="n"/>
      <c r="U36" s="14" t="n"/>
      <c r="V36" s="13" t="n"/>
      <c r="W36" s="14" t="n"/>
      <c r="X36" s="14" t="n"/>
      <c r="Y36" s="14" t="n"/>
      <c r="Z36" s="15" t="n"/>
      <c r="AA36" s="15" t="n"/>
      <c r="AB36" s="13" t="n"/>
      <c r="AC36" s="14" t="n"/>
      <c r="AD36" s="14" t="n"/>
      <c r="AH36" s="15" t="n"/>
    </row>
    <row r="37">
      <c r="M37" s="13" t="n"/>
      <c r="P37" s="13" t="n"/>
      <c r="Q37" s="13" t="n"/>
      <c r="R37" s="14" t="n"/>
      <c r="S37" s="14" t="n"/>
      <c r="T37" s="14" t="n"/>
      <c r="U37" s="14" t="n"/>
      <c r="V37" s="13" t="n"/>
      <c r="W37" s="14" t="n"/>
      <c r="X37" s="14" t="n"/>
      <c r="Y37" s="14" t="n"/>
      <c r="Z37" s="15" t="n"/>
      <c r="AA37" s="15" t="n"/>
      <c r="AB37" s="13" t="n"/>
      <c r="AC37" s="14" t="n"/>
      <c r="AD37" s="14" t="n"/>
      <c r="AH37" s="15" t="n"/>
    </row>
    <row r="38">
      <c r="M38" s="13" t="n"/>
      <c r="P38" s="13" t="n"/>
      <c r="Q38" s="13" t="n"/>
      <c r="R38" s="14" t="n"/>
      <c r="S38" s="14" t="n"/>
      <c r="T38" s="14" t="n"/>
      <c r="U38" s="14" t="n"/>
      <c r="V38" s="13" t="n"/>
      <c r="W38" s="14" t="n"/>
      <c r="X38" s="14" t="n"/>
      <c r="Y38" s="14" t="n"/>
      <c r="Z38" s="15" t="n"/>
      <c r="AA38" s="15" t="n"/>
      <c r="AB38" s="13" t="n"/>
      <c r="AC38" s="14" t="n"/>
      <c r="AD38" s="14" t="n"/>
      <c r="AH38" s="15" t="n"/>
    </row>
    <row r="39">
      <c r="M39" s="13" t="n"/>
      <c r="P39" s="13" t="n"/>
      <c r="Q39" s="13" t="n"/>
      <c r="R39" s="14" t="n"/>
      <c r="S39" s="14" t="n"/>
      <c r="T39" s="14" t="n"/>
      <c r="U39" s="14" t="n"/>
      <c r="V39" s="13" t="n"/>
      <c r="W39" s="14" t="n"/>
      <c r="X39" s="14" t="n"/>
      <c r="Y39" s="14" t="n"/>
      <c r="Z39" s="15" t="n"/>
      <c r="AA39" s="15" t="n"/>
      <c r="AB39" s="13" t="n"/>
      <c r="AC39" s="14" t="n"/>
      <c r="AD39" s="14" t="n"/>
      <c r="AH39" s="15" t="n"/>
    </row>
    <row r="40">
      <c r="M40" s="13" t="n"/>
      <c r="P40" s="13" t="n"/>
      <c r="Q40" s="13" t="n"/>
      <c r="R40" s="14" t="n"/>
      <c r="S40" s="14" t="n"/>
      <c r="T40" s="14" t="n"/>
      <c r="U40" s="14" t="n"/>
      <c r="V40" s="13" t="n"/>
      <c r="W40" s="14" t="n"/>
      <c r="X40" s="14" t="n"/>
      <c r="Y40" s="14" t="n"/>
      <c r="Z40" s="15" t="n"/>
      <c r="AA40" s="15" t="n"/>
      <c r="AB40" s="13" t="n"/>
      <c r="AC40" s="14" t="n"/>
      <c r="AD40" s="14" t="n"/>
      <c r="AH40" s="15" t="n"/>
    </row>
    <row r="41">
      <c r="M41" s="13" t="n"/>
      <c r="P41" s="13" t="n"/>
      <c r="Q41" s="13" t="n"/>
      <c r="R41" s="14" t="n"/>
      <c r="S41" s="14" t="n"/>
      <c r="T41" s="14" t="n"/>
      <c r="U41" s="14" t="n"/>
      <c r="V41" s="13" t="n"/>
      <c r="W41" s="14" t="n"/>
      <c r="X41" s="14" t="n"/>
      <c r="Y41" s="14" t="n"/>
      <c r="Z41" s="15" t="n"/>
      <c r="AA41" s="15" t="n"/>
      <c r="AB41" s="13" t="n"/>
      <c r="AC41" s="14" t="n"/>
      <c r="AD41" s="14" t="n"/>
      <c r="AH41" s="15" t="n"/>
    </row>
    <row r="42">
      <c r="M42" s="13" t="n"/>
      <c r="P42" s="13" t="n"/>
      <c r="Q42" s="13" t="n"/>
      <c r="R42" s="14" t="n"/>
      <c r="S42" s="14" t="n"/>
      <c r="T42" s="14" t="n"/>
      <c r="U42" s="14" t="n"/>
      <c r="V42" s="13" t="n"/>
      <c r="W42" s="14" t="n"/>
      <c r="X42" s="14" t="n"/>
      <c r="Y42" s="14" t="n"/>
      <c r="Z42" s="15" t="n"/>
      <c r="AA42" s="15" t="n"/>
      <c r="AB42" s="13" t="n"/>
      <c r="AC42" s="14" t="n"/>
      <c r="AD42" s="14" t="n"/>
      <c r="AH42" s="15" t="n"/>
    </row>
    <row r="43">
      <c r="M43" s="13" t="n"/>
      <c r="P43" s="13" t="n"/>
      <c r="Q43" s="13" t="n"/>
      <c r="R43" s="14" t="n"/>
      <c r="S43" s="14" t="n"/>
      <c r="T43" s="14" t="n"/>
      <c r="U43" s="14" t="n"/>
      <c r="V43" s="13" t="n"/>
      <c r="W43" s="14" t="n"/>
      <c r="X43" s="14" t="n"/>
      <c r="Y43" s="14" t="n"/>
      <c r="Z43" s="15" t="n"/>
      <c r="AA43" s="15" t="n"/>
      <c r="AB43" s="13" t="n"/>
      <c r="AC43" s="14" t="n"/>
      <c r="AD43" s="14" t="n"/>
      <c r="AH43" s="15" t="n"/>
    </row>
    <row r="44">
      <c r="M44" s="13" t="n"/>
      <c r="P44" s="13" t="n"/>
      <c r="Q44" s="13" t="n"/>
      <c r="R44" s="14" t="n"/>
      <c r="S44" s="14" t="n"/>
      <c r="T44" s="14" t="n"/>
      <c r="U44" s="14" t="n"/>
      <c r="V44" s="13" t="n"/>
      <c r="W44" s="14" t="n"/>
      <c r="X44" s="14" t="n"/>
      <c r="Y44" s="14" t="n"/>
      <c r="Z44" s="15" t="n"/>
      <c r="AA44" s="15" t="n"/>
      <c r="AB44" s="13" t="n"/>
      <c r="AC44" s="14" t="n"/>
      <c r="AD44" s="14" t="n"/>
      <c r="AH44" s="15" t="n"/>
    </row>
    <row r="45">
      <c r="M45" s="13" t="n"/>
      <c r="P45" s="13" t="n"/>
      <c r="Q45" s="13" t="n"/>
      <c r="R45" s="14" t="n"/>
      <c r="S45" s="14" t="n"/>
      <c r="T45" s="14" t="n"/>
      <c r="U45" s="14" t="n"/>
      <c r="V45" s="13" t="n"/>
      <c r="W45" s="14" t="n"/>
      <c r="X45" s="14" t="n"/>
      <c r="Y45" s="14" t="n"/>
      <c r="Z45" s="15" t="n"/>
      <c r="AA45" s="15" t="n"/>
      <c r="AB45" s="13" t="n"/>
      <c r="AC45" s="14" t="n"/>
      <c r="AD45" s="14" t="n"/>
      <c r="AH45" s="15" t="n"/>
    </row>
    <row r="46">
      <c r="M46" s="13" t="n"/>
      <c r="P46" s="13" t="n"/>
      <c r="Q46" s="13" t="n"/>
      <c r="R46" s="14" t="n"/>
      <c r="S46" s="14" t="n"/>
      <c r="T46" s="14" t="n"/>
      <c r="U46" s="14" t="n"/>
      <c r="V46" s="13" t="n"/>
      <c r="W46" s="14" t="n"/>
      <c r="X46" s="14" t="n"/>
      <c r="Y46" s="14" t="n"/>
      <c r="Z46" s="15" t="n"/>
      <c r="AA46" s="15" t="n"/>
      <c r="AB46" s="13" t="n"/>
      <c r="AC46" s="14" t="n"/>
      <c r="AD46" s="14" t="n"/>
      <c r="AH46" s="15" t="n"/>
    </row>
    <row r="47">
      <c r="M47" s="13" t="n"/>
      <c r="P47" s="13" t="n"/>
      <c r="Q47" s="13" t="n"/>
      <c r="R47" s="14" t="n"/>
      <c r="S47" s="14" t="n"/>
      <c r="T47" s="14" t="n"/>
      <c r="U47" s="14" t="n"/>
      <c r="V47" s="13" t="n"/>
      <c r="W47" s="14" t="n"/>
      <c r="X47" s="14" t="n"/>
      <c r="Y47" s="14" t="n"/>
      <c r="Z47" s="15" t="n"/>
      <c r="AA47" s="15" t="n"/>
      <c r="AB47" s="13" t="n"/>
      <c r="AC47" s="14" t="n"/>
      <c r="AD47" s="14" t="n"/>
      <c r="AH47" s="15" t="n"/>
    </row>
    <row r="48">
      <c r="M48" s="13" t="n"/>
      <c r="P48" s="13" t="n"/>
      <c r="Q48" s="13" t="n"/>
      <c r="R48" s="14" t="n"/>
      <c r="S48" s="14" t="n"/>
      <c r="T48" s="14" t="n"/>
      <c r="U48" s="14" t="n"/>
      <c r="V48" s="13" t="n"/>
      <c r="W48" s="14" t="n"/>
      <c r="X48" s="14" t="n"/>
      <c r="Y48" s="14" t="n"/>
      <c r="Z48" s="15" t="n"/>
      <c r="AA48" s="15" t="n"/>
      <c r="AB48" s="13" t="n"/>
      <c r="AC48" s="14" t="n"/>
      <c r="AD48" s="14" t="n"/>
      <c r="AH48" s="15" t="n"/>
    </row>
    <row r="49">
      <c r="M49" s="13" t="n"/>
      <c r="P49" s="13" t="n"/>
      <c r="Q49" s="13" t="n"/>
      <c r="R49" s="14" t="n"/>
      <c r="S49" s="14" t="n"/>
      <c r="T49" s="14" t="n"/>
      <c r="U49" s="14" t="n"/>
      <c r="V49" s="13" t="n"/>
      <c r="W49" s="14" t="n"/>
      <c r="X49" s="14" t="n"/>
      <c r="Y49" s="14" t="n"/>
      <c r="Z49" s="15" t="n"/>
      <c r="AA49" s="15" t="n"/>
      <c r="AB49" s="13" t="n"/>
      <c r="AC49" s="14" t="n"/>
      <c r="AD49" s="14" t="n"/>
      <c r="AH49" s="15" t="n"/>
    </row>
    <row r="50">
      <c r="M50" s="13" t="n"/>
      <c r="P50" s="13" t="n"/>
      <c r="Q50" s="13" t="n"/>
      <c r="R50" s="14" t="n"/>
      <c r="S50" s="14" t="n"/>
      <c r="T50" s="14" t="n"/>
      <c r="U50" s="14" t="n"/>
      <c r="V50" s="13" t="n"/>
      <c r="W50" s="14" t="n"/>
      <c r="X50" s="14" t="n"/>
      <c r="Y50" s="14" t="n"/>
      <c r="Z50" s="15" t="n"/>
      <c r="AA50" s="15" t="n"/>
      <c r="AB50" s="13" t="n"/>
      <c r="AC50" s="14" t="n"/>
      <c r="AD50" s="14" t="n"/>
      <c r="AH50" s="15" t="n"/>
    </row>
    <row r="51">
      <c r="M51" s="13" t="n"/>
      <c r="P51" s="13" t="n"/>
      <c r="Q51" s="13" t="n"/>
      <c r="R51" s="14" t="n"/>
      <c r="S51" s="14" t="n"/>
      <c r="T51" s="14" t="n"/>
      <c r="U51" s="14" t="n"/>
      <c r="V51" s="13" t="n"/>
      <c r="W51" s="14" t="n"/>
      <c r="X51" s="14" t="n"/>
      <c r="Y51" s="14" t="n"/>
      <c r="Z51" s="15" t="n"/>
      <c r="AA51" s="15" t="n"/>
      <c r="AB51" s="13" t="n"/>
      <c r="AC51" s="14" t="n"/>
      <c r="AD51" s="14" t="n"/>
      <c r="AH51" s="15" t="n"/>
    </row>
    <row r="52">
      <c r="M52" s="13" t="n"/>
      <c r="P52" s="13" t="n"/>
      <c r="Q52" s="13" t="n"/>
      <c r="R52" s="14" t="n"/>
      <c r="S52" s="14" t="n"/>
      <c r="T52" s="14" t="n"/>
      <c r="U52" s="14" t="n"/>
      <c r="V52" s="13" t="n"/>
      <c r="W52" s="14" t="n"/>
      <c r="X52" s="14" t="n"/>
      <c r="Y52" s="14" t="n"/>
      <c r="Z52" s="15" t="n"/>
      <c r="AA52" s="15" t="n"/>
      <c r="AB52" s="13" t="n"/>
      <c r="AC52" s="14" t="n"/>
      <c r="AD52" s="14" t="n"/>
      <c r="AH52" s="15" t="n"/>
    </row>
    <row r="53">
      <c r="M53" s="13" t="n"/>
      <c r="P53" s="13" t="n"/>
      <c r="Q53" s="13" t="n"/>
      <c r="R53" s="14" t="n"/>
      <c r="S53" s="14" t="n"/>
      <c r="T53" s="14" t="n"/>
      <c r="U53" s="14" t="n"/>
      <c r="V53" s="13" t="n"/>
      <c r="W53" s="14" t="n"/>
      <c r="X53" s="14" t="n"/>
      <c r="Y53" s="14" t="n"/>
      <c r="Z53" s="15" t="n"/>
      <c r="AA53" s="15" t="n"/>
      <c r="AB53" s="13" t="n"/>
      <c r="AC53" s="14" t="n"/>
      <c r="AD53" s="14" t="n"/>
      <c r="AH53" s="15" t="n"/>
    </row>
    <row r="54">
      <c r="M54" s="13" t="n"/>
      <c r="P54" s="13" t="n"/>
      <c r="Q54" s="13" t="n"/>
      <c r="R54" s="14" t="n"/>
      <c r="S54" s="14" t="n"/>
      <c r="T54" s="14" t="n"/>
      <c r="U54" s="14" t="n"/>
      <c r="V54" s="13" t="n"/>
      <c r="W54" s="14" t="n"/>
      <c r="X54" s="14" t="n"/>
      <c r="Y54" s="14" t="n"/>
      <c r="Z54" s="15" t="n"/>
      <c r="AA54" s="15" t="n"/>
      <c r="AB54" s="13" t="n"/>
      <c r="AC54" s="14" t="n"/>
      <c r="AD54" s="14" t="n"/>
      <c r="AH54" s="15" t="n"/>
    </row>
    <row r="55">
      <c r="M55" s="13" t="n"/>
      <c r="P55" s="13" t="n"/>
      <c r="Q55" s="13" t="n"/>
      <c r="R55" s="14" t="n"/>
      <c r="S55" s="14" t="n"/>
      <c r="T55" s="14" t="n"/>
      <c r="U55" s="14" t="n"/>
      <c r="V55" s="13" t="n"/>
      <c r="W55" s="14" t="n"/>
      <c r="X55" s="14" t="n"/>
      <c r="Y55" s="14" t="n"/>
      <c r="Z55" s="15" t="n"/>
      <c r="AA55" s="15" t="n"/>
      <c r="AB55" s="13" t="n"/>
      <c r="AC55" s="14" t="n"/>
      <c r="AD55" s="14" t="n"/>
      <c r="AH55" s="15" t="n"/>
    </row>
    <row r="56">
      <c r="M56" s="13" t="n"/>
      <c r="P56" s="13" t="n"/>
      <c r="Q56" s="13" t="n"/>
      <c r="R56" s="14" t="n"/>
      <c r="S56" s="14" t="n"/>
      <c r="T56" s="14" t="n"/>
      <c r="U56" s="14" t="n"/>
      <c r="V56" s="13" t="n"/>
      <c r="W56" s="14" t="n"/>
      <c r="X56" s="14" t="n"/>
      <c r="Y56" s="14" t="n"/>
      <c r="Z56" s="15" t="n"/>
      <c r="AA56" s="15" t="n"/>
      <c r="AB56" s="13" t="n"/>
      <c r="AC56" s="14" t="n"/>
      <c r="AD56" s="14" t="n"/>
      <c r="AH56" s="15" t="n"/>
    </row>
    <row r="57">
      <c r="M57" s="13" t="n"/>
      <c r="P57" s="13" t="n"/>
      <c r="Q57" s="13" t="n"/>
      <c r="R57" s="14" t="n"/>
      <c r="S57" s="14" t="n"/>
      <c r="T57" s="14" t="n"/>
      <c r="U57" s="14" t="n"/>
      <c r="V57" s="13" t="n"/>
      <c r="W57" s="14" t="n"/>
      <c r="X57" s="14" t="n"/>
      <c r="Y57" s="14" t="n"/>
      <c r="Z57" s="15" t="n"/>
      <c r="AA57" s="15" t="n"/>
      <c r="AB57" s="13" t="n"/>
      <c r="AC57" s="14" t="n"/>
      <c r="AD57" s="14" t="n"/>
      <c r="AH57" s="15" t="n"/>
    </row>
    <row r="58">
      <c r="M58" s="13" t="n"/>
      <c r="P58" s="13" t="n"/>
      <c r="Q58" s="13" t="n"/>
      <c r="R58" s="14" t="n"/>
      <c r="S58" s="14" t="n"/>
      <c r="T58" s="14" t="n"/>
      <c r="U58" s="14" t="n"/>
      <c r="V58" s="13" t="n"/>
      <c r="W58" s="14" t="n"/>
      <c r="X58" s="14" t="n"/>
      <c r="Y58" s="14" t="n"/>
      <c r="Z58" s="15" t="n"/>
      <c r="AA58" s="15" t="n"/>
      <c r="AB58" s="13" t="n"/>
      <c r="AC58" s="14" t="n"/>
      <c r="AD58" s="14" t="n"/>
      <c r="AH58" s="15" t="n"/>
    </row>
    <row r="59">
      <c r="M59" s="13" t="n"/>
      <c r="P59" s="13" t="n"/>
      <c r="Q59" s="13" t="n"/>
      <c r="R59" s="14" t="n"/>
      <c r="S59" s="14" t="n"/>
      <c r="T59" s="14" t="n"/>
      <c r="U59" s="14" t="n"/>
      <c r="V59" s="13" t="n"/>
      <c r="W59" s="14" t="n"/>
      <c r="X59" s="14" t="n"/>
      <c r="Y59" s="14" t="n"/>
      <c r="Z59" s="15" t="n"/>
      <c r="AA59" s="15" t="n"/>
      <c r="AB59" s="13" t="n"/>
      <c r="AC59" s="14" t="n"/>
      <c r="AD59" s="14" t="n"/>
      <c r="AH59" s="15" t="n"/>
    </row>
    <row r="60">
      <c r="M60" s="13" t="n"/>
      <c r="P60" s="13" t="n"/>
      <c r="Q60" s="13" t="n"/>
      <c r="R60" s="14" t="n"/>
      <c r="S60" s="14" t="n"/>
      <c r="T60" s="14" t="n"/>
      <c r="U60" s="14" t="n"/>
      <c r="V60" s="13" t="n"/>
      <c r="W60" s="14" t="n"/>
      <c r="X60" s="14" t="n"/>
      <c r="Y60" s="14" t="n"/>
      <c r="Z60" s="15" t="n"/>
      <c r="AA60" s="15" t="n"/>
      <c r="AB60" s="13" t="n"/>
      <c r="AC60" s="14" t="n"/>
      <c r="AD60" s="14" t="n"/>
      <c r="AH60" s="15" t="n"/>
    </row>
    <row r="61">
      <c r="M61" s="13" t="n"/>
      <c r="P61" s="13" t="n"/>
      <c r="Q61" s="13" t="n"/>
      <c r="R61" s="14" t="n"/>
      <c r="S61" s="14" t="n"/>
      <c r="T61" s="14" t="n"/>
      <c r="U61" s="14" t="n"/>
      <c r="V61" s="13" t="n"/>
      <c r="W61" s="14" t="n"/>
      <c r="X61" s="14" t="n"/>
      <c r="Y61" s="14" t="n"/>
      <c r="Z61" s="15" t="n"/>
      <c r="AA61" s="15" t="n"/>
      <c r="AB61" s="13" t="n"/>
      <c r="AC61" s="14" t="n"/>
      <c r="AD61" s="14" t="n"/>
      <c r="AH61" s="15" t="n"/>
    </row>
    <row r="62">
      <c r="M62" s="13" t="n"/>
      <c r="P62" s="13" t="n"/>
      <c r="Q62" s="13" t="n"/>
      <c r="R62" s="14" t="n"/>
      <c r="S62" s="14" t="n"/>
      <c r="T62" s="14" t="n"/>
      <c r="U62" s="14" t="n"/>
      <c r="V62" s="13" t="n"/>
      <c r="W62" s="14" t="n"/>
      <c r="X62" s="14" t="n"/>
      <c r="Y62" s="14" t="n"/>
      <c r="Z62" s="15" t="n"/>
      <c r="AA62" s="15" t="n"/>
      <c r="AB62" s="13" t="n"/>
      <c r="AC62" s="14" t="n"/>
      <c r="AD62" s="14" t="n"/>
      <c r="AH62" s="15" t="n"/>
    </row>
    <row r="63">
      <c r="M63" s="13" t="n"/>
      <c r="P63" s="13" t="n"/>
      <c r="Q63" s="13" t="n"/>
      <c r="R63" s="14" t="n"/>
      <c r="S63" s="14" t="n"/>
      <c r="T63" s="14" t="n"/>
      <c r="U63" s="14" t="n"/>
      <c r="V63" s="13" t="n"/>
      <c r="W63" s="14" t="n"/>
      <c r="X63" s="14" t="n"/>
      <c r="Y63" s="14" t="n"/>
      <c r="Z63" s="15" t="n"/>
      <c r="AA63" s="15" t="n"/>
      <c r="AB63" s="13" t="n"/>
      <c r="AC63" s="14" t="n"/>
      <c r="AD63" s="14" t="n"/>
      <c r="AH63" s="15" t="n"/>
    </row>
    <row r="64">
      <c r="M64" s="13" t="n"/>
      <c r="P64" s="13" t="n"/>
      <c r="Q64" s="13" t="n"/>
      <c r="R64" s="14" t="n"/>
      <c r="S64" s="14" t="n"/>
      <c r="T64" s="14" t="n"/>
      <c r="U64" s="14" t="n"/>
      <c r="V64" s="13" t="n"/>
      <c r="W64" s="14" t="n"/>
      <c r="X64" s="14" t="n"/>
      <c r="Y64" s="14" t="n"/>
      <c r="Z64" s="15" t="n"/>
      <c r="AA64" s="15" t="n"/>
      <c r="AB64" s="13" t="n"/>
      <c r="AC64" s="14" t="n"/>
      <c r="AD64" s="14" t="n"/>
      <c r="AH64" s="15" t="n"/>
    </row>
    <row r="65">
      <c r="M65" s="13" t="n"/>
      <c r="P65" s="13" t="n"/>
      <c r="Q65" s="13" t="n"/>
      <c r="R65" s="14" t="n"/>
      <c r="S65" s="14" t="n"/>
      <c r="T65" s="14" t="n"/>
      <c r="U65" s="14" t="n"/>
      <c r="V65" s="13" t="n"/>
      <c r="W65" s="14" t="n"/>
      <c r="X65" s="14" t="n"/>
      <c r="Y65" s="14" t="n"/>
      <c r="Z65" s="15" t="n"/>
      <c r="AA65" s="15" t="n"/>
      <c r="AB65" s="13" t="n"/>
      <c r="AC65" s="14" t="n"/>
      <c r="AD65" s="14" t="n"/>
      <c r="AH65" s="15" t="n"/>
    </row>
    <row r="66">
      <c r="M66" s="13" t="n"/>
      <c r="P66" s="13" t="n"/>
      <c r="Q66" s="13" t="n"/>
      <c r="R66" s="14" t="n"/>
      <c r="S66" s="14" t="n"/>
      <c r="T66" s="14" t="n"/>
      <c r="U66" s="14" t="n"/>
      <c r="V66" s="13" t="n"/>
      <c r="W66" s="14" t="n"/>
      <c r="X66" s="14" t="n"/>
      <c r="Y66" s="14" t="n"/>
      <c r="Z66" s="15" t="n"/>
      <c r="AA66" s="15" t="n"/>
      <c r="AB66" s="13" t="n"/>
      <c r="AC66" s="14" t="n"/>
      <c r="AD66" s="14" t="n"/>
      <c r="AH66" s="15" t="n"/>
    </row>
    <row r="67">
      <c r="M67" s="13" t="n"/>
      <c r="P67" s="13" t="n"/>
      <c r="Q67" s="13" t="n"/>
      <c r="R67" s="14" t="n"/>
      <c r="S67" s="14" t="n"/>
      <c r="T67" s="14" t="n"/>
      <c r="U67" s="14" t="n"/>
      <c r="V67" s="13" t="n"/>
      <c r="W67" s="14" t="n"/>
      <c r="X67" s="14" t="n"/>
      <c r="Y67" s="14" t="n"/>
      <c r="Z67" s="15" t="n"/>
      <c r="AA67" s="15" t="n"/>
      <c r="AB67" s="13" t="n"/>
      <c r="AC67" s="14" t="n"/>
      <c r="AD67" s="14" t="n"/>
      <c r="AH67" s="15" t="n"/>
    </row>
    <row r="68">
      <c r="M68" s="13" t="n"/>
      <c r="P68" s="13" t="n"/>
      <c r="Q68" s="13" t="n"/>
      <c r="R68" s="14" t="n"/>
      <c r="S68" s="14" t="n"/>
      <c r="T68" s="14" t="n"/>
      <c r="U68" s="14" t="n"/>
      <c r="V68" s="13" t="n"/>
      <c r="W68" s="14" t="n"/>
      <c r="X68" s="14" t="n"/>
      <c r="Y68" s="14" t="n"/>
      <c r="Z68" s="15" t="n"/>
      <c r="AA68" s="15" t="n"/>
      <c r="AB68" s="13" t="n"/>
      <c r="AC68" s="14" t="n"/>
      <c r="AD68" s="14" t="n"/>
      <c r="AH68" s="15" t="n"/>
    </row>
    <row r="69">
      <c r="M69" s="13" t="n"/>
      <c r="P69" s="13" t="n"/>
      <c r="Q69" s="13" t="n"/>
      <c r="R69" s="14" t="n"/>
      <c r="S69" s="14" t="n"/>
      <c r="T69" s="14" t="n"/>
      <c r="U69" s="14" t="n"/>
      <c r="V69" s="13" t="n"/>
      <c r="W69" s="14" t="n"/>
      <c r="X69" s="14" t="n"/>
      <c r="Y69" s="14" t="n"/>
      <c r="Z69" s="15" t="n"/>
      <c r="AA69" s="15" t="n"/>
      <c r="AB69" s="13" t="n"/>
      <c r="AC69" s="14" t="n"/>
      <c r="AD69" s="14" t="n"/>
      <c r="AH69" s="15" t="n"/>
    </row>
    <row r="70">
      <c r="M70" s="13" t="n"/>
      <c r="P70" s="13" t="n"/>
      <c r="Q70" s="13" t="n"/>
      <c r="R70" s="14" t="n"/>
      <c r="S70" s="14" t="n"/>
      <c r="T70" s="14" t="n"/>
      <c r="U70" s="14" t="n"/>
      <c r="V70" s="13" t="n"/>
      <c r="W70" s="14" t="n"/>
      <c r="X70" s="14" t="n"/>
      <c r="Y70" s="14" t="n"/>
      <c r="Z70" s="15" t="n"/>
      <c r="AA70" s="15" t="n"/>
      <c r="AB70" s="13" t="n"/>
      <c r="AC70" s="14" t="n"/>
      <c r="AD70" s="14" t="n"/>
      <c r="AH70" s="15" t="n"/>
    </row>
    <row r="71">
      <c r="M71" s="13" t="n"/>
      <c r="P71" s="13" t="n"/>
      <c r="Q71" s="13" t="n"/>
      <c r="R71" s="14" t="n"/>
      <c r="S71" s="14" t="n"/>
      <c r="T71" s="14" t="n"/>
      <c r="U71" s="14" t="n"/>
      <c r="V71" s="13" t="n"/>
      <c r="W71" s="14" t="n"/>
      <c r="X71" s="14" t="n"/>
      <c r="Y71" s="14" t="n"/>
      <c r="Z71" s="15" t="n"/>
      <c r="AA71" s="15" t="n"/>
      <c r="AB71" s="13" t="n"/>
      <c r="AC71" s="14" t="n"/>
      <c r="AD71" s="14" t="n"/>
      <c r="AH71" s="15" t="n"/>
    </row>
    <row r="72">
      <c r="M72" s="13" t="n"/>
      <c r="P72" s="13" t="n"/>
      <c r="Q72" s="13" t="n"/>
      <c r="R72" s="14" t="n"/>
      <c r="S72" s="14" t="n"/>
      <c r="T72" s="14" t="n"/>
      <c r="U72" s="14" t="n"/>
      <c r="V72" s="13" t="n"/>
      <c r="W72" s="14" t="n"/>
      <c r="X72" s="14" t="n"/>
      <c r="Y72" s="14" t="n"/>
      <c r="Z72" s="15" t="n"/>
      <c r="AA72" s="15" t="n"/>
      <c r="AB72" s="13" t="n"/>
      <c r="AC72" s="14" t="n"/>
      <c r="AD72" s="14" t="n"/>
      <c r="AH72" s="15" t="n"/>
    </row>
    <row r="73">
      <c r="M73" s="13" t="n"/>
      <c r="P73" s="13" t="n"/>
      <c r="Q73" s="13" t="n"/>
      <c r="R73" s="14" t="n"/>
      <c r="S73" s="14" t="n"/>
      <c r="T73" s="14" t="n"/>
      <c r="U73" s="14" t="n"/>
      <c r="V73" s="13" t="n"/>
      <c r="W73" s="14" t="n"/>
      <c r="X73" s="14" t="n"/>
      <c r="Y73" s="14" t="n"/>
      <c r="Z73" s="15" t="n"/>
      <c r="AA73" s="15" t="n"/>
      <c r="AB73" s="13" t="n"/>
      <c r="AC73" s="14" t="n"/>
      <c r="AD73" s="14" t="n"/>
      <c r="AH73" s="15" t="n"/>
    </row>
    <row r="74">
      <c r="M74" s="13" t="n"/>
      <c r="P74" s="13" t="n"/>
      <c r="Q74" s="13" t="n"/>
      <c r="R74" s="14" t="n"/>
      <c r="S74" s="14" t="n"/>
      <c r="T74" s="14" t="n"/>
      <c r="U74" s="14" t="n"/>
      <c r="V74" s="13" t="n"/>
      <c r="W74" s="14" t="n"/>
      <c r="X74" s="14" t="n"/>
      <c r="Y74" s="14" t="n"/>
      <c r="Z74" s="15" t="n"/>
      <c r="AA74" s="15" t="n"/>
      <c r="AB74" s="13" t="n"/>
      <c r="AC74" s="14" t="n"/>
      <c r="AD74" s="14" t="n"/>
      <c r="AH74" s="15" t="n"/>
    </row>
    <row r="75">
      <c r="M75" s="13" t="n"/>
      <c r="P75" s="13" t="n"/>
      <c r="Q75" s="13" t="n"/>
      <c r="R75" s="14" t="n"/>
      <c r="S75" s="14" t="n"/>
      <c r="T75" s="14" t="n"/>
      <c r="U75" s="14" t="n"/>
      <c r="V75" s="13" t="n"/>
      <c r="W75" s="14" t="n"/>
      <c r="X75" s="14" t="n"/>
      <c r="Y75" s="14" t="n"/>
      <c r="Z75" s="15" t="n"/>
      <c r="AA75" s="15" t="n"/>
      <c r="AB75" s="13" t="n"/>
      <c r="AC75" s="14" t="n"/>
      <c r="AD75" s="14" t="n"/>
      <c r="AH75" s="15" t="n"/>
    </row>
    <row r="76">
      <c r="M76" s="13" t="n"/>
      <c r="P76" s="13" t="n"/>
      <c r="Q76" s="13" t="n"/>
      <c r="R76" s="14" t="n"/>
      <c r="S76" s="14" t="n"/>
      <c r="T76" s="14" t="n"/>
      <c r="U76" s="14" t="n"/>
      <c r="V76" s="13" t="n"/>
      <c r="W76" s="14" t="n"/>
      <c r="X76" s="14" t="n"/>
      <c r="Y76" s="14" t="n"/>
      <c r="Z76" s="15" t="n"/>
      <c r="AA76" s="15" t="n"/>
      <c r="AB76" s="13" t="n"/>
      <c r="AC76" s="14" t="n"/>
      <c r="AD76" s="14" t="n"/>
      <c r="AH76" s="15" t="n"/>
    </row>
    <row r="77">
      <c r="M77" s="13" t="n"/>
      <c r="P77" s="13" t="n"/>
      <c r="Q77" s="13" t="n"/>
      <c r="R77" s="14" t="n"/>
      <c r="S77" s="14" t="n"/>
      <c r="T77" s="14" t="n"/>
      <c r="U77" s="14" t="n"/>
      <c r="V77" s="13" t="n"/>
      <c r="W77" s="14" t="n"/>
      <c r="X77" s="14" t="n"/>
      <c r="Y77" s="14" t="n"/>
      <c r="Z77" s="15" t="n"/>
      <c r="AA77" s="15" t="n"/>
      <c r="AB77" s="13" t="n"/>
      <c r="AC77" s="14" t="n"/>
      <c r="AD77" s="14" t="n"/>
      <c r="AH77" s="15" t="n"/>
    </row>
    <row r="78">
      <c r="M78" s="13" t="n"/>
      <c r="P78" s="13" t="n"/>
      <c r="Q78" s="13" t="n"/>
      <c r="R78" s="14" t="n"/>
      <c r="S78" s="14" t="n"/>
      <c r="T78" s="14" t="n"/>
      <c r="U78" s="14" t="n"/>
      <c r="V78" s="13" t="n"/>
      <c r="W78" s="14" t="n"/>
      <c r="X78" s="14" t="n"/>
      <c r="Y78" s="14" t="n"/>
      <c r="Z78" s="15" t="n"/>
      <c r="AA78" s="15" t="n"/>
      <c r="AB78" s="13" t="n"/>
      <c r="AC78" s="14" t="n"/>
      <c r="AD78" s="14" t="n"/>
      <c r="AH78" s="15" t="n"/>
    </row>
    <row r="79">
      <c r="M79" s="13" t="n"/>
      <c r="P79" s="13" t="n"/>
      <c r="Q79" s="13" t="n"/>
      <c r="R79" s="14" t="n"/>
      <c r="S79" s="14" t="n"/>
      <c r="T79" s="14" t="n"/>
      <c r="U79" s="14" t="n"/>
      <c r="V79" s="13" t="n"/>
      <c r="W79" s="14" t="n"/>
      <c r="X79" s="14" t="n"/>
      <c r="Y79" s="14" t="n"/>
      <c r="Z79" s="15" t="n"/>
      <c r="AA79" s="15" t="n"/>
      <c r="AB79" s="13" t="n"/>
      <c r="AC79" s="14" t="n"/>
      <c r="AD79" s="14" t="n"/>
      <c r="AH79" s="15" t="n"/>
    </row>
    <row r="80">
      <c r="M80" s="13" t="n"/>
      <c r="P80" s="13" t="n"/>
      <c r="Q80" s="13" t="n"/>
      <c r="R80" s="14" t="n"/>
      <c r="S80" s="14" t="n"/>
      <c r="T80" s="14" t="n"/>
      <c r="U80" s="14" t="n"/>
      <c r="V80" s="13" t="n"/>
      <c r="W80" s="14" t="n"/>
      <c r="X80" s="14" t="n"/>
      <c r="Y80" s="14" t="n"/>
      <c r="Z80" s="15" t="n"/>
      <c r="AA80" s="15" t="n"/>
      <c r="AB80" s="13" t="n"/>
      <c r="AC80" s="14" t="n"/>
      <c r="AD80" s="14" t="n"/>
      <c r="AH80" s="15" t="n"/>
    </row>
    <row r="81">
      <c r="M81" s="13" t="n"/>
      <c r="P81" s="13" t="n"/>
      <c r="Q81" s="13" t="n"/>
      <c r="R81" s="14" t="n"/>
      <c r="S81" s="14" t="n"/>
      <c r="T81" s="14" t="n"/>
      <c r="U81" s="14" t="n"/>
      <c r="V81" s="13" t="n"/>
      <c r="W81" s="14" t="n"/>
      <c r="X81" s="14" t="n"/>
      <c r="Y81" s="14" t="n"/>
      <c r="Z81" s="15" t="n"/>
      <c r="AA81" s="15" t="n"/>
      <c r="AB81" s="13" t="n"/>
      <c r="AC81" s="14" t="n"/>
      <c r="AD81" s="14" t="n"/>
      <c r="AH81" s="15" t="n"/>
    </row>
    <row r="82">
      <c r="M82" s="13" t="n"/>
      <c r="P82" s="13" t="n"/>
      <c r="Q82" s="13" t="n"/>
      <c r="R82" s="14" t="n"/>
      <c r="S82" s="14" t="n"/>
      <c r="T82" s="14" t="n"/>
      <c r="U82" s="14" t="n"/>
      <c r="V82" s="13" t="n"/>
      <c r="W82" s="14" t="n"/>
      <c r="X82" s="14" t="n"/>
      <c r="Y82" s="14" t="n"/>
      <c r="Z82" s="15" t="n"/>
      <c r="AA82" s="15" t="n"/>
      <c r="AB82" s="13" t="n"/>
      <c r="AC82" s="14" t="n"/>
      <c r="AD82" s="14" t="n"/>
      <c r="AH82" s="15" t="n"/>
    </row>
    <row r="83">
      <c r="M83" s="13" t="n"/>
      <c r="P83" s="13" t="n"/>
      <c r="Q83" s="13" t="n"/>
      <c r="R83" s="14" t="n"/>
      <c r="S83" s="14" t="n"/>
      <c r="T83" s="14" t="n"/>
      <c r="U83" s="14" t="n"/>
      <c r="V83" s="13" t="n"/>
      <c r="W83" s="14" t="n"/>
      <c r="X83" s="14" t="n"/>
      <c r="Y83" s="14" t="n"/>
      <c r="Z83" s="15" t="n"/>
      <c r="AA83" s="15" t="n"/>
      <c r="AB83" s="13" t="n"/>
      <c r="AC83" s="14" t="n"/>
      <c r="AD83" s="14" t="n"/>
      <c r="AH83" s="15" t="n"/>
    </row>
    <row r="84">
      <c r="M84" s="13" t="n"/>
      <c r="P84" s="13" t="n"/>
      <c r="Q84" s="13" t="n"/>
      <c r="R84" s="14" t="n"/>
      <c r="S84" s="14" t="n"/>
      <c r="T84" s="14" t="n"/>
      <c r="U84" s="14" t="n"/>
      <c r="V84" s="13" t="n"/>
      <c r="W84" s="14" t="n"/>
      <c r="X84" s="14" t="n"/>
      <c r="Y84" s="14" t="n"/>
      <c r="Z84" s="15" t="n"/>
      <c r="AA84" s="15" t="n"/>
      <c r="AB84" s="13" t="n"/>
      <c r="AC84" s="14" t="n"/>
      <c r="AD84" s="14" t="n"/>
      <c r="AH84" s="15" t="n"/>
    </row>
    <row r="85">
      <c r="M85" s="13" t="n"/>
      <c r="P85" s="13" t="n"/>
      <c r="Q85" s="13" t="n"/>
      <c r="R85" s="14" t="n"/>
      <c r="S85" s="14" t="n"/>
      <c r="T85" s="14" t="n"/>
      <c r="U85" s="14" t="n"/>
      <c r="V85" s="13" t="n"/>
      <c r="W85" s="14" t="n"/>
      <c r="X85" s="14" t="n"/>
      <c r="Y85" s="14" t="n"/>
      <c r="Z85" s="15" t="n"/>
      <c r="AA85" s="15" t="n"/>
      <c r="AB85" s="13" t="n"/>
      <c r="AC85" s="14" t="n"/>
      <c r="AD85" s="14" t="n"/>
      <c r="AH85" s="15" t="n"/>
    </row>
    <row r="86">
      <c r="M86" s="13" t="n"/>
      <c r="P86" s="13" t="n"/>
      <c r="Q86" s="13" t="n"/>
      <c r="R86" s="14" t="n"/>
      <c r="S86" s="14" t="n"/>
      <c r="T86" s="14" t="n"/>
      <c r="U86" s="14" t="n"/>
      <c r="V86" s="13" t="n"/>
      <c r="W86" s="14" t="n"/>
      <c r="X86" s="14" t="n"/>
      <c r="Y86" s="14" t="n"/>
      <c r="Z86" s="15" t="n"/>
      <c r="AA86" s="15" t="n"/>
      <c r="AB86" s="13" t="n"/>
      <c r="AC86" s="14" t="n"/>
      <c r="AD86" s="14" t="n"/>
      <c r="AH86" s="15" t="n"/>
    </row>
    <row r="87">
      <c r="M87" s="13" t="n"/>
      <c r="P87" s="13" t="n"/>
      <c r="Q87" s="13" t="n"/>
      <c r="R87" s="14" t="n"/>
      <c r="S87" s="14" t="n"/>
      <c r="T87" s="14" t="n"/>
      <c r="U87" s="14" t="n"/>
      <c r="V87" s="13" t="n"/>
      <c r="W87" s="14" t="n"/>
      <c r="X87" s="14" t="n"/>
      <c r="Y87" s="14" t="n"/>
      <c r="Z87" s="15" t="n"/>
      <c r="AA87" s="15" t="n"/>
      <c r="AB87" s="13" t="n"/>
      <c r="AC87" s="14" t="n"/>
      <c r="AD87" s="14" t="n"/>
      <c r="AH87" s="15" t="n"/>
    </row>
    <row r="88">
      <c r="M88" s="13" t="n"/>
      <c r="P88" s="13" t="n"/>
      <c r="Q88" s="13" t="n"/>
      <c r="R88" s="14" t="n"/>
      <c r="S88" s="14" t="n"/>
      <c r="T88" s="14" t="n"/>
      <c r="U88" s="14" t="n"/>
      <c r="V88" s="13" t="n"/>
      <c r="W88" s="14" t="n"/>
      <c r="X88" s="14" t="n"/>
      <c r="Y88" s="14" t="n"/>
      <c r="Z88" s="15" t="n"/>
      <c r="AA88" s="15" t="n"/>
      <c r="AB88" s="13" t="n"/>
      <c r="AC88" s="14" t="n"/>
      <c r="AD88" s="14" t="n"/>
      <c r="AH88" s="15" t="n"/>
    </row>
    <row r="89">
      <c r="M89" s="13" t="n"/>
      <c r="P89" s="13" t="n"/>
      <c r="Q89" s="13" t="n"/>
      <c r="R89" s="14" t="n"/>
      <c r="S89" s="14" t="n"/>
      <c r="T89" s="14" t="n"/>
      <c r="U89" s="14" t="n"/>
      <c r="V89" s="13" t="n"/>
      <c r="W89" s="14" t="n"/>
      <c r="X89" s="14" t="n"/>
      <c r="Y89" s="14" t="n"/>
      <c r="Z89" s="15" t="n"/>
      <c r="AA89" s="15" t="n"/>
      <c r="AB89" s="13" t="n"/>
      <c r="AC89" s="14" t="n"/>
      <c r="AD89" s="14" t="n"/>
      <c r="AH89" s="15" t="n"/>
    </row>
    <row r="90">
      <c r="M90" s="13" t="n"/>
      <c r="P90" s="13" t="n"/>
      <c r="Q90" s="13" t="n"/>
      <c r="R90" s="14" t="n"/>
      <c r="S90" s="14" t="n"/>
      <c r="T90" s="14" t="n"/>
      <c r="U90" s="14" t="n"/>
      <c r="V90" s="13" t="n"/>
      <c r="W90" s="14" t="n"/>
      <c r="X90" s="14" t="n"/>
      <c r="Y90" s="14" t="n"/>
      <c r="Z90" s="15" t="n"/>
      <c r="AA90" s="15" t="n"/>
      <c r="AB90" s="13" t="n"/>
      <c r="AC90" s="14" t="n"/>
      <c r="AD90" s="14" t="n"/>
      <c r="AH90" s="15" t="n"/>
    </row>
    <row r="91">
      <c r="M91" s="13" t="n"/>
      <c r="P91" s="13" t="n"/>
      <c r="Q91" s="13" t="n"/>
      <c r="R91" s="14" t="n"/>
      <c r="S91" s="14" t="n"/>
      <c r="T91" s="14" t="n"/>
      <c r="U91" s="14" t="n"/>
      <c r="V91" s="13" t="n"/>
      <c r="W91" s="14" t="n"/>
      <c r="X91" s="14" t="n"/>
      <c r="Y91" s="14" t="n"/>
      <c r="Z91" s="15" t="n"/>
      <c r="AA91" s="15" t="n"/>
      <c r="AB91" s="13" t="n"/>
      <c r="AC91" s="14" t="n"/>
      <c r="AD91" s="14" t="n"/>
      <c r="AH91" s="15" t="n"/>
    </row>
    <row r="92">
      <c r="M92" s="13" t="n"/>
      <c r="P92" s="13" t="n"/>
      <c r="Q92" s="13" t="n"/>
      <c r="R92" s="14" t="n"/>
      <c r="S92" s="14" t="n"/>
      <c r="T92" s="14" t="n"/>
      <c r="U92" s="14" t="n"/>
      <c r="V92" s="13" t="n"/>
      <c r="W92" s="14" t="n"/>
      <c r="X92" s="14" t="n"/>
      <c r="Y92" s="14" t="n"/>
      <c r="Z92" s="15" t="n"/>
      <c r="AA92" s="15" t="n"/>
      <c r="AB92" s="13" t="n"/>
      <c r="AC92" s="14" t="n"/>
      <c r="AD92" s="14" t="n"/>
      <c r="AH92" s="15" t="n"/>
    </row>
    <row r="93">
      <c r="M93" s="13" t="n"/>
      <c r="P93" s="13" t="n"/>
      <c r="Q93" s="13" t="n"/>
      <c r="R93" s="14" t="n"/>
      <c r="S93" s="14" t="n"/>
      <c r="T93" s="14" t="n"/>
      <c r="U93" s="14" t="n"/>
      <c r="V93" s="13" t="n"/>
      <c r="W93" s="14" t="n"/>
      <c r="X93" s="14" t="n"/>
      <c r="Y93" s="14" t="n"/>
      <c r="Z93" s="15" t="n"/>
      <c r="AA93" s="15" t="n"/>
      <c r="AB93" s="13" t="n"/>
      <c r="AC93" s="14" t="n"/>
      <c r="AD93" s="14" t="n"/>
      <c r="AH93" s="15" t="n"/>
    </row>
    <row r="94">
      <c r="M94" s="13" t="n"/>
      <c r="P94" s="13" t="n"/>
      <c r="Q94" s="13" t="n"/>
      <c r="R94" s="14" t="n"/>
      <c r="S94" s="14" t="n"/>
      <c r="T94" s="14" t="n"/>
      <c r="U94" s="14" t="n"/>
      <c r="V94" s="13" t="n"/>
      <c r="W94" s="14" t="n"/>
      <c r="X94" s="14" t="n"/>
      <c r="Y94" s="14" t="n"/>
      <c r="Z94" s="15" t="n"/>
      <c r="AA94" s="15" t="n"/>
      <c r="AB94" s="13" t="n"/>
      <c r="AC94" s="14" t="n"/>
      <c r="AD94" s="14" t="n"/>
      <c r="AH94" s="15" t="n"/>
    </row>
    <row r="95">
      <c r="M95" s="13" t="n"/>
      <c r="P95" s="13" t="n"/>
      <c r="Q95" s="13" t="n"/>
      <c r="R95" s="14" t="n"/>
      <c r="S95" s="14" t="n"/>
      <c r="T95" s="14" t="n"/>
      <c r="U95" s="14" t="n"/>
      <c r="V95" s="13" t="n"/>
      <c r="W95" s="14" t="n"/>
      <c r="X95" s="14" t="n"/>
      <c r="Y95" s="14" t="n"/>
      <c r="Z95" s="15" t="n"/>
      <c r="AA95" s="15" t="n"/>
      <c r="AB95" s="13" t="n"/>
      <c r="AC95" s="14" t="n"/>
      <c r="AD95" s="14" t="n"/>
      <c r="AH95" s="15" t="n"/>
    </row>
    <row r="96">
      <c r="M96" s="13" t="n"/>
      <c r="P96" s="13" t="n"/>
      <c r="Q96" s="13" t="n"/>
      <c r="R96" s="14" t="n"/>
      <c r="S96" s="14" t="n"/>
      <c r="T96" s="14" t="n"/>
      <c r="U96" s="14" t="n"/>
      <c r="V96" s="13" t="n"/>
      <c r="W96" s="14" t="n"/>
      <c r="X96" s="14" t="n"/>
      <c r="Y96" s="14" t="n"/>
      <c r="Z96" s="15" t="n"/>
      <c r="AA96" s="15" t="n"/>
      <c r="AB96" s="13" t="n"/>
      <c r="AC96" s="14" t="n"/>
      <c r="AD96" s="14" t="n"/>
      <c r="AH96" s="15" t="n"/>
    </row>
    <row r="97">
      <c r="M97" s="13" t="n"/>
      <c r="P97" s="13" t="n"/>
      <c r="Q97" s="13" t="n"/>
      <c r="R97" s="14" t="n"/>
      <c r="S97" s="14" t="n"/>
      <c r="T97" s="14" t="n"/>
      <c r="U97" s="14" t="n"/>
      <c r="V97" s="13" t="n"/>
      <c r="W97" s="14" t="n"/>
      <c r="X97" s="14" t="n"/>
      <c r="Y97" s="14" t="n"/>
      <c r="Z97" s="15" t="n"/>
      <c r="AA97" s="15" t="n"/>
      <c r="AB97" s="13" t="n"/>
      <c r="AC97" s="14" t="n"/>
      <c r="AD97" s="14" t="n"/>
      <c r="AH97" s="15" t="n"/>
    </row>
    <row r="98">
      <c r="M98" s="13" t="n"/>
      <c r="P98" s="13" t="n"/>
      <c r="Q98" s="13" t="n"/>
      <c r="R98" s="14" t="n"/>
      <c r="S98" s="14" t="n"/>
      <c r="T98" s="14" t="n"/>
      <c r="U98" s="14" t="n"/>
      <c r="V98" s="13" t="n"/>
      <c r="W98" s="14" t="n"/>
      <c r="X98" s="14" t="n"/>
      <c r="Y98" s="14" t="n"/>
      <c r="Z98" s="15" t="n"/>
      <c r="AA98" s="15" t="n"/>
      <c r="AB98" s="13" t="n"/>
      <c r="AC98" s="14" t="n"/>
      <c r="AD98" s="14" t="n"/>
      <c r="AH98" s="15" t="n"/>
    </row>
    <row r="99">
      <c r="M99" s="13" t="n"/>
      <c r="P99" s="13" t="n"/>
      <c r="Q99" s="13" t="n"/>
      <c r="R99" s="14" t="n"/>
      <c r="S99" s="14" t="n"/>
      <c r="T99" s="14" t="n"/>
      <c r="U99" s="14" t="n"/>
      <c r="V99" s="13" t="n"/>
      <c r="W99" s="14" t="n"/>
      <c r="X99" s="14" t="n"/>
      <c r="Y99" s="14" t="n"/>
      <c r="Z99" s="15" t="n"/>
      <c r="AA99" s="15" t="n"/>
      <c r="AB99" s="13" t="n"/>
      <c r="AC99" s="14" t="n"/>
      <c r="AD99" s="14" t="n"/>
      <c r="AH99" s="15" t="n"/>
    </row>
    <row r="100">
      <c r="M100" s="13" t="n"/>
      <c r="P100" s="13" t="n"/>
      <c r="Q100" s="13" t="n"/>
      <c r="R100" s="14" t="n"/>
      <c r="S100" s="14" t="n"/>
      <c r="T100" s="14" t="n"/>
      <c r="U100" s="14" t="n"/>
      <c r="V100" s="13" t="n"/>
      <c r="W100" s="14" t="n"/>
      <c r="X100" s="14" t="n"/>
      <c r="Y100" s="14" t="n"/>
      <c r="Z100" s="15" t="n"/>
      <c r="AA100" s="15" t="n"/>
      <c r="AB100" s="13" t="n"/>
      <c r="AC100" s="14" t="n"/>
      <c r="AD100" s="14" t="n"/>
      <c r="AH100" s="15" t="n"/>
    </row>
    <row r="101">
      <c r="M101" s="13" t="n"/>
      <c r="P101" s="13" t="n"/>
      <c r="Q101" s="13" t="n"/>
      <c r="R101" s="14" t="n"/>
      <c r="S101" s="14" t="n"/>
      <c r="T101" s="14" t="n"/>
      <c r="U101" s="14" t="n"/>
      <c r="V101" s="13" t="n"/>
      <c r="W101" s="14" t="n"/>
      <c r="X101" s="14" t="n"/>
      <c r="Y101" s="14" t="n"/>
      <c r="Z101" s="15" t="n"/>
      <c r="AA101" s="15" t="n"/>
      <c r="AB101" s="13" t="n"/>
      <c r="AC101" s="14" t="n"/>
      <c r="AD101" s="14" t="n"/>
      <c r="AH101" s="15" t="n"/>
    </row>
    <row r="102">
      <c r="M102" s="13" t="n"/>
      <c r="P102" s="13" t="n"/>
      <c r="Q102" s="13" t="n"/>
      <c r="R102" s="14" t="n"/>
      <c r="S102" s="14" t="n"/>
      <c r="T102" s="14" t="n"/>
      <c r="U102" s="14" t="n"/>
      <c r="V102" s="13" t="n"/>
      <c r="W102" s="14" t="n"/>
      <c r="X102" s="14" t="n"/>
      <c r="Y102" s="14" t="n"/>
      <c r="Z102" s="15" t="n"/>
      <c r="AA102" s="15" t="n"/>
      <c r="AB102" s="13" t="n"/>
      <c r="AC102" s="14" t="n"/>
      <c r="AD102" s="14" t="n"/>
      <c r="AH102" s="15" t="n"/>
    </row>
    <row r="103">
      <c r="M103" s="13" t="n"/>
      <c r="P103" s="13" t="n"/>
      <c r="Q103" s="13" t="n"/>
      <c r="R103" s="14" t="n"/>
      <c r="S103" s="14" t="n"/>
      <c r="T103" s="14" t="n"/>
      <c r="U103" s="14" t="n"/>
      <c r="V103" s="13" t="n"/>
      <c r="W103" s="14" t="n"/>
      <c r="X103" s="14" t="n"/>
      <c r="Y103" s="14" t="n"/>
      <c r="Z103" s="15" t="n"/>
      <c r="AA103" s="15" t="n"/>
      <c r="AB103" s="13" t="n"/>
      <c r="AC103" s="14" t="n"/>
      <c r="AD103" s="14" t="n"/>
      <c r="AH103" s="15" t="n"/>
    </row>
    <row r="104">
      <c r="M104" s="13" t="n"/>
      <c r="P104" s="13" t="n"/>
      <c r="Q104" s="13" t="n"/>
      <c r="R104" s="14" t="n"/>
      <c r="S104" s="14" t="n"/>
      <c r="T104" s="14" t="n"/>
      <c r="U104" s="14" t="n"/>
      <c r="V104" s="13" t="n"/>
      <c r="W104" s="14" t="n"/>
      <c r="X104" s="14" t="n"/>
      <c r="Y104" s="14" t="n"/>
      <c r="Z104" s="15" t="n"/>
      <c r="AA104" s="15" t="n"/>
      <c r="AB104" s="13" t="n"/>
      <c r="AC104" s="14" t="n"/>
      <c r="AD104" s="14" t="n"/>
      <c r="AH104" s="15" t="n"/>
    </row>
    <row r="105">
      <c r="M105" s="13" t="n"/>
      <c r="P105" s="13" t="n"/>
      <c r="Q105" s="13" t="n"/>
      <c r="R105" s="14" t="n"/>
      <c r="S105" s="14" t="n"/>
      <c r="T105" s="14" t="n"/>
      <c r="U105" s="14" t="n"/>
      <c r="V105" s="13" t="n"/>
      <c r="W105" s="14" t="n"/>
      <c r="X105" s="14" t="n"/>
      <c r="Y105" s="14" t="n"/>
      <c r="Z105" s="15" t="n"/>
      <c r="AA105" s="15" t="n"/>
      <c r="AB105" s="13" t="n"/>
      <c r="AC105" s="14" t="n"/>
      <c r="AD105" s="14" t="n"/>
      <c r="AH105" s="15" t="n"/>
    </row>
    <row r="106">
      <c r="M106" s="13" t="n"/>
      <c r="P106" s="13" t="n"/>
      <c r="Q106" s="13" t="n"/>
      <c r="R106" s="14" t="n"/>
      <c r="S106" s="14" t="n"/>
      <c r="T106" s="14" t="n"/>
      <c r="U106" s="14" t="n"/>
      <c r="V106" s="13" t="n"/>
      <c r="W106" s="14" t="n"/>
      <c r="X106" s="14" t="n"/>
      <c r="Y106" s="14" t="n"/>
      <c r="Z106" s="15" t="n"/>
      <c r="AA106" s="15" t="n"/>
      <c r="AB106" s="13" t="n"/>
      <c r="AC106" s="14" t="n"/>
      <c r="AD106" s="14" t="n"/>
      <c r="AH106" s="15" t="n"/>
    </row>
    <row r="107">
      <c r="M107" s="13" t="n"/>
      <c r="P107" s="13" t="n"/>
      <c r="Q107" s="13" t="n"/>
      <c r="R107" s="14" t="n"/>
      <c r="S107" s="14" t="n"/>
      <c r="T107" s="14" t="n"/>
      <c r="U107" s="14" t="n"/>
      <c r="V107" s="13" t="n"/>
      <c r="W107" s="14" t="n"/>
      <c r="X107" s="14" t="n"/>
      <c r="Y107" s="14" t="n"/>
      <c r="Z107" s="15" t="n"/>
      <c r="AA107" s="15" t="n"/>
      <c r="AB107" s="13" t="n"/>
      <c r="AC107" s="14" t="n"/>
      <c r="AD107" s="14" t="n"/>
      <c r="AH107" s="15" t="n"/>
    </row>
    <row r="108">
      <c r="M108" s="13" t="n"/>
      <c r="P108" s="13" t="n"/>
      <c r="Q108" s="13" t="n"/>
      <c r="R108" s="14" t="n"/>
      <c r="S108" s="14" t="n"/>
      <c r="T108" s="14" t="n"/>
      <c r="U108" s="14" t="n"/>
      <c r="V108" s="13" t="n"/>
      <c r="W108" s="14" t="n"/>
      <c r="X108" s="14" t="n"/>
      <c r="Y108" s="14" t="n"/>
      <c r="Z108" s="15" t="n"/>
      <c r="AA108" s="15" t="n"/>
      <c r="AB108" s="13" t="n"/>
      <c r="AC108" s="14" t="n"/>
      <c r="AD108" s="14" t="n"/>
      <c r="AH108" s="15" t="n"/>
    </row>
    <row r="109">
      <c r="M109" s="13" t="n"/>
      <c r="P109" s="13" t="n"/>
      <c r="Q109" s="13" t="n"/>
      <c r="R109" s="14" t="n"/>
      <c r="S109" s="14" t="n"/>
      <c r="T109" s="14" t="n"/>
      <c r="U109" s="14" t="n"/>
      <c r="V109" s="13" t="n"/>
      <c r="W109" s="14" t="n"/>
      <c r="X109" s="14" t="n"/>
      <c r="Y109" s="14" t="n"/>
      <c r="Z109" s="15" t="n"/>
      <c r="AA109" s="15" t="n"/>
      <c r="AB109" s="13" t="n"/>
      <c r="AC109" s="14" t="n"/>
      <c r="AD109" s="14" t="n"/>
      <c r="AH109" s="15" t="n"/>
    </row>
    <row r="110">
      <c r="M110" s="13" t="n"/>
      <c r="P110" s="13" t="n"/>
      <c r="Q110" s="13" t="n"/>
      <c r="R110" s="14" t="n"/>
      <c r="S110" s="14" t="n"/>
      <c r="T110" s="14" t="n"/>
      <c r="U110" s="14" t="n"/>
      <c r="V110" s="13" t="n"/>
      <c r="W110" s="14" t="n"/>
      <c r="X110" s="14" t="n"/>
      <c r="Y110" s="14" t="n"/>
      <c r="Z110" s="15" t="n"/>
      <c r="AA110" s="15" t="n"/>
      <c r="AB110" s="13" t="n"/>
      <c r="AC110" s="14" t="n"/>
      <c r="AD110" s="14" t="n"/>
      <c r="AH110" s="15" t="n"/>
    </row>
    <row r="111">
      <c r="M111" s="13" t="n"/>
      <c r="P111" s="13" t="n"/>
      <c r="Q111" s="13" t="n"/>
      <c r="R111" s="14" t="n"/>
      <c r="S111" s="14" t="n"/>
      <c r="T111" s="14" t="n"/>
      <c r="U111" s="14" t="n"/>
      <c r="V111" s="13" t="n"/>
      <c r="W111" s="14" t="n"/>
      <c r="X111" s="14" t="n"/>
      <c r="Y111" s="14" t="n"/>
      <c r="Z111" s="15" t="n"/>
      <c r="AA111" s="15" t="n"/>
      <c r="AB111" s="13" t="n"/>
      <c r="AC111" s="14" t="n"/>
      <c r="AD111" s="14" t="n"/>
      <c r="AH111" s="15" t="n"/>
    </row>
    <row r="112">
      <c r="M112" s="13" t="n"/>
      <c r="P112" s="13" t="n"/>
      <c r="Q112" s="13" t="n"/>
      <c r="R112" s="14" t="n"/>
      <c r="S112" s="14" t="n"/>
      <c r="T112" s="14" t="n"/>
      <c r="U112" s="14" t="n"/>
      <c r="V112" s="13" t="n"/>
      <c r="W112" s="14" t="n"/>
      <c r="X112" s="14" t="n"/>
      <c r="Y112" s="14" t="n"/>
      <c r="Z112" s="15" t="n"/>
      <c r="AA112" s="15" t="n"/>
      <c r="AB112" s="13" t="n"/>
      <c r="AC112" s="14" t="n"/>
      <c r="AD112" s="14" t="n"/>
      <c r="AH112" s="15" t="n"/>
    </row>
    <row r="113">
      <c r="M113" s="13" t="n"/>
      <c r="P113" s="13" t="n"/>
      <c r="Q113" s="13" t="n"/>
      <c r="R113" s="14" t="n"/>
      <c r="S113" s="14" t="n"/>
      <c r="T113" s="14" t="n"/>
      <c r="U113" s="14" t="n"/>
      <c r="V113" s="13" t="n"/>
      <c r="W113" s="14" t="n"/>
      <c r="X113" s="14" t="n"/>
      <c r="Y113" s="14" t="n"/>
      <c r="Z113" s="15" t="n"/>
      <c r="AA113" s="15" t="n"/>
      <c r="AB113" s="13" t="n"/>
      <c r="AC113" s="14" t="n"/>
      <c r="AD113" s="14" t="n"/>
      <c r="AH113" s="15" t="n"/>
    </row>
    <row r="114">
      <c r="M114" s="13" t="n"/>
      <c r="P114" s="13" t="n"/>
      <c r="Q114" s="13" t="n"/>
      <c r="R114" s="14" t="n"/>
      <c r="S114" s="14" t="n"/>
      <c r="T114" s="14" t="n"/>
      <c r="U114" s="14" t="n"/>
      <c r="V114" s="13" t="n"/>
      <c r="W114" s="14" t="n"/>
      <c r="X114" s="14" t="n"/>
      <c r="Y114" s="14" t="n"/>
      <c r="Z114" s="15" t="n"/>
      <c r="AA114" s="15" t="n"/>
      <c r="AB114" s="13" t="n"/>
      <c r="AC114" s="14" t="n"/>
      <c r="AD114" s="14" t="n"/>
      <c r="AH114" s="15" t="n"/>
    </row>
    <row r="115">
      <c r="M115" s="13" t="n"/>
      <c r="P115" s="13" t="n"/>
      <c r="Q115" s="13" t="n"/>
      <c r="R115" s="14" t="n"/>
      <c r="S115" s="14" t="n"/>
      <c r="T115" s="14" t="n"/>
      <c r="U115" s="14" t="n"/>
      <c r="V115" s="13" t="n"/>
      <c r="W115" s="14" t="n"/>
      <c r="X115" s="14" t="n"/>
      <c r="Y115" s="14" t="n"/>
      <c r="Z115" s="15" t="n"/>
      <c r="AA115" s="15" t="n"/>
      <c r="AB115" s="13" t="n"/>
      <c r="AC115" s="14" t="n"/>
      <c r="AD115" s="14" t="n"/>
      <c r="AH115" s="15" t="n"/>
    </row>
    <row r="116">
      <c r="M116" s="13" t="n"/>
      <c r="P116" s="13" t="n"/>
      <c r="Q116" s="13" t="n"/>
      <c r="R116" s="14" t="n"/>
      <c r="S116" s="14" t="n"/>
      <c r="T116" s="14" t="n"/>
      <c r="U116" s="14" t="n"/>
      <c r="V116" s="13" t="n"/>
      <c r="W116" s="14" t="n"/>
      <c r="X116" s="14" t="n"/>
      <c r="Y116" s="14" t="n"/>
      <c r="Z116" s="15" t="n"/>
      <c r="AA116" s="15" t="n"/>
      <c r="AB116" s="13" t="n"/>
      <c r="AC116" s="14" t="n"/>
      <c r="AD116" s="14" t="n"/>
      <c r="AH116" s="15" t="n"/>
    </row>
    <row r="117">
      <c r="M117" s="13" t="n"/>
      <c r="P117" s="13" t="n"/>
      <c r="Q117" s="13" t="n"/>
      <c r="R117" s="14" t="n"/>
      <c r="S117" s="14" t="n"/>
      <c r="T117" s="14" t="n"/>
      <c r="U117" s="14" t="n"/>
      <c r="V117" s="13" t="n"/>
      <c r="W117" s="14" t="n"/>
      <c r="X117" s="14" t="n"/>
      <c r="Y117" s="14" t="n"/>
      <c r="Z117" s="15" t="n"/>
      <c r="AA117" s="15" t="n"/>
      <c r="AB117" s="13" t="n"/>
      <c r="AC117" s="14" t="n"/>
      <c r="AD117" s="14" t="n"/>
      <c r="AH117" s="15" t="n"/>
    </row>
    <row r="118">
      <c r="M118" s="13" t="n"/>
      <c r="P118" s="13" t="n"/>
      <c r="Q118" s="13" t="n"/>
      <c r="R118" s="14" t="n"/>
      <c r="S118" s="14" t="n"/>
      <c r="T118" s="14" t="n"/>
      <c r="U118" s="14" t="n"/>
      <c r="V118" s="13" t="n"/>
      <c r="W118" s="14" t="n"/>
      <c r="X118" s="14" t="n"/>
      <c r="Y118" s="14" t="n"/>
      <c r="Z118" s="15" t="n"/>
      <c r="AA118" s="15" t="n"/>
      <c r="AB118" s="13" t="n"/>
      <c r="AC118" s="14" t="n"/>
      <c r="AD118" s="14" t="n"/>
      <c r="AH118" s="15" t="n"/>
    </row>
    <row r="119">
      <c r="M119" s="13" t="n"/>
      <c r="P119" s="13" t="n"/>
      <c r="Q119" s="13" t="n"/>
      <c r="R119" s="14" t="n"/>
      <c r="S119" s="14" t="n"/>
      <c r="T119" s="14" t="n"/>
      <c r="U119" s="14" t="n"/>
      <c r="V119" s="13" t="n"/>
      <c r="W119" s="14" t="n"/>
      <c r="X119" s="14" t="n"/>
      <c r="Y119" s="14" t="n"/>
      <c r="Z119" s="15" t="n"/>
      <c r="AA119" s="15" t="n"/>
      <c r="AB119" s="13" t="n"/>
      <c r="AC119" s="14" t="n"/>
      <c r="AD119" s="14" t="n"/>
      <c r="AH119" s="15" t="n"/>
    </row>
    <row r="120">
      <c r="M120" s="13" t="n"/>
      <c r="P120" s="13" t="n"/>
      <c r="Q120" s="13" t="n"/>
      <c r="R120" s="14" t="n"/>
      <c r="S120" s="14" t="n"/>
      <c r="T120" s="14" t="n"/>
      <c r="U120" s="14" t="n"/>
      <c r="V120" s="13" t="n"/>
      <c r="W120" s="14" t="n"/>
      <c r="X120" s="14" t="n"/>
      <c r="Y120" s="14" t="n"/>
      <c r="Z120" s="15" t="n"/>
      <c r="AA120" s="15" t="n"/>
      <c r="AB120" s="13" t="n"/>
      <c r="AC120" s="14" t="n"/>
      <c r="AD120" s="14" t="n"/>
      <c r="AH120" s="15" t="n"/>
    </row>
    <row r="121">
      <c r="M121" s="13" t="n"/>
      <c r="P121" s="13" t="n"/>
      <c r="Q121" s="13" t="n"/>
      <c r="R121" s="14" t="n"/>
      <c r="S121" s="14" t="n"/>
      <c r="T121" s="14" t="n"/>
      <c r="U121" s="14" t="n"/>
      <c r="V121" s="13" t="n"/>
      <c r="W121" s="14" t="n"/>
      <c r="X121" s="14" t="n"/>
      <c r="Y121" s="14" t="n"/>
      <c r="Z121" s="15" t="n"/>
      <c r="AA121" s="15" t="n"/>
      <c r="AB121" s="13" t="n"/>
      <c r="AC121" s="14" t="n"/>
      <c r="AD121" s="14" t="n"/>
      <c r="AH121" s="15" t="n"/>
    </row>
    <row r="122">
      <c r="M122" s="13" t="n"/>
      <c r="P122" s="13" t="n"/>
      <c r="Q122" s="13" t="n"/>
      <c r="R122" s="14" t="n"/>
      <c r="S122" s="14" t="n"/>
      <c r="T122" s="14" t="n"/>
      <c r="U122" s="14" t="n"/>
      <c r="V122" s="13" t="n"/>
      <c r="W122" s="14" t="n"/>
      <c r="X122" s="14" t="n"/>
      <c r="Y122" s="14" t="n"/>
      <c r="Z122" s="15" t="n"/>
      <c r="AA122" s="15" t="n"/>
      <c r="AB122" s="13" t="n"/>
      <c r="AC122" s="14" t="n"/>
      <c r="AD122" s="14" t="n"/>
      <c r="AH122" s="15" t="n"/>
    </row>
    <row r="123">
      <c r="M123" s="13" t="n"/>
      <c r="P123" s="13" t="n"/>
      <c r="Q123" s="13" t="n"/>
      <c r="R123" s="14" t="n"/>
      <c r="S123" s="14" t="n"/>
      <c r="T123" s="14" t="n"/>
      <c r="U123" s="14" t="n"/>
      <c r="V123" s="13" t="n"/>
      <c r="W123" s="14" t="n"/>
      <c r="X123" s="14" t="n"/>
      <c r="Y123" s="14" t="n"/>
      <c r="Z123" s="15" t="n"/>
      <c r="AA123" s="15" t="n"/>
      <c r="AB123" s="13" t="n"/>
      <c r="AC123" s="14" t="n"/>
      <c r="AD123" s="14" t="n"/>
      <c r="AH123" s="15" t="n"/>
    </row>
    <row r="124">
      <c r="M124" s="13" t="n"/>
      <c r="P124" s="13" t="n"/>
      <c r="Q124" s="13" t="n"/>
      <c r="R124" s="14" t="n"/>
      <c r="S124" s="14" t="n"/>
      <c r="T124" s="14" t="n"/>
      <c r="U124" s="14" t="n"/>
      <c r="V124" s="13" t="n"/>
      <c r="W124" s="14" t="n"/>
      <c r="X124" s="14" t="n"/>
      <c r="Y124" s="14" t="n"/>
      <c r="Z124" s="15" t="n"/>
      <c r="AA124" s="15" t="n"/>
      <c r="AB124" s="13" t="n"/>
      <c r="AC124" s="14" t="n"/>
      <c r="AD124" s="14" t="n"/>
      <c r="AH124" s="15" t="n"/>
    </row>
    <row r="125">
      <c r="M125" s="13" t="n"/>
      <c r="P125" s="13" t="n"/>
      <c r="Q125" s="13" t="n"/>
      <c r="R125" s="14" t="n"/>
      <c r="S125" s="14" t="n"/>
      <c r="T125" s="14" t="n"/>
      <c r="U125" s="14" t="n"/>
      <c r="V125" s="13" t="n"/>
      <c r="W125" s="14" t="n"/>
      <c r="X125" s="14" t="n"/>
      <c r="Y125" s="14" t="n"/>
      <c r="Z125" s="15" t="n"/>
      <c r="AA125" s="15" t="n"/>
      <c r="AB125" s="13" t="n"/>
      <c r="AC125" s="14" t="n"/>
      <c r="AD125" s="14" t="n"/>
      <c r="AH125" s="15" t="n"/>
    </row>
    <row r="126">
      <c r="M126" s="13" t="n"/>
      <c r="P126" s="13" t="n"/>
      <c r="Q126" s="13" t="n"/>
      <c r="R126" s="14" t="n"/>
      <c r="S126" s="14" t="n"/>
      <c r="T126" s="14" t="n"/>
      <c r="U126" s="14" t="n"/>
      <c r="V126" s="13" t="n"/>
      <c r="W126" s="14" t="n"/>
      <c r="X126" s="14" t="n"/>
      <c r="Y126" s="14" t="n"/>
      <c r="Z126" s="15" t="n"/>
      <c r="AA126" s="15" t="n"/>
      <c r="AB126" s="13" t="n"/>
      <c r="AC126" s="14" t="n"/>
      <c r="AD126" s="14" t="n"/>
      <c r="AH126" s="15" t="n"/>
    </row>
    <row r="127">
      <c r="M127" s="13" t="n"/>
      <c r="P127" s="13" t="n"/>
      <c r="Q127" s="13" t="n"/>
      <c r="R127" s="14" t="n"/>
      <c r="S127" s="14" t="n"/>
      <c r="T127" s="14" t="n"/>
      <c r="U127" s="14" t="n"/>
      <c r="V127" s="13" t="n"/>
      <c r="W127" s="14" t="n"/>
      <c r="X127" s="14" t="n"/>
      <c r="Y127" s="14" t="n"/>
      <c r="Z127" s="15" t="n"/>
      <c r="AA127" s="15" t="n"/>
      <c r="AB127" s="13" t="n"/>
      <c r="AC127" s="14" t="n"/>
      <c r="AD127" s="14" t="n"/>
      <c r="AH127" s="15" t="n"/>
    </row>
    <row r="128">
      <c r="M128" s="13" t="n"/>
      <c r="P128" s="13" t="n"/>
      <c r="Q128" s="13" t="n"/>
      <c r="R128" s="14" t="n"/>
      <c r="S128" s="14" t="n"/>
      <c r="T128" s="14" t="n"/>
      <c r="U128" s="14" t="n"/>
      <c r="V128" s="13" t="n"/>
      <c r="W128" s="14" t="n"/>
      <c r="X128" s="14" t="n"/>
      <c r="Y128" s="14" t="n"/>
      <c r="Z128" s="15" t="n"/>
      <c r="AA128" s="15" t="n"/>
      <c r="AB128" s="13" t="n"/>
      <c r="AC128" s="14" t="n"/>
      <c r="AD128" s="14" t="n"/>
      <c r="AH128" s="15" t="n"/>
    </row>
    <row r="129">
      <c r="M129" s="13" t="n"/>
      <c r="P129" s="13" t="n"/>
      <c r="Q129" s="13" t="n"/>
      <c r="R129" s="14" t="n"/>
      <c r="S129" s="14" t="n"/>
      <c r="T129" s="14" t="n"/>
      <c r="U129" s="14" t="n"/>
      <c r="V129" s="13" t="n"/>
      <c r="W129" s="14" t="n"/>
      <c r="X129" s="14" t="n"/>
      <c r="Y129" s="14" t="n"/>
      <c r="Z129" s="15" t="n"/>
      <c r="AA129" s="15" t="n"/>
      <c r="AB129" s="13" t="n"/>
      <c r="AC129" s="14" t="n"/>
      <c r="AD129" s="14" t="n"/>
      <c r="AH129" s="15" t="n"/>
    </row>
    <row r="130">
      <c r="M130" s="13" t="n"/>
      <c r="P130" s="13" t="n"/>
      <c r="Q130" s="13" t="n"/>
      <c r="R130" s="14" t="n"/>
      <c r="S130" s="14" t="n"/>
      <c r="T130" s="14" t="n"/>
      <c r="U130" s="14" t="n"/>
      <c r="V130" s="13" t="n"/>
      <c r="W130" s="14" t="n"/>
      <c r="X130" s="14" t="n"/>
      <c r="Y130" s="14" t="n"/>
      <c r="Z130" s="15" t="n"/>
      <c r="AA130" s="15" t="n"/>
      <c r="AB130" s="13" t="n"/>
      <c r="AC130" s="14" t="n"/>
      <c r="AD130" s="14" t="n"/>
      <c r="AH130" s="15" t="n"/>
    </row>
    <row r="131">
      <c r="M131" s="13" t="n"/>
      <c r="P131" s="13" t="n"/>
      <c r="Q131" s="13" t="n"/>
      <c r="R131" s="14" t="n"/>
      <c r="S131" s="14" t="n"/>
      <c r="T131" s="14" t="n"/>
      <c r="U131" s="14" t="n"/>
      <c r="V131" s="13" t="n"/>
      <c r="W131" s="14" t="n"/>
      <c r="X131" s="14" t="n"/>
      <c r="Y131" s="14" t="n"/>
      <c r="Z131" s="15" t="n"/>
      <c r="AA131" s="15" t="n"/>
      <c r="AB131" s="13" t="n"/>
      <c r="AC131" s="14" t="n"/>
      <c r="AD131" s="14" t="n"/>
      <c r="AH131" s="15" t="n"/>
    </row>
    <row r="132">
      <c r="M132" s="13" t="n"/>
      <c r="P132" s="13" t="n"/>
      <c r="Q132" s="13" t="n"/>
      <c r="R132" s="14" t="n"/>
      <c r="S132" s="14" t="n"/>
      <c r="T132" s="14" t="n"/>
      <c r="U132" s="14" t="n"/>
      <c r="V132" s="13" t="n"/>
      <c r="W132" s="14" t="n"/>
      <c r="X132" s="14" t="n"/>
      <c r="Y132" s="14" t="n"/>
      <c r="Z132" s="15" t="n"/>
      <c r="AA132" s="15" t="n"/>
      <c r="AB132" s="13" t="n"/>
      <c r="AC132" s="14" t="n"/>
      <c r="AD132" s="14" t="n"/>
      <c r="AH132" s="15" t="n"/>
    </row>
    <row r="133">
      <c r="M133" s="13" t="n"/>
      <c r="P133" s="13" t="n"/>
      <c r="Q133" s="13" t="n"/>
      <c r="R133" s="14" t="n"/>
      <c r="S133" s="14" t="n"/>
      <c r="T133" s="14" t="n"/>
      <c r="U133" s="14" t="n"/>
      <c r="V133" s="13" t="n"/>
      <c r="W133" s="14" t="n"/>
      <c r="X133" s="14" t="n"/>
      <c r="Y133" s="14" t="n"/>
      <c r="Z133" s="15" t="n"/>
      <c r="AA133" s="15" t="n"/>
      <c r="AB133" s="13" t="n"/>
      <c r="AC133" s="14" t="n"/>
      <c r="AD133" s="14" t="n"/>
      <c r="AH133" s="15" t="n"/>
    </row>
    <row r="134">
      <c r="M134" s="13" t="n"/>
      <c r="P134" s="13" t="n"/>
      <c r="Q134" s="13" t="n"/>
      <c r="R134" s="14" t="n"/>
      <c r="S134" s="14" t="n"/>
      <c r="T134" s="14" t="n"/>
      <c r="U134" s="14" t="n"/>
      <c r="V134" s="13" t="n"/>
      <c r="W134" s="14" t="n"/>
      <c r="X134" s="14" t="n"/>
      <c r="Y134" s="14" t="n"/>
      <c r="Z134" s="15" t="n"/>
      <c r="AA134" s="15" t="n"/>
      <c r="AB134" s="13" t="n"/>
      <c r="AC134" s="14" t="n"/>
      <c r="AD134" s="14" t="n"/>
      <c r="AH134" s="15" t="n"/>
    </row>
    <row r="135">
      <c r="M135" s="13" t="n"/>
      <c r="P135" s="13" t="n"/>
      <c r="Q135" s="13" t="n"/>
      <c r="R135" s="14" t="n"/>
      <c r="S135" s="14" t="n"/>
      <c r="T135" s="14" t="n"/>
      <c r="U135" s="14" t="n"/>
      <c r="V135" s="13" t="n"/>
      <c r="W135" s="14" t="n"/>
      <c r="X135" s="14" t="n"/>
      <c r="Y135" s="14" t="n"/>
      <c r="Z135" s="15" t="n"/>
      <c r="AA135" s="15" t="n"/>
      <c r="AB135" s="13" t="n"/>
      <c r="AC135" s="14" t="n"/>
      <c r="AD135" s="14" t="n"/>
      <c r="AH135" s="15" t="n"/>
    </row>
    <row r="136">
      <c r="M136" s="13" t="n"/>
      <c r="P136" s="13" t="n"/>
      <c r="Q136" s="13" t="n"/>
      <c r="R136" s="14" t="n"/>
      <c r="S136" s="14" t="n"/>
      <c r="T136" s="14" t="n"/>
      <c r="U136" s="14" t="n"/>
      <c r="V136" s="13" t="n"/>
      <c r="W136" s="14" t="n"/>
      <c r="X136" s="14" t="n"/>
      <c r="Y136" s="14" t="n"/>
      <c r="Z136" s="15" t="n"/>
      <c r="AA136" s="15" t="n"/>
      <c r="AB136" s="13" t="n"/>
      <c r="AC136" s="14" t="n"/>
      <c r="AD136" s="14" t="n"/>
      <c r="AH136" s="15" t="n"/>
    </row>
    <row r="137">
      <c r="M137" s="13" t="n"/>
      <c r="P137" s="13" t="n"/>
      <c r="Q137" s="13" t="n"/>
      <c r="R137" s="14" t="n"/>
      <c r="S137" s="14" t="n"/>
      <c r="T137" s="14" t="n"/>
      <c r="U137" s="14" t="n"/>
      <c r="V137" s="13" t="n"/>
      <c r="W137" s="14" t="n"/>
      <c r="X137" s="14" t="n"/>
      <c r="Y137" s="14" t="n"/>
      <c r="Z137" s="15" t="n"/>
      <c r="AA137" s="15" t="n"/>
      <c r="AB137" s="13" t="n"/>
      <c r="AC137" s="14" t="n"/>
      <c r="AD137" s="14" t="n"/>
      <c r="AH137" s="15" t="n"/>
    </row>
    <row r="138">
      <c r="M138" s="13" t="n"/>
      <c r="P138" s="13" t="n"/>
      <c r="Q138" s="13" t="n"/>
      <c r="R138" s="14" t="n"/>
      <c r="S138" s="14" t="n"/>
      <c r="T138" s="14" t="n"/>
      <c r="U138" s="14" t="n"/>
      <c r="V138" s="13" t="n"/>
      <c r="W138" s="14" t="n"/>
      <c r="X138" s="14" t="n"/>
      <c r="Y138" s="14" t="n"/>
      <c r="Z138" s="15" t="n"/>
      <c r="AA138" s="15" t="n"/>
      <c r="AB138" s="13" t="n"/>
      <c r="AC138" s="14" t="n"/>
      <c r="AD138" s="14" t="n"/>
      <c r="AH138" s="15" t="n"/>
    </row>
    <row r="139">
      <c r="M139" s="13" t="n"/>
      <c r="P139" s="13" t="n"/>
      <c r="Q139" s="13" t="n"/>
      <c r="R139" s="14" t="n"/>
      <c r="S139" s="14" t="n"/>
      <c r="T139" s="14" t="n"/>
      <c r="U139" s="14" t="n"/>
      <c r="V139" s="13" t="n"/>
      <c r="W139" s="14" t="n"/>
      <c r="X139" s="14" t="n"/>
      <c r="Y139" s="14" t="n"/>
      <c r="Z139" s="15" t="n"/>
      <c r="AA139" s="15" t="n"/>
      <c r="AB139" s="13" t="n"/>
      <c r="AC139" s="14" t="n"/>
      <c r="AD139" s="14" t="n"/>
      <c r="AH139" s="15" t="n"/>
    </row>
    <row r="140">
      <c r="M140" s="13" t="n"/>
      <c r="P140" s="13" t="n"/>
      <c r="Q140" s="13" t="n"/>
      <c r="R140" s="14" t="n"/>
      <c r="S140" s="14" t="n"/>
      <c r="T140" s="14" t="n"/>
      <c r="U140" s="14" t="n"/>
      <c r="V140" s="13" t="n"/>
      <c r="W140" s="14" t="n"/>
      <c r="X140" s="14" t="n"/>
      <c r="Y140" s="14" t="n"/>
      <c r="Z140" s="15" t="n"/>
      <c r="AA140" s="15" t="n"/>
      <c r="AB140" s="13" t="n"/>
      <c r="AC140" s="14" t="n"/>
      <c r="AD140" s="14" t="n"/>
      <c r="AH140" s="15" t="n"/>
    </row>
    <row r="141">
      <c r="M141" s="13" t="n"/>
      <c r="P141" s="13" t="n"/>
      <c r="Q141" s="13" t="n"/>
      <c r="R141" s="14" t="n"/>
      <c r="S141" s="14" t="n"/>
      <c r="T141" s="14" t="n"/>
      <c r="U141" s="14" t="n"/>
      <c r="V141" s="13" t="n"/>
      <c r="W141" s="14" t="n"/>
      <c r="X141" s="14" t="n"/>
      <c r="Y141" s="14" t="n"/>
      <c r="Z141" s="15" t="n"/>
      <c r="AA141" s="15" t="n"/>
      <c r="AB141" s="13" t="n"/>
      <c r="AC141" s="14" t="n"/>
      <c r="AD141" s="14" t="n"/>
      <c r="AH141" s="15" t="n"/>
    </row>
    <row r="142">
      <c r="M142" s="13" t="n"/>
      <c r="P142" s="13" t="n"/>
      <c r="Q142" s="13" t="n"/>
      <c r="R142" s="14" t="n"/>
      <c r="S142" s="14" t="n"/>
      <c r="T142" s="14" t="n"/>
      <c r="U142" s="14" t="n"/>
      <c r="V142" s="13" t="n"/>
      <c r="W142" s="14" t="n"/>
      <c r="X142" s="14" t="n"/>
      <c r="Y142" s="14" t="n"/>
      <c r="Z142" s="15" t="n"/>
      <c r="AA142" s="15" t="n"/>
      <c r="AB142" s="13" t="n"/>
      <c r="AC142" s="14" t="n"/>
      <c r="AD142" s="14" t="n"/>
      <c r="AH142" s="15" t="n"/>
    </row>
    <row r="143">
      <c r="M143" s="13" t="n"/>
      <c r="P143" s="13" t="n"/>
      <c r="Q143" s="13" t="n"/>
      <c r="R143" s="14" t="n"/>
      <c r="S143" s="14" t="n"/>
      <c r="T143" s="14" t="n"/>
      <c r="U143" s="14" t="n"/>
      <c r="V143" s="13" t="n"/>
      <c r="W143" s="14" t="n"/>
      <c r="X143" s="14" t="n"/>
      <c r="Y143" s="14" t="n"/>
      <c r="Z143" s="15" t="n"/>
      <c r="AA143" s="15" t="n"/>
      <c r="AB143" s="13" t="n"/>
      <c r="AC143" s="14" t="n"/>
      <c r="AD143" s="14" t="n"/>
      <c r="AH143" s="15" t="n"/>
    </row>
    <row r="144">
      <c r="M144" s="13" t="n"/>
      <c r="P144" s="13" t="n"/>
      <c r="Q144" s="13" t="n"/>
      <c r="R144" s="14" t="n"/>
      <c r="S144" s="14" t="n"/>
      <c r="T144" s="14" t="n"/>
      <c r="U144" s="14" t="n"/>
      <c r="V144" s="13" t="n"/>
      <c r="W144" s="14" t="n"/>
      <c r="X144" s="14" t="n"/>
      <c r="Y144" s="14" t="n"/>
      <c r="Z144" s="15" t="n"/>
      <c r="AA144" s="15" t="n"/>
      <c r="AB144" s="13" t="n"/>
      <c r="AC144" s="14" t="n"/>
      <c r="AD144" s="14" t="n"/>
      <c r="AH144" s="15" t="n"/>
    </row>
    <row r="145">
      <c r="M145" s="13" t="n"/>
      <c r="P145" s="13" t="n"/>
      <c r="Q145" s="13" t="n"/>
      <c r="R145" s="14" t="n"/>
      <c r="S145" s="14" t="n"/>
      <c r="T145" s="14" t="n"/>
      <c r="U145" s="14" t="n"/>
      <c r="V145" s="13" t="n"/>
      <c r="W145" s="14" t="n"/>
      <c r="X145" s="14" t="n"/>
      <c r="Y145" s="14" t="n"/>
      <c r="Z145" s="15" t="n"/>
      <c r="AA145" s="15" t="n"/>
      <c r="AB145" s="13" t="n"/>
      <c r="AC145" s="14" t="n"/>
      <c r="AD145" s="14" t="n"/>
      <c r="AH145" s="15" t="n"/>
    </row>
    <row r="146">
      <c r="M146" s="13" t="n"/>
      <c r="P146" s="13" t="n"/>
      <c r="Q146" s="13" t="n"/>
      <c r="R146" s="14" t="n"/>
      <c r="S146" s="14" t="n"/>
      <c r="T146" s="14" t="n"/>
      <c r="U146" s="14" t="n"/>
      <c r="V146" s="13" t="n"/>
      <c r="W146" s="14" t="n"/>
      <c r="X146" s="14" t="n"/>
      <c r="Y146" s="14" t="n"/>
      <c r="Z146" s="15" t="n"/>
      <c r="AA146" s="15" t="n"/>
      <c r="AB146" s="13" t="n"/>
      <c r="AC146" s="14" t="n"/>
      <c r="AD146" s="14" t="n"/>
      <c r="AH146" s="15" t="n"/>
    </row>
    <row r="147">
      <c r="M147" s="13" t="n"/>
      <c r="P147" s="13" t="n"/>
      <c r="Q147" s="13" t="n"/>
      <c r="R147" s="14" t="n"/>
      <c r="S147" s="14" t="n"/>
      <c r="T147" s="14" t="n"/>
      <c r="U147" s="14" t="n"/>
      <c r="V147" s="13" t="n"/>
      <c r="W147" s="14" t="n"/>
      <c r="X147" s="14" t="n"/>
      <c r="Y147" s="14" t="n"/>
      <c r="Z147" s="15" t="n"/>
      <c r="AA147" s="15" t="n"/>
      <c r="AB147" s="13" t="n"/>
      <c r="AC147" s="14" t="n"/>
      <c r="AD147" s="14" t="n"/>
      <c r="AH147" s="15" t="n"/>
    </row>
    <row r="148">
      <c r="M148" s="13" t="n"/>
      <c r="P148" s="13" t="n"/>
      <c r="Q148" s="13" t="n"/>
      <c r="R148" s="14" t="n"/>
      <c r="S148" s="14" t="n"/>
      <c r="T148" s="14" t="n"/>
      <c r="U148" s="14" t="n"/>
      <c r="V148" s="13" t="n"/>
      <c r="W148" s="14" t="n"/>
      <c r="X148" s="14" t="n"/>
      <c r="Y148" s="14" t="n"/>
      <c r="Z148" s="15" t="n"/>
      <c r="AA148" s="15" t="n"/>
      <c r="AB148" s="13" t="n"/>
      <c r="AC148" s="14" t="n"/>
      <c r="AD148" s="14" t="n"/>
      <c r="AH148" s="15" t="n"/>
    </row>
    <row r="149">
      <c r="M149" s="13" t="n"/>
      <c r="P149" s="13" t="n"/>
      <c r="Q149" s="13" t="n"/>
      <c r="R149" s="14" t="n"/>
      <c r="S149" s="14" t="n"/>
      <c r="T149" s="14" t="n"/>
      <c r="U149" s="14" t="n"/>
      <c r="V149" s="13" t="n"/>
      <c r="W149" s="14" t="n"/>
      <c r="X149" s="14" t="n"/>
      <c r="Y149" s="14" t="n"/>
      <c r="Z149" s="15" t="n"/>
      <c r="AA149" s="15" t="n"/>
      <c r="AB149" s="13" t="n"/>
      <c r="AC149" s="14" t="n"/>
      <c r="AD149" s="14" t="n"/>
      <c r="AH149" s="15" t="n"/>
    </row>
    <row r="150">
      <c r="M150" s="13" t="n"/>
      <c r="P150" s="13" t="n"/>
      <c r="Q150" s="13" t="n"/>
      <c r="R150" s="14" t="n"/>
      <c r="S150" s="14" t="n"/>
      <c r="T150" s="14" t="n"/>
      <c r="U150" s="14" t="n"/>
      <c r="V150" s="13" t="n"/>
      <c r="W150" s="14" t="n"/>
      <c r="X150" s="14" t="n"/>
      <c r="Y150" s="14" t="n"/>
      <c r="Z150" s="15" t="n"/>
      <c r="AA150" s="15" t="n"/>
      <c r="AB150" s="13" t="n"/>
      <c r="AC150" s="14" t="n"/>
      <c r="AD150" s="14" t="n"/>
      <c r="AH150" s="15" t="n"/>
    </row>
    <row r="151">
      <c r="M151" s="13" t="n"/>
      <c r="P151" s="13" t="n"/>
      <c r="Q151" s="13" t="n"/>
      <c r="R151" s="14" t="n"/>
      <c r="S151" s="14" t="n"/>
      <c r="T151" s="14" t="n"/>
      <c r="U151" s="14" t="n"/>
      <c r="V151" s="13" t="n"/>
      <c r="W151" s="14" t="n"/>
      <c r="X151" s="14" t="n"/>
      <c r="Y151" s="14" t="n"/>
      <c r="Z151" s="15" t="n"/>
      <c r="AA151" s="15" t="n"/>
      <c r="AB151" s="13" t="n"/>
      <c r="AC151" s="14" t="n"/>
      <c r="AD151" s="14" t="n"/>
      <c r="AH151" s="15" t="n"/>
    </row>
    <row r="152">
      <c r="M152" s="13" t="n"/>
      <c r="P152" s="13" t="n"/>
      <c r="Q152" s="13" t="n"/>
      <c r="R152" s="14" t="n"/>
      <c r="S152" s="14" t="n"/>
      <c r="T152" s="14" t="n"/>
      <c r="U152" s="14" t="n"/>
      <c r="V152" s="13" t="n"/>
      <c r="W152" s="14" t="n"/>
      <c r="X152" s="14" t="n"/>
      <c r="Y152" s="14" t="n"/>
      <c r="Z152" s="15" t="n"/>
      <c r="AA152" s="15" t="n"/>
      <c r="AB152" s="13" t="n"/>
      <c r="AC152" s="14" t="n"/>
      <c r="AD152" s="14" t="n"/>
      <c r="AH152" s="15" t="n"/>
    </row>
    <row r="153">
      <c r="M153" s="13" t="n"/>
      <c r="P153" s="13" t="n"/>
      <c r="Q153" s="13" t="n"/>
      <c r="R153" s="14" t="n"/>
      <c r="S153" s="14" t="n"/>
      <c r="T153" s="14" t="n"/>
      <c r="U153" s="14" t="n"/>
      <c r="V153" s="13" t="n"/>
      <c r="W153" s="14" t="n"/>
      <c r="X153" s="14" t="n"/>
      <c r="Y153" s="14" t="n"/>
      <c r="Z153" s="15" t="n"/>
      <c r="AA153" s="15" t="n"/>
      <c r="AB153" s="13" t="n"/>
      <c r="AC153" s="14" t="n"/>
      <c r="AD153" s="14" t="n"/>
      <c r="AH153" s="15" t="n"/>
    </row>
    <row r="154">
      <c r="M154" s="13" t="n"/>
      <c r="P154" s="13" t="n"/>
      <c r="Q154" s="13" t="n"/>
      <c r="R154" s="14" t="n"/>
      <c r="S154" s="14" t="n"/>
      <c r="T154" s="14" t="n"/>
      <c r="U154" s="14" t="n"/>
      <c r="V154" s="13" t="n"/>
      <c r="W154" s="14" t="n"/>
      <c r="X154" s="14" t="n"/>
      <c r="Y154" s="14" t="n"/>
      <c r="Z154" s="15" t="n"/>
      <c r="AA154" s="15" t="n"/>
      <c r="AB154" s="13" t="n"/>
      <c r="AC154" s="14" t="n"/>
      <c r="AD154" s="14" t="n"/>
      <c r="AH154" s="15" t="n"/>
    </row>
    <row r="155">
      <c r="M155" s="13" t="n"/>
      <c r="P155" s="13" t="n"/>
      <c r="Q155" s="13" t="n"/>
      <c r="R155" s="14" t="n"/>
      <c r="S155" s="14" t="n"/>
      <c r="T155" s="14" t="n"/>
      <c r="U155" s="14" t="n"/>
      <c r="V155" s="13" t="n"/>
      <c r="W155" s="14" t="n"/>
      <c r="X155" s="14" t="n"/>
      <c r="Y155" s="14" t="n"/>
      <c r="Z155" s="15" t="n"/>
      <c r="AA155" s="15" t="n"/>
      <c r="AB155" s="13" t="n"/>
      <c r="AC155" s="14" t="n"/>
      <c r="AD155" s="14" t="n"/>
      <c r="AH155" s="15" t="n"/>
    </row>
    <row r="156">
      <c r="M156" s="13" t="n"/>
      <c r="P156" s="13" t="n"/>
      <c r="Q156" s="13" t="n"/>
      <c r="R156" s="14" t="n"/>
      <c r="S156" s="14" t="n"/>
      <c r="T156" s="14" t="n"/>
      <c r="U156" s="14" t="n"/>
      <c r="V156" s="13" t="n"/>
      <c r="W156" s="14" t="n"/>
      <c r="X156" s="14" t="n"/>
      <c r="Y156" s="14" t="n"/>
      <c r="Z156" s="15" t="n"/>
      <c r="AA156" s="15" t="n"/>
      <c r="AB156" s="13" t="n"/>
      <c r="AC156" s="14" t="n"/>
      <c r="AD156" s="14" t="n"/>
      <c r="AH156" s="15" t="n"/>
    </row>
    <row r="157">
      <c r="M157" s="13" t="n"/>
      <c r="P157" s="13" t="n"/>
      <c r="Q157" s="13" t="n"/>
      <c r="R157" s="14" t="n"/>
      <c r="S157" s="14" t="n"/>
      <c r="T157" s="14" t="n"/>
      <c r="U157" s="14" t="n"/>
      <c r="V157" s="13" t="n"/>
      <c r="W157" s="14" t="n"/>
      <c r="X157" s="14" t="n"/>
      <c r="Y157" s="14" t="n"/>
      <c r="Z157" s="15" t="n"/>
      <c r="AA157" s="15" t="n"/>
      <c r="AB157" s="13" t="n"/>
      <c r="AC157" s="14" t="n"/>
      <c r="AD157" s="14" t="n"/>
      <c r="AH157" s="15" t="n"/>
    </row>
    <row r="158">
      <c r="M158" s="13" t="n"/>
      <c r="P158" s="13" t="n"/>
      <c r="Q158" s="13" t="n"/>
      <c r="R158" s="14" t="n"/>
      <c r="S158" s="14" t="n"/>
      <c r="T158" s="14" t="n"/>
      <c r="U158" s="14" t="n"/>
      <c r="V158" s="13" t="n"/>
      <c r="W158" s="14" t="n"/>
      <c r="X158" s="14" t="n"/>
      <c r="Y158" s="14" t="n"/>
      <c r="Z158" s="15" t="n"/>
      <c r="AA158" s="15" t="n"/>
      <c r="AB158" s="13" t="n"/>
      <c r="AC158" s="14" t="n"/>
      <c r="AD158" s="14" t="n"/>
      <c r="AH158" s="15" t="n"/>
    </row>
    <row r="159">
      <c r="M159" s="13" t="n"/>
      <c r="P159" s="13" t="n"/>
      <c r="Q159" s="13" t="n"/>
      <c r="R159" s="14" t="n"/>
      <c r="S159" s="14" t="n"/>
      <c r="T159" s="14" t="n"/>
      <c r="U159" s="14" t="n"/>
      <c r="V159" s="13" t="n"/>
      <c r="W159" s="14" t="n"/>
      <c r="X159" s="14" t="n"/>
      <c r="Y159" s="14" t="n"/>
      <c r="Z159" s="15" t="n"/>
      <c r="AA159" s="15" t="n"/>
      <c r="AB159" s="13" t="n"/>
      <c r="AC159" s="14" t="n"/>
      <c r="AD159" s="14" t="n"/>
      <c r="AH159" s="15" t="n"/>
    </row>
    <row r="160">
      <c r="M160" s="13" t="n"/>
      <c r="P160" s="13" t="n"/>
      <c r="Q160" s="13" t="n"/>
      <c r="R160" s="14" t="n"/>
      <c r="S160" s="14" t="n"/>
      <c r="T160" s="14" t="n"/>
      <c r="U160" s="14" t="n"/>
      <c r="V160" s="13" t="n"/>
      <c r="W160" s="14" t="n"/>
      <c r="X160" s="14" t="n"/>
      <c r="Y160" s="14" t="n"/>
      <c r="Z160" s="15" t="n"/>
      <c r="AA160" s="15" t="n"/>
      <c r="AB160" s="13" t="n"/>
      <c r="AC160" s="14" t="n"/>
      <c r="AD160" s="14" t="n"/>
      <c r="AH160" s="15" t="n"/>
    </row>
    <row r="161">
      <c r="M161" s="13" t="n"/>
      <c r="P161" s="13" t="n"/>
      <c r="Q161" s="13" t="n"/>
      <c r="R161" s="14" t="n"/>
      <c r="S161" s="14" t="n"/>
      <c r="T161" s="14" t="n"/>
      <c r="U161" s="14" t="n"/>
      <c r="V161" s="13" t="n"/>
      <c r="W161" s="14" t="n"/>
      <c r="X161" s="14" t="n"/>
      <c r="Y161" s="14" t="n"/>
      <c r="Z161" s="15" t="n"/>
      <c r="AA161" s="15" t="n"/>
      <c r="AB161" s="13" t="n"/>
      <c r="AC161" s="14" t="n"/>
      <c r="AD161" s="14" t="n"/>
      <c r="AH161" s="15" t="n"/>
    </row>
    <row r="162">
      <c r="M162" s="13" t="n"/>
      <c r="P162" s="13" t="n"/>
      <c r="Q162" s="13" t="n"/>
      <c r="R162" s="14" t="n"/>
      <c r="S162" s="14" t="n"/>
      <c r="T162" s="14" t="n"/>
      <c r="U162" s="14" t="n"/>
      <c r="V162" s="13" t="n"/>
      <c r="W162" s="14" t="n"/>
      <c r="X162" s="14" t="n"/>
      <c r="Y162" s="14" t="n"/>
      <c r="Z162" s="15" t="n"/>
      <c r="AA162" s="15" t="n"/>
      <c r="AB162" s="13" t="n"/>
      <c r="AC162" s="14" t="n"/>
      <c r="AD162" s="14" t="n"/>
      <c r="AH162" s="15" t="n"/>
    </row>
    <row r="163">
      <c r="M163" s="13" t="n"/>
      <c r="P163" s="13" t="n"/>
      <c r="Q163" s="13" t="n"/>
      <c r="R163" s="14" t="n"/>
      <c r="S163" s="14" t="n"/>
      <c r="T163" s="14" t="n"/>
      <c r="U163" s="14" t="n"/>
      <c r="V163" s="13" t="n"/>
      <c r="W163" s="14" t="n"/>
      <c r="X163" s="14" t="n"/>
      <c r="Y163" s="14" t="n"/>
      <c r="Z163" s="15" t="n"/>
      <c r="AA163" s="15" t="n"/>
      <c r="AB163" s="13" t="n"/>
      <c r="AC163" s="14" t="n"/>
      <c r="AD163" s="14" t="n"/>
      <c r="AH163" s="15" t="n"/>
    </row>
    <row r="164">
      <c r="M164" s="13" t="n"/>
      <c r="P164" s="13" t="n"/>
      <c r="Q164" s="13" t="n"/>
      <c r="R164" s="14" t="n"/>
      <c r="S164" s="14" t="n"/>
      <c r="T164" s="14" t="n"/>
      <c r="U164" s="14" t="n"/>
      <c r="V164" s="13" t="n"/>
      <c r="W164" s="14" t="n"/>
      <c r="X164" s="14" t="n"/>
      <c r="Y164" s="14" t="n"/>
      <c r="Z164" s="15" t="n"/>
      <c r="AA164" s="15" t="n"/>
      <c r="AB164" s="13" t="n"/>
      <c r="AC164" s="14" t="n"/>
      <c r="AD164" s="14" t="n"/>
      <c r="AH164" s="15" t="n"/>
    </row>
    <row r="165">
      <c r="M165" s="13" t="n"/>
      <c r="P165" s="13" t="n"/>
      <c r="Q165" s="13" t="n"/>
      <c r="R165" s="14" t="n"/>
      <c r="S165" s="14" t="n"/>
      <c r="T165" s="14" t="n"/>
      <c r="U165" s="14" t="n"/>
      <c r="V165" s="13" t="n"/>
      <c r="W165" s="14" t="n"/>
      <c r="X165" s="14" t="n"/>
      <c r="Y165" s="14" t="n"/>
      <c r="Z165" s="15" t="n"/>
      <c r="AA165" s="15" t="n"/>
      <c r="AB165" s="13" t="n"/>
      <c r="AC165" s="14" t="n"/>
      <c r="AD165" s="14" t="n"/>
      <c r="AH165" s="15" t="n"/>
    </row>
    <row r="166">
      <c r="M166" s="13" t="n"/>
      <c r="P166" s="13" t="n"/>
      <c r="Q166" s="13" t="n"/>
      <c r="R166" s="14" t="n"/>
      <c r="S166" s="14" t="n"/>
      <c r="T166" s="14" t="n"/>
      <c r="U166" s="14" t="n"/>
      <c r="V166" s="13" t="n"/>
      <c r="W166" s="14" t="n"/>
      <c r="X166" s="14" t="n"/>
      <c r="Y166" s="14" t="n"/>
      <c r="Z166" s="15" t="n"/>
      <c r="AA166" s="15" t="n"/>
      <c r="AB166" s="13" t="n"/>
      <c r="AC166" s="14" t="n"/>
      <c r="AD166" s="14" t="n"/>
      <c r="AH166" s="15" t="n"/>
    </row>
    <row r="167">
      <c r="M167" s="13" t="n"/>
      <c r="P167" s="13" t="n"/>
      <c r="Q167" s="13" t="n"/>
      <c r="R167" s="14" t="n"/>
      <c r="S167" s="14" t="n"/>
      <c r="T167" s="14" t="n"/>
      <c r="U167" s="14" t="n"/>
      <c r="V167" s="13" t="n"/>
      <c r="W167" s="14" t="n"/>
      <c r="X167" s="14" t="n"/>
      <c r="Y167" s="14" t="n"/>
      <c r="Z167" s="15" t="n"/>
      <c r="AA167" s="15" t="n"/>
      <c r="AB167" s="13" t="n"/>
      <c r="AC167" s="14" t="n"/>
      <c r="AD167" s="14" t="n"/>
      <c r="AH167" s="15" t="n"/>
    </row>
    <row r="168">
      <c r="M168" s="13" t="n"/>
      <c r="P168" s="13" t="n"/>
      <c r="Q168" s="13" t="n"/>
      <c r="R168" s="14" t="n"/>
      <c r="S168" s="14" t="n"/>
      <c r="T168" s="14" t="n"/>
      <c r="U168" s="14" t="n"/>
      <c r="V168" s="13" t="n"/>
      <c r="W168" s="14" t="n"/>
      <c r="X168" s="14" t="n"/>
      <c r="Y168" s="14" t="n"/>
      <c r="Z168" s="15" t="n"/>
      <c r="AA168" s="15" t="n"/>
      <c r="AB168" s="13" t="n"/>
      <c r="AC168" s="14" t="n"/>
      <c r="AD168" s="14" t="n"/>
      <c r="AH168" s="15" t="n"/>
    </row>
    <row r="169">
      <c r="M169" s="13" t="n"/>
      <c r="P169" s="13" t="n"/>
      <c r="Q169" s="13" t="n"/>
      <c r="R169" s="14" t="n"/>
      <c r="S169" s="14" t="n"/>
      <c r="T169" s="14" t="n"/>
      <c r="U169" s="14" t="n"/>
      <c r="V169" s="13" t="n"/>
      <c r="W169" s="14" t="n"/>
      <c r="X169" s="14" t="n"/>
      <c r="Y169" s="14" t="n"/>
      <c r="Z169" s="15" t="n"/>
      <c r="AA169" s="15" t="n"/>
      <c r="AB169" s="13" t="n"/>
      <c r="AC169" s="14" t="n"/>
      <c r="AD169" s="14" t="n"/>
      <c r="AH169" s="15" t="n"/>
    </row>
    <row r="170">
      <c r="M170" s="13" t="n"/>
      <c r="P170" s="13" t="n"/>
      <c r="Q170" s="13" t="n"/>
      <c r="R170" s="14" t="n"/>
      <c r="S170" s="14" t="n"/>
      <c r="T170" s="14" t="n"/>
      <c r="U170" s="14" t="n"/>
      <c r="V170" s="13" t="n"/>
      <c r="W170" s="14" t="n"/>
      <c r="X170" s="14" t="n"/>
      <c r="Y170" s="14" t="n"/>
      <c r="Z170" s="15" t="n"/>
      <c r="AA170" s="15" t="n"/>
      <c r="AB170" s="13" t="n"/>
      <c r="AC170" s="14" t="n"/>
      <c r="AD170" s="14" t="n"/>
      <c r="AH170" s="15" t="n"/>
    </row>
    <row r="171">
      <c r="M171" s="13" t="n"/>
      <c r="P171" s="13" t="n"/>
      <c r="Q171" s="13" t="n"/>
      <c r="R171" s="14" t="n"/>
      <c r="S171" s="14" t="n"/>
      <c r="T171" s="14" t="n"/>
      <c r="U171" s="14" t="n"/>
      <c r="V171" s="13" t="n"/>
      <c r="W171" s="14" t="n"/>
      <c r="X171" s="14" t="n"/>
      <c r="Y171" s="14" t="n"/>
      <c r="Z171" s="15" t="n"/>
      <c r="AA171" s="15" t="n"/>
      <c r="AB171" s="13" t="n"/>
      <c r="AC171" s="14" t="n"/>
      <c r="AD171" s="14" t="n"/>
      <c r="AH171" s="15" t="n"/>
    </row>
    <row r="172">
      <c r="M172" s="13" t="n"/>
      <c r="P172" s="13" t="n"/>
      <c r="Q172" s="13" t="n"/>
      <c r="R172" s="14" t="n"/>
      <c r="S172" s="14" t="n"/>
      <c r="T172" s="14" t="n"/>
      <c r="U172" s="14" t="n"/>
      <c r="V172" s="13" t="n"/>
      <c r="W172" s="14" t="n"/>
      <c r="X172" s="14" t="n"/>
      <c r="Y172" s="14" t="n"/>
      <c r="Z172" s="15" t="n"/>
      <c r="AA172" s="15" t="n"/>
      <c r="AB172" s="13" t="n"/>
      <c r="AC172" s="14" t="n"/>
      <c r="AD172" s="14" t="n"/>
      <c r="AH172" s="15" t="n"/>
    </row>
    <row r="173">
      <c r="M173" s="13" t="n"/>
      <c r="P173" s="13" t="n"/>
      <c r="Q173" s="13" t="n"/>
      <c r="R173" s="14" t="n"/>
      <c r="S173" s="14" t="n"/>
      <c r="T173" s="14" t="n"/>
      <c r="U173" s="14" t="n"/>
      <c r="V173" s="13" t="n"/>
      <c r="W173" s="14" t="n"/>
      <c r="X173" s="14" t="n"/>
      <c r="Y173" s="14" t="n"/>
      <c r="Z173" s="15" t="n"/>
      <c r="AA173" s="15" t="n"/>
      <c r="AB173" s="13" t="n"/>
      <c r="AC173" s="14" t="n"/>
      <c r="AD173" s="14" t="n"/>
      <c r="AH173" s="15" t="n"/>
    </row>
    <row r="174">
      <c r="M174" s="13" t="n"/>
      <c r="P174" s="13" t="n"/>
      <c r="Q174" s="13" t="n"/>
      <c r="R174" s="14" t="n"/>
      <c r="S174" s="14" t="n"/>
      <c r="T174" s="14" t="n"/>
      <c r="U174" s="14" t="n"/>
      <c r="V174" s="13" t="n"/>
      <c r="W174" s="14" t="n"/>
      <c r="X174" s="14" t="n"/>
      <c r="Y174" s="14" t="n"/>
      <c r="Z174" s="15" t="n"/>
      <c r="AA174" s="15" t="n"/>
      <c r="AB174" s="13" t="n"/>
      <c r="AC174" s="14" t="n"/>
      <c r="AD174" s="14" t="n"/>
      <c r="AH174" s="15" t="n"/>
    </row>
    <row r="175">
      <c r="M175" s="13" t="n"/>
      <c r="P175" s="13" t="n"/>
      <c r="Q175" s="13" t="n"/>
      <c r="R175" s="14" t="n"/>
      <c r="S175" s="14" t="n"/>
      <c r="T175" s="14" t="n"/>
      <c r="U175" s="14" t="n"/>
      <c r="V175" s="13" t="n"/>
      <c r="W175" s="14" t="n"/>
      <c r="X175" s="14" t="n"/>
      <c r="Y175" s="14" t="n"/>
      <c r="Z175" s="15" t="n"/>
      <c r="AA175" s="15" t="n"/>
      <c r="AB175" s="13" t="n"/>
      <c r="AC175" s="14" t="n"/>
      <c r="AD175" s="14" t="n"/>
      <c r="AH175" s="15" t="n"/>
    </row>
    <row r="176">
      <c r="M176" s="13" t="n"/>
      <c r="P176" s="13" t="n"/>
      <c r="Q176" s="13" t="n"/>
      <c r="R176" s="14" t="n"/>
      <c r="S176" s="14" t="n"/>
      <c r="T176" s="14" t="n"/>
      <c r="U176" s="14" t="n"/>
      <c r="V176" s="13" t="n"/>
      <c r="W176" s="14" t="n"/>
      <c r="X176" s="14" t="n"/>
      <c r="Y176" s="14" t="n"/>
      <c r="Z176" s="15" t="n"/>
      <c r="AA176" s="15" t="n"/>
      <c r="AB176" s="13" t="n"/>
      <c r="AC176" s="14" t="n"/>
      <c r="AD176" s="14" t="n"/>
      <c r="AH176" s="15" t="n"/>
    </row>
    <row r="177">
      <c r="M177" s="13" t="n"/>
      <c r="P177" s="13" t="n"/>
      <c r="Q177" s="13" t="n"/>
      <c r="R177" s="14" t="n"/>
      <c r="S177" s="14" t="n"/>
      <c r="T177" s="14" t="n"/>
      <c r="U177" s="14" t="n"/>
      <c r="V177" s="13" t="n"/>
      <c r="W177" s="14" t="n"/>
      <c r="X177" s="14" t="n"/>
      <c r="Y177" s="14" t="n"/>
      <c r="Z177" s="15" t="n"/>
      <c r="AA177" s="15" t="n"/>
      <c r="AB177" s="13" t="n"/>
      <c r="AC177" s="14" t="n"/>
      <c r="AD177" s="14" t="n"/>
      <c r="AH177" s="15" t="n"/>
    </row>
    <row r="178">
      <c r="M178" s="13" t="n"/>
      <c r="P178" s="13" t="n"/>
      <c r="Q178" s="13" t="n"/>
      <c r="R178" s="14" t="n"/>
      <c r="S178" s="14" t="n"/>
      <c r="T178" s="14" t="n"/>
      <c r="U178" s="14" t="n"/>
      <c r="V178" s="13" t="n"/>
      <c r="W178" s="14" t="n"/>
      <c r="X178" s="14" t="n"/>
      <c r="Y178" s="14" t="n"/>
      <c r="Z178" s="15" t="n"/>
      <c r="AA178" s="15" t="n"/>
      <c r="AB178" s="13" t="n"/>
      <c r="AC178" s="14" t="n"/>
      <c r="AD178" s="14" t="n"/>
      <c r="AH178" s="15" t="n"/>
    </row>
    <row r="179">
      <c r="M179" s="13" t="n"/>
      <c r="P179" s="13" t="n"/>
      <c r="Q179" s="13" t="n"/>
      <c r="R179" s="14" t="n"/>
      <c r="S179" s="14" t="n"/>
      <c r="T179" s="14" t="n"/>
      <c r="U179" s="14" t="n"/>
      <c r="V179" s="13" t="n"/>
      <c r="W179" s="14" t="n"/>
      <c r="X179" s="14" t="n"/>
      <c r="Y179" s="14" t="n"/>
      <c r="Z179" s="15" t="n"/>
      <c r="AA179" s="15" t="n"/>
      <c r="AB179" s="13" t="n"/>
      <c r="AC179" s="14" t="n"/>
      <c r="AD179" s="14" t="n"/>
      <c r="AH179" s="15" t="n"/>
    </row>
    <row r="180">
      <c r="M180" s="13" t="n"/>
      <c r="P180" s="13" t="n"/>
      <c r="Q180" s="13" t="n"/>
      <c r="R180" s="14" t="n"/>
      <c r="S180" s="14" t="n"/>
      <c r="T180" s="14" t="n"/>
      <c r="U180" s="14" t="n"/>
      <c r="V180" s="13" t="n"/>
      <c r="W180" s="14" t="n"/>
      <c r="X180" s="14" t="n"/>
      <c r="Y180" s="14" t="n"/>
      <c r="Z180" s="15" t="n"/>
      <c r="AA180" s="15" t="n"/>
      <c r="AB180" s="13" t="n"/>
      <c r="AC180" s="14" t="n"/>
      <c r="AD180" s="14" t="n"/>
      <c r="AH180" s="15" t="n"/>
    </row>
    <row r="181">
      <c r="M181" s="13" t="n"/>
      <c r="P181" s="13" t="n"/>
      <c r="Q181" s="13" t="n"/>
      <c r="R181" s="14" t="n"/>
      <c r="S181" s="14" t="n"/>
      <c r="T181" s="14" t="n"/>
      <c r="U181" s="14" t="n"/>
      <c r="V181" s="13" t="n"/>
      <c r="W181" s="14" t="n"/>
      <c r="X181" s="14" t="n"/>
      <c r="Y181" s="14" t="n"/>
      <c r="Z181" s="15" t="n"/>
      <c r="AA181" s="15" t="n"/>
      <c r="AB181" s="13" t="n"/>
      <c r="AC181" s="14" t="n"/>
      <c r="AD181" s="14" t="n"/>
      <c r="AH181" s="15" t="n"/>
    </row>
    <row r="182">
      <c r="M182" s="13" t="n"/>
      <c r="P182" s="13" t="n"/>
      <c r="Q182" s="13" t="n"/>
      <c r="R182" s="14" t="n"/>
      <c r="S182" s="14" t="n"/>
      <c r="T182" s="14" t="n"/>
      <c r="U182" s="14" t="n"/>
      <c r="V182" s="13" t="n"/>
      <c r="W182" s="14" t="n"/>
      <c r="X182" s="14" t="n"/>
      <c r="Y182" s="14" t="n"/>
      <c r="Z182" s="15" t="n"/>
      <c r="AA182" s="15" t="n"/>
      <c r="AB182" s="13" t="n"/>
      <c r="AC182" s="14" t="n"/>
      <c r="AD182" s="14" t="n"/>
      <c r="AH182" s="15" t="n"/>
    </row>
    <row r="183">
      <c r="M183" s="13" t="n"/>
      <c r="P183" s="13" t="n"/>
      <c r="Q183" s="13" t="n"/>
      <c r="R183" s="14" t="n"/>
      <c r="S183" s="14" t="n"/>
      <c r="T183" s="14" t="n"/>
      <c r="U183" s="14" t="n"/>
      <c r="V183" s="13" t="n"/>
      <c r="W183" s="14" t="n"/>
      <c r="X183" s="14" t="n"/>
      <c r="Y183" s="14" t="n"/>
      <c r="Z183" s="15" t="n"/>
      <c r="AA183" s="15" t="n"/>
      <c r="AB183" s="13" t="n"/>
      <c r="AC183" s="14" t="n"/>
      <c r="AD183" s="14" t="n"/>
      <c r="AH183" s="15" t="n"/>
    </row>
    <row r="184">
      <c r="M184" s="13" t="n"/>
      <c r="P184" s="13" t="n"/>
      <c r="Q184" s="13" t="n"/>
      <c r="R184" s="14" t="n"/>
      <c r="S184" s="14" t="n"/>
      <c r="T184" s="14" t="n"/>
      <c r="U184" s="14" t="n"/>
      <c r="V184" s="13" t="n"/>
      <c r="W184" s="14" t="n"/>
      <c r="X184" s="14" t="n"/>
      <c r="Y184" s="14" t="n"/>
      <c r="Z184" s="15" t="n"/>
      <c r="AA184" s="15" t="n"/>
      <c r="AB184" s="13" t="n"/>
      <c r="AC184" s="14" t="n"/>
      <c r="AD184" s="14" t="n"/>
      <c r="AH184" s="15" t="n"/>
    </row>
    <row r="185">
      <c r="M185" s="13" t="n"/>
      <c r="P185" s="13" t="n"/>
      <c r="Q185" s="13" t="n"/>
      <c r="R185" s="14" t="n"/>
      <c r="S185" s="14" t="n"/>
      <c r="T185" s="14" t="n"/>
      <c r="U185" s="14" t="n"/>
      <c r="V185" s="13" t="n"/>
      <c r="W185" s="14" t="n"/>
      <c r="X185" s="14" t="n"/>
      <c r="Y185" s="14" t="n"/>
      <c r="Z185" s="15" t="n"/>
      <c r="AA185" s="15" t="n"/>
      <c r="AB185" s="13" t="n"/>
      <c r="AC185" s="14" t="n"/>
      <c r="AD185" s="14" t="n"/>
      <c r="AH185" s="15" t="n"/>
    </row>
    <row r="186">
      <c r="M186" s="13" t="n"/>
      <c r="P186" s="13" t="n"/>
      <c r="Q186" s="13" t="n"/>
      <c r="R186" s="14" t="n"/>
      <c r="S186" s="14" t="n"/>
      <c r="T186" s="14" t="n"/>
      <c r="U186" s="14" t="n"/>
      <c r="V186" s="13" t="n"/>
      <c r="W186" s="14" t="n"/>
      <c r="X186" s="14" t="n"/>
      <c r="Y186" s="14" t="n"/>
      <c r="Z186" s="15" t="n"/>
      <c r="AA186" s="15" t="n"/>
      <c r="AB186" s="13" t="n"/>
      <c r="AC186" s="14" t="n"/>
      <c r="AD186" s="14" t="n"/>
      <c r="AH186" s="15" t="n"/>
    </row>
    <row r="187">
      <c r="M187" s="13" t="n"/>
      <c r="P187" s="13" t="n"/>
      <c r="Q187" s="13" t="n"/>
      <c r="R187" s="14" t="n"/>
      <c r="S187" s="14" t="n"/>
      <c r="T187" s="14" t="n"/>
      <c r="U187" s="14" t="n"/>
      <c r="V187" s="13" t="n"/>
      <c r="W187" s="14" t="n"/>
      <c r="X187" s="14" t="n"/>
      <c r="Y187" s="14" t="n"/>
      <c r="Z187" s="15" t="n"/>
      <c r="AA187" s="15" t="n"/>
      <c r="AB187" s="13" t="n"/>
      <c r="AC187" s="14" t="n"/>
      <c r="AD187" s="14" t="n"/>
      <c r="AH187" s="15" t="n"/>
    </row>
    <row r="188">
      <c r="M188" s="13" t="n"/>
      <c r="P188" s="13" t="n"/>
      <c r="Q188" s="13" t="n"/>
      <c r="R188" s="14" t="n"/>
      <c r="S188" s="14" t="n"/>
      <c r="T188" s="14" t="n"/>
      <c r="U188" s="14" t="n"/>
      <c r="V188" s="13" t="n"/>
      <c r="W188" s="14" t="n"/>
      <c r="X188" s="14" t="n"/>
      <c r="Y188" s="14" t="n"/>
      <c r="Z188" s="15" t="n"/>
      <c r="AA188" s="15" t="n"/>
      <c r="AB188" s="13" t="n"/>
      <c r="AC188" s="14" t="n"/>
      <c r="AD188" s="14" t="n"/>
      <c r="AH188" s="15" t="n"/>
    </row>
    <row r="189">
      <c r="M189" s="13" t="n"/>
      <c r="P189" s="13" t="n"/>
      <c r="Q189" s="13" t="n"/>
      <c r="R189" s="14" t="n"/>
      <c r="S189" s="14" t="n"/>
      <c r="T189" s="14" t="n"/>
      <c r="U189" s="14" t="n"/>
      <c r="V189" s="13" t="n"/>
      <c r="W189" s="14" t="n"/>
      <c r="X189" s="14" t="n"/>
      <c r="Y189" s="14" t="n"/>
      <c r="Z189" s="15" t="n"/>
      <c r="AA189" s="15" t="n"/>
      <c r="AB189" s="13" t="n"/>
      <c r="AC189" s="14" t="n"/>
      <c r="AD189" s="14" t="n"/>
      <c r="AH189" s="15" t="n"/>
    </row>
    <row r="190">
      <c r="M190" s="13" t="n"/>
      <c r="P190" s="13" t="n"/>
      <c r="Q190" s="13" t="n"/>
      <c r="R190" s="14" t="n"/>
      <c r="S190" s="14" t="n"/>
      <c r="T190" s="14" t="n"/>
      <c r="U190" s="14" t="n"/>
      <c r="V190" s="13" t="n"/>
      <c r="W190" s="14" t="n"/>
      <c r="X190" s="14" t="n"/>
      <c r="Y190" s="14" t="n"/>
      <c r="Z190" s="15" t="n"/>
      <c r="AA190" s="15" t="n"/>
      <c r="AB190" s="13" t="n"/>
      <c r="AC190" s="14" t="n"/>
      <c r="AD190" s="14" t="n"/>
      <c r="AH190" s="15" t="n"/>
    </row>
    <row r="191">
      <c r="M191" s="13" t="n"/>
      <c r="P191" s="13" t="n"/>
      <c r="Q191" s="13" t="n"/>
      <c r="R191" s="14" t="n"/>
      <c r="S191" s="14" t="n"/>
      <c r="T191" s="14" t="n"/>
      <c r="U191" s="14" t="n"/>
      <c r="V191" s="13" t="n"/>
      <c r="W191" s="14" t="n"/>
      <c r="X191" s="14" t="n"/>
      <c r="Y191" s="14" t="n"/>
      <c r="Z191" s="15" t="n"/>
      <c r="AA191" s="15" t="n"/>
      <c r="AB191" s="13" t="n"/>
      <c r="AC191" s="14" t="n"/>
      <c r="AD191" s="14" t="n"/>
      <c r="AH191" s="15" t="n"/>
    </row>
    <row r="192">
      <c r="M192" s="13" t="n"/>
      <c r="P192" s="13" t="n"/>
      <c r="Q192" s="13" t="n"/>
      <c r="R192" s="14" t="n"/>
      <c r="S192" s="14" t="n"/>
      <c r="T192" s="14" t="n"/>
      <c r="U192" s="14" t="n"/>
      <c r="V192" s="13" t="n"/>
      <c r="W192" s="14" t="n"/>
      <c r="X192" s="14" t="n"/>
      <c r="Y192" s="14" t="n"/>
      <c r="Z192" s="15" t="n"/>
      <c r="AA192" s="15" t="n"/>
      <c r="AB192" s="13" t="n"/>
      <c r="AC192" s="14" t="n"/>
      <c r="AD192" s="14" t="n"/>
      <c r="AH192" s="15" t="n"/>
    </row>
    <row r="193">
      <c r="M193" s="13" t="n"/>
      <c r="P193" s="13" t="n"/>
      <c r="Q193" s="13" t="n"/>
      <c r="R193" s="14" t="n"/>
      <c r="S193" s="14" t="n"/>
      <c r="T193" s="14" t="n"/>
      <c r="U193" s="14" t="n"/>
      <c r="V193" s="13" t="n"/>
      <c r="W193" s="14" t="n"/>
      <c r="X193" s="14" t="n"/>
      <c r="Y193" s="14" t="n"/>
      <c r="Z193" s="15" t="n"/>
      <c r="AA193" s="15" t="n"/>
      <c r="AB193" s="13" t="n"/>
      <c r="AC193" s="14" t="n"/>
      <c r="AD193" s="14" t="n"/>
      <c r="AH193" s="15" t="n"/>
    </row>
    <row r="194">
      <c r="M194" s="13" t="n"/>
      <c r="P194" s="13" t="n"/>
      <c r="Q194" s="13" t="n"/>
      <c r="R194" s="14" t="n"/>
      <c r="S194" s="14" t="n"/>
      <c r="T194" s="14" t="n"/>
      <c r="U194" s="14" t="n"/>
      <c r="V194" s="13" t="n"/>
      <c r="W194" s="14" t="n"/>
      <c r="X194" s="14" t="n"/>
      <c r="Y194" s="14" t="n"/>
      <c r="Z194" s="15" t="n"/>
      <c r="AA194" s="15" t="n"/>
      <c r="AB194" s="13" t="n"/>
      <c r="AC194" s="14" t="n"/>
      <c r="AD194" s="14" t="n"/>
      <c r="AH194" s="15" t="n"/>
    </row>
    <row r="195">
      <c r="M195" s="13" t="n"/>
      <c r="P195" s="13" t="n"/>
      <c r="Q195" s="13" t="n"/>
      <c r="R195" s="14" t="n"/>
      <c r="S195" s="14" t="n"/>
      <c r="T195" s="14" t="n"/>
      <c r="U195" s="14" t="n"/>
      <c r="V195" s="13" t="n"/>
      <c r="W195" s="14" t="n"/>
      <c r="X195" s="14" t="n"/>
      <c r="Y195" s="14" t="n"/>
      <c r="Z195" s="15" t="n"/>
      <c r="AA195" s="15" t="n"/>
      <c r="AB195" s="13" t="n"/>
      <c r="AC195" s="14" t="n"/>
      <c r="AD195" s="14" t="n"/>
      <c r="AH195" s="15" t="n"/>
    </row>
    <row r="196">
      <c r="M196" s="13" t="n"/>
      <c r="P196" s="13" t="n"/>
      <c r="Q196" s="13" t="n"/>
      <c r="R196" s="14" t="n"/>
      <c r="S196" s="14" t="n"/>
      <c r="T196" s="14" t="n"/>
      <c r="U196" s="14" t="n"/>
      <c r="V196" s="13" t="n"/>
      <c r="W196" s="14" t="n"/>
      <c r="X196" s="14" t="n"/>
      <c r="Y196" s="14" t="n"/>
      <c r="Z196" s="15" t="n"/>
      <c r="AA196" s="15" t="n"/>
      <c r="AB196" s="13" t="n"/>
      <c r="AC196" s="14" t="n"/>
      <c r="AD196" s="14" t="n"/>
      <c r="AH196" s="15" t="n"/>
    </row>
    <row r="197">
      <c r="M197" s="13" t="n"/>
      <c r="P197" s="13" t="n"/>
      <c r="Q197" s="13" t="n"/>
      <c r="R197" s="14" t="n"/>
      <c r="S197" s="14" t="n"/>
      <c r="T197" s="14" t="n"/>
      <c r="U197" s="14" t="n"/>
      <c r="V197" s="13" t="n"/>
      <c r="W197" s="14" t="n"/>
      <c r="X197" s="14" t="n"/>
      <c r="Y197" s="14" t="n"/>
      <c r="Z197" s="15" t="n"/>
      <c r="AA197" s="15" t="n"/>
      <c r="AB197" s="13" t="n"/>
      <c r="AC197" s="14" t="n"/>
      <c r="AD197" s="14" t="n"/>
      <c r="AH197" s="15" t="n"/>
    </row>
    <row r="198">
      <c r="M198" s="13" t="n"/>
      <c r="P198" s="13" t="n"/>
      <c r="Q198" s="13" t="n"/>
      <c r="R198" s="14" t="n"/>
      <c r="S198" s="14" t="n"/>
      <c r="T198" s="14" t="n"/>
      <c r="U198" s="14" t="n"/>
      <c r="V198" s="13" t="n"/>
      <c r="W198" s="14" t="n"/>
      <c r="X198" s="14" t="n"/>
      <c r="Y198" s="14" t="n"/>
      <c r="Z198" s="15" t="n"/>
      <c r="AA198" s="15" t="n"/>
      <c r="AB198" s="13" t="n"/>
      <c r="AC198" s="14" t="n"/>
      <c r="AD198" s="14" t="n"/>
      <c r="AH198" s="15" t="n"/>
    </row>
    <row r="199">
      <c r="M199" s="13" t="n"/>
      <c r="P199" s="13" t="n"/>
      <c r="Q199" s="13" t="n"/>
      <c r="R199" s="14" t="n"/>
      <c r="S199" s="14" t="n"/>
      <c r="T199" s="14" t="n"/>
      <c r="U199" s="14" t="n"/>
      <c r="V199" s="13" t="n"/>
      <c r="W199" s="14" t="n"/>
      <c r="X199" s="14" t="n"/>
      <c r="Y199" s="14" t="n"/>
      <c r="Z199" s="15" t="n"/>
      <c r="AA199" s="15" t="n"/>
      <c r="AB199" s="13" t="n"/>
      <c r="AC199" s="14" t="n"/>
      <c r="AD199" s="14" t="n"/>
      <c r="AH199" s="15" t="n"/>
    </row>
    <row r="200">
      <c r="M200" s="13" t="n"/>
      <c r="P200" s="13" t="n"/>
      <c r="Q200" s="13" t="n"/>
      <c r="R200" s="14" t="n"/>
      <c r="S200" s="14" t="n"/>
      <c r="T200" s="14" t="n"/>
      <c r="U200" s="14" t="n"/>
      <c r="V200" s="13" t="n"/>
      <c r="W200" s="14" t="n"/>
      <c r="X200" s="14" t="n"/>
      <c r="Y200" s="14" t="n"/>
      <c r="Z200" s="15" t="n"/>
      <c r="AA200" s="15" t="n"/>
      <c r="AB200" s="13" t="n"/>
      <c r="AC200" s="14" t="n"/>
      <c r="AD200" s="14" t="n"/>
      <c r="AH200" s="15" t="n"/>
    </row>
    <row r="201">
      <c r="M201" s="13" t="n"/>
      <c r="P201" s="13" t="n"/>
      <c r="Q201" s="13" t="n"/>
      <c r="R201" s="14" t="n"/>
      <c r="S201" s="14" t="n"/>
      <c r="T201" s="14" t="n"/>
      <c r="U201" s="14" t="n"/>
      <c r="V201" s="13" t="n"/>
      <c r="W201" s="14" t="n"/>
      <c r="X201" s="14" t="n"/>
      <c r="Y201" s="14" t="n"/>
      <c r="Z201" s="15" t="n"/>
      <c r="AA201" s="15" t="n"/>
      <c r="AB201" s="13" t="n"/>
      <c r="AC201" s="14" t="n"/>
      <c r="AD201" s="14" t="n"/>
      <c r="AH201" s="15" t="n"/>
    </row>
    <row r="202">
      <c r="M202" s="13" t="n"/>
      <c r="P202" s="13" t="n"/>
      <c r="Q202" s="13" t="n"/>
      <c r="R202" s="14" t="n"/>
      <c r="S202" s="14" t="n"/>
      <c r="T202" s="14" t="n"/>
      <c r="U202" s="14" t="n"/>
      <c r="V202" s="13" t="n"/>
      <c r="W202" s="14" t="n"/>
      <c r="X202" s="14" t="n"/>
      <c r="Y202" s="14" t="n"/>
      <c r="Z202" s="15" t="n"/>
      <c r="AA202" s="15" t="n"/>
      <c r="AB202" s="13" t="n"/>
      <c r="AC202" s="14" t="n"/>
      <c r="AD202" s="14" t="n"/>
      <c r="AH202" s="15" t="n"/>
    </row>
    <row r="203">
      <c r="M203" s="13" t="n"/>
      <c r="P203" s="13" t="n"/>
      <c r="Q203" s="13" t="n"/>
      <c r="R203" s="14" t="n"/>
      <c r="S203" s="14" t="n"/>
      <c r="T203" s="14" t="n"/>
      <c r="U203" s="14" t="n"/>
      <c r="V203" s="13" t="n"/>
      <c r="W203" s="14" t="n"/>
      <c r="X203" s="14" t="n"/>
      <c r="Y203" s="14" t="n"/>
      <c r="Z203" s="15" t="n"/>
      <c r="AA203" s="15" t="n"/>
      <c r="AB203" s="13" t="n"/>
      <c r="AC203" s="14" t="n"/>
      <c r="AD203" s="14" t="n"/>
      <c r="AH203" s="15" t="n"/>
    </row>
    <row r="204">
      <c r="M204" s="13" t="n"/>
      <c r="P204" s="13" t="n"/>
      <c r="Q204" s="13" t="n"/>
      <c r="R204" s="14" t="n"/>
      <c r="S204" s="14" t="n"/>
      <c r="T204" s="14" t="n"/>
      <c r="U204" s="14" t="n"/>
      <c r="V204" s="13" t="n"/>
      <c r="W204" s="14" t="n"/>
      <c r="X204" s="14" t="n"/>
      <c r="Y204" s="14" t="n"/>
      <c r="Z204" s="15" t="n"/>
      <c r="AA204" s="15" t="n"/>
      <c r="AB204" s="13" t="n"/>
      <c r="AC204" s="14" t="n"/>
      <c r="AD204" s="14" t="n"/>
      <c r="AH204" s="15" t="n"/>
    </row>
    <row r="205">
      <c r="M205" s="13" t="n"/>
      <c r="P205" s="13" t="n"/>
      <c r="Q205" s="13" t="n"/>
      <c r="R205" s="14" t="n"/>
      <c r="S205" s="14" t="n"/>
      <c r="T205" s="14" t="n"/>
      <c r="U205" s="14" t="n"/>
      <c r="V205" s="13" t="n"/>
      <c r="W205" s="14" t="n"/>
      <c r="X205" s="14" t="n"/>
      <c r="Y205" s="14" t="n"/>
      <c r="Z205" s="15" t="n"/>
      <c r="AA205" s="15" t="n"/>
      <c r="AB205" s="13" t="n"/>
      <c r="AC205" s="14" t="n"/>
      <c r="AD205" s="14" t="n"/>
      <c r="AH205" s="15" t="n"/>
    </row>
    <row r="206">
      <c r="M206" s="13" t="n"/>
      <c r="P206" s="13" t="n"/>
      <c r="Q206" s="13" t="n"/>
      <c r="R206" s="14" t="n"/>
      <c r="S206" s="14" t="n"/>
      <c r="T206" s="14" t="n"/>
      <c r="U206" s="14" t="n"/>
      <c r="V206" s="13" t="n"/>
      <c r="W206" s="14" t="n"/>
      <c r="X206" s="14" t="n"/>
      <c r="Y206" s="14" t="n"/>
      <c r="Z206" s="15" t="n"/>
      <c r="AA206" s="15" t="n"/>
      <c r="AB206" s="13" t="n"/>
      <c r="AC206" s="14" t="n"/>
      <c r="AD206" s="14" t="n"/>
      <c r="AH206" s="15" t="n"/>
    </row>
    <row r="207">
      <c r="M207" s="13" t="n"/>
      <c r="P207" s="13" t="n"/>
      <c r="Q207" s="13" t="n"/>
      <c r="R207" s="14" t="n"/>
      <c r="S207" s="14" t="n"/>
      <c r="T207" s="14" t="n"/>
      <c r="U207" s="14" t="n"/>
      <c r="V207" s="13" t="n"/>
      <c r="W207" s="14" t="n"/>
      <c r="X207" s="14" t="n"/>
      <c r="Y207" s="14" t="n"/>
      <c r="Z207" s="15" t="n"/>
      <c r="AA207" s="15" t="n"/>
      <c r="AB207" s="13" t="n"/>
      <c r="AC207" s="14" t="n"/>
      <c r="AD207" s="14" t="n"/>
      <c r="AH207" s="15" t="n"/>
    </row>
    <row r="208">
      <c r="M208" s="13" t="n"/>
      <c r="P208" s="13" t="n"/>
      <c r="Q208" s="13" t="n"/>
      <c r="R208" s="14" t="n"/>
      <c r="S208" s="14" t="n"/>
      <c r="T208" s="14" t="n"/>
      <c r="U208" s="14" t="n"/>
      <c r="V208" s="13" t="n"/>
      <c r="W208" s="14" t="n"/>
      <c r="X208" s="14" t="n"/>
      <c r="Y208" s="14" t="n"/>
      <c r="Z208" s="15" t="n"/>
      <c r="AA208" s="15" t="n"/>
      <c r="AB208" s="13" t="n"/>
      <c r="AC208" s="14" t="n"/>
      <c r="AD208" s="14" t="n"/>
      <c r="AH208" s="15" t="n"/>
    </row>
    <row r="209">
      <c r="M209" s="13" t="n"/>
      <c r="P209" s="13" t="n"/>
      <c r="Q209" s="13" t="n"/>
      <c r="R209" s="14" t="n"/>
      <c r="S209" s="14" t="n"/>
      <c r="T209" s="14" t="n"/>
      <c r="U209" s="14" t="n"/>
      <c r="V209" s="13" t="n"/>
      <c r="W209" s="14" t="n"/>
      <c r="X209" s="14" t="n"/>
      <c r="Y209" s="14" t="n"/>
      <c r="Z209" s="15" t="n"/>
      <c r="AA209" s="15" t="n"/>
      <c r="AB209" s="13" t="n"/>
      <c r="AC209" s="14" t="n"/>
      <c r="AD209" s="14" t="n"/>
      <c r="AH209" s="15" t="n"/>
    </row>
    <row r="210">
      <c r="M210" s="13" t="n"/>
      <c r="P210" s="13" t="n"/>
      <c r="Q210" s="13" t="n"/>
      <c r="R210" s="14" t="n"/>
      <c r="S210" s="14" t="n"/>
      <c r="T210" s="14" t="n"/>
      <c r="U210" s="14" t="n"/>
      <c r="V210" s="13" t="n"/>
      <c r="W210" s="14" t="n"/>
      <c r="X210" s="14" t="n"/>
      <c r="Y210" s="14" t="n"/>
      <c r="Z210" s="15" t="n"/>
      <c r="AA210" s="15" t="n"/>
      <c r="AB210" s="13" t="n"/>
      <c r="AC210" s="14" t="n"/>
      <c r="AD210" s="14" t="n"/>
      <c r="AH210" s="15" t="n"/>
    </row>
    <row r="211">
      <c r="M211" s="13" t="n"/>
      <c r="P211" s="13" t="n"/>
      <c r="Q211" s="13" t="n"/>
      <c r="R211" s="14" t="n"/>
      <c r="S211" s="14" t="n"/>
      <c r="T211" s="14" t="n"/>
      <c r="U211" s="14" t="n"/>
      <c r="V211" s="13" t="n"/>
      <c r="W211" s="14" t="n"/>
      <c r="X211" s="14" t="n"/>
      <c r="Y211" s="14" t="n"/>
      <c r="Z211" s="15" t="n"/>
      <c r="AA211" s="15" t="n"/>
      <c r="AB211" s="13" t="n"/>
      <c r="AC211" s="14" t="n"/>
      <c r="AD211" s="14" t="n"/>
      <c r="AH211" s="15" t="n"/>
    </row>
    <row r="212">
      <c r="M212" s="13" t="n"/>
      <c r="P212" s="13" t="n"/>
      <c r="Q212" s="13" t="n"/>
      <c r="R212" s="14" t="n"/>
      <c r="S212" s="14" t="n"/>
      <c r="T212" s="14" t="n"/>
      <c r="U212" s="14" t="n"/>
      <c r="V212" s="13" t="n"/>
      <c r="W212" s="14" t="n"/>
      <c r="X212" s="14" t="n"/>
      <c r="Y212" s="14" t="n"/>
      <c r="Z212" s="15" t="n"/>
      <c r="AA212" s="15" t="n"/>
      <c r="AB212" s="13" t="n"/>
      <c r="AC212" s="14" t="n"/>
      <c r="AD212" s="14" t="n"/>
      <c r="AH212" s="15" t="n"/>
    </row>
    <row r="213">
      <c r="M213" s="13" t="n"/>
      <c r="P213" s="13" t="n"/>
      <c r="Q213" s="13" t="n"/>
      <c r="R213" s="14" t="n"/>
      <c r="S213" s="14" t="n"/>
      <c r="T213" s="14" t="n"/>
      <c r="U213" s="14" t="n"/>
      <c r="V213" s="13" t="n"/>
      <c r="W213" s="14" t="n"/>
      <c r="X213" s="14" t="n"/>
      <c r="Y213" s="14" t="n"/>
      <c r="Z213" s="15" t="n"/>
      <c r="AA213" s="15" t="n"/>
      <c r="AB213" s="13" t="n"/>
      <c r="AC213" s="14" t="n"/>
      <c r="AD213" s="14" t="n"/>
      <c r="AH213" s="15" t="n"/>
    </row>
    <row r="214">
      <c r="M214" s="13" t="n"/>
      <c r="P214" s="13" t="n"/>
      <c r="Q214" s="13" t="n"/>
      <c r="R214" s="14" t="n"/>
      <c r="S214" s="14" t="n"/>
      <c r="T214" s="14" t="n"/>
      <c r="U214" s="14" t="n"/>
      <c r="V214" s="13" t="n"/>
      <c r="W214" s="14" t="n"/>
      <c r="X214" s="14" t="n"/>
      <c r="Y214" s="14" t="n"/>
      <c r="Z214" s="15" t="n"/>
      <c r="AA214" s="15" t="n"/>
      <c r="AB214" s="13" t="n"/>
      <c r="AC214" s="14" t="n"/>
      <c r="AD214" s="14" t="n"/>
      <c r="AH214" s="15" t="n"/>
    </row>
    <row r="215">
      <c r="M215" s="13" t="n"/>
      <c r="P215" s="13" t="n"/>
      <c r="Q215" s="13" t="n"/>
      <c r="R215" s="14" t="n"/>
      <c r="S215" s="14" t="n"/>
      <c r="T215" s="14" t="n"/>
      <c r="U215" s="14" t="n"/>
      <c r="V215" s="13" t="n"/>
      <c r="W215" s="14" t="n"/>
      <c r="X215" s="14" t="n"/>
      <c r="Y215" s="14" t="n"/>
      <c r="Z215" s="15" t="n"/>
      <c r="AA215" s="15" t="n"/>
      <c r="AB215" s="13" t="n"/>
      <c r="AC215" s="14" t="n"/>
      <c r="AD215" s="14" t="n"/>
      <c r="AH215" s="15" t="n"/>
    </row>
    <row r="216">
      <c r="M216" s="13" t="n"/>
      <c r="P216" s="13" t="n"/>
      <c r="Q216" s="13" t="n"/>
      <c r="R216" s="14" t="n"/>
      <c r="S216" s="14" t="n"/>
      <c r="T216" s="14" t="n"/>
      <c r="U216" s="14" t="n"/>
      <c r="V216" s="13" t="n"/>
      <c r="W216" s="14" t="n"/>
      <c r="X216" s="14" t="n"/>
      <c r="Y216" s="14" t="n"/>
      <c r="Z216" s="15" t="n"/>
      <c r="AA216" s="15" t="n"/>
      <c r="AB216" s="13" t="n"/>
      <c r="AC216" s="14" t="n"/>
      <c r="AD216" s="14" t="n"/>
      <c r="AH216" s="15" t="n"/>
    </row>
    <row r="217">
      <c r="M217" s="13" t="n"/>
      <c r="P217" s="13" t="n"/>
      <c r="Q217" s="13" t="n"/>
      <c r="R217" s="14" t="n"/>
      <c r="S217" s="14" t="n"/>
      <c r="T217" s="14" t="n"/>
      <c r="U217" s="14" t="n"/>
      <c r="V217" s="13" t="n"/>
      <c r="W217" s="14" t="n"/>
      <c r="X217" s="14" t="n"/>
      <c r="Y217" s="14" t="n"/>
      <c r="Z217" s="15" t="n"/>
      <c r="AA217" s="15" t="n"/>
      <c r="AB217" s="13" t="n"/>
      <c r="AC217" s="14" t="n"/>
      <c r="AD217" s="14" t="n"/>
      <c r="AH217" s="15" t="n"/>
    </row>
    <row r="218">
      <c r="M218" s="13" t="n"/>
      <c r="P218" s="13" t="n"/>
      <c r="Q218" s="13" t="n"/>
      <c r="R218" s="14" t="n"/>
      <c r="S218" s="14" t="n"/>
      <c r="T218" s="14" t="n"/>
      <c r="U218" s="14" t="n"/>
      <c r="V218" s="13" t="n"/>
      <c r="W218" s="14" t="n"/>
      <c r="X218" s="14" t="n"/>
      <c r="Y218" s="14" t="n"/>
      <c r="Z218" s="15" t="n"/>
      <c r="AA218" s="15" t="n"/>
      <c r="AB218" s="13" t="n"/>
      <c r="AC218" s="14" t="n"/>
      <c r="AD218" s="14" t="n"/>
      <c r="AH218" s="15" t="n"/>
    </row>
    <row r="219">
      <c r="M219" s="13" t="n"/>
      <c r="P219" s="13" t="n"/>
      <c r="Q219" s="13" t="n"/>
      <c r="R219" s="14" t="n"/>
      <c r="S219" s="14" t="n"/>
      <c r="T219" s="14" t="n"/>
      <c r="U219" s="14" t="n"/>
      <c r="V219" s="13" t="n"/>
      <c r="W219" s="14" t="n"/>
      <c r="X219" s="14" t="n"/>
      <c r="Y219" s="14" t="n"/>
      <c r="Z219" s="15" t="n"/>
      <c r="AA219" s="15" t="n"/>
      <c r="AB219" s="13" t="n"/>
      <c r="AC219" s="14" t="n"/>
      <c r="AD219" s="14" t="n"/>
      <c r="AH219" s="15" t="n"/>
    </row>
    <row r="220">
      <c r="M220" s="13" t="n"/>
      <c r="P220" s="13" t="n"/>
      <c r="Q220" s="13" t="n"/>
      <c r="R220" s="14" t="n"/>
      <c r="S220" s="14" t="n"/>
      <c r="T220" s="14" t="n"/>
      <c r="U220" s="14" t="n"/>
      <c r="V220" s="13" t="n"/>
      <c r="W220" s="14" t="n"/>
      <c r="X220" s="14" t="n"/>
      <c r="Y220" s="14" t="n"/>
      <c r="Z220" s="15" t="n"/>
      <c r="AA220" s="15" t="n"/>
      <c r="AB220" s="13" t="n"/>
      <c r="AC220" s="14" t="n"/>
      <c r="AD220" s="14" t="n"/>
      <c r="AH220" s="15" t="n"/>
    </row>
    <row r="221">
      <c r="M221" s="13" t="n"/>
      <c r="P221" s="13" t="n"/>
      <c r="Q221" s="13" t="n"/>
      <c r="R221" s="14" t="n"/>
      <c r="S221" s="14" t="n"/>
      <c r="T221" s="14" t="n"/>
      <c r="U221" s="14" t="n"/>
      <c r="V221" s="13" t="n"/>
      <c r="W221" s="14" t="n"/>
      <c r="X221" s="14" t="n"/>
      <c r="Y221" s="14" t="n"/>
      <c r="Z221" s="15" t="n"/>
      <c r="AA221" s="15" t="n"/>
      <c r="AB221" s="13" t="n"/>
      <c r="AC221" s="14" t="n"/>
      <c r="AD221" s="14" t="n"/>
      <c r="AH221" s="15" t="n"/>
    </row>
    <row r="222">
      <c r="M222" s="13" t="n"/>
      <c r="P222" s="13" t="n"/>
      <c r="Q222" s="13" t="n"/>
      <c r="R222" s="14" t="n"/>
      <c r="S222" s="14" t="n"/>
      <c r="T222" s="14" t="n"/>
      <c r="U222" s="14" t="n"/>
      <c r="V222" s="13" t="n"/>
      <c r="W222" s="14" t="n"/>
      <c r="X222" s="14" t="n"/>
      <c r="Y222" s="14" t="n"/>
      <c r="Z222" s="15" t="n"/>
      <c r="AA222" s="15" t="n"/>
      <c r="AB222" s="13" t="n"/>
      <c r="AC222" s="14" t="n"/>
      <c r="AD222" s="14" t="n"/>
      <c r="AH222" s="15" t="n"/>
    </row>
    <row r="223">
      <c r="M223" s="13" t="n"/>
      <c r="P223" s="13" t="n"/>
      <c r="Q223" s="13" t="n"/>
      <c r="R223" s="14" t="n"/>
      <c r="S223" s="14" t="n"/>
      <c r="T223" s="14" t="n"/>
      <c r="U223" s="14" t="n"/>
      <c r="V223" s="13" t="n"/>
      <c r="W223" s="14" t="n"/>
      <c r="X223" s="14" t="n"/>
      <c r="Y223" s="14" t="n"/>
      <c r="Z223" s="15" t="n"/>
      <c r="AA223" s="15" t="n"/>
      <c r="AB223" s="13" t="n"/>
      <c r="AC223" s="14" t="n"/>
      <c r="AD223" s="14" t="n"/>
      <c r="AH223" s="15" t="n"/>
    </row>
    <row r="224">
      <c r="M224" s="13" t="n"/>
      <c r="P224" s="13" t="n"/>
      <c r="Q224" s="13" t="n"/>
      <c r="R224" s="14" t="n"/>
      <c r="S224" s="14" t="n"/>
      <c r="T224" s="14" t="n"/>
      <c r="U224" s="14" t="n"/>
      <c r="V224" s="13" t="n"/>
      <c r="W224" s="14" t="n"/>
      <c r="X224" s="14" t="n"/>
      <c r="Y224" s="14" t="n"/>
      <c r="Z224" s="15" t="n"/>
      <c r="AA224" s="15" t="n"/>
      <c r="AB224" s="13" t="n"/>
      <c r="AC224" s="14" t="n"/>
      <c r="AD224" s="14" t="n"/>
      <c r="AH224" s="15" t="n"/>
    </row>
    <row r="225">
      <c r="M225" s="13" t="n"/>
      <c r="P225" s="13" t="n"/>
      <c r="Q225" s="13" t="n"/>
      <c r="R225" s="14" t="n"/>
      <c r="S225" s="14" t="n"/>
      <c r="T225" s="14" t="n"/>
      <c r="U225" s="14" t="n"/>
      <c r="V225" s="13" t="n"/>
      <c r="W225" s="14" t="n"/>
      <c r="X225" s="14" t="n"/>
      <c r="Y225" s="14" t="n"/>
      <c r="Z225" s="15" t="n"/>
      <c r="AA225" s="15" t="n"/>
      <c r="AB225" s="13" t="n"/>
      <c r="AC225" s="14" t="n"/>
      <c r="AD225" s="14" t="n"/>
      <c r="AH225" s="15" t="n"/>
    </row>
    <row r="226">
      <c r="M226" s="13" t="n"/>
      <c r="P226" s="13" t="n"/>
      <c r="Q226" s="13" t="n"/>
      <c r="R226" s="14" t="n"/>
      <c r="S226" s="14" t="n"/>
      <c r="T226" s="14" t="n"/>
      <c r="U226" s="14" t="n"/>
      <c r="V226" s="13" t="n"/>
      <c r="W226" s="14" t="n"/>
      <c r="X226" s="14" t="n"/>
      <c r="Y226" s="14" t="n"/>
      <c r="Z226" s="15" t="n"/>
      <c r="AA226" s="15" t="n"/>
      <c r="AB226" s="13" t="n"/>
      <c r="AC226" s="14" t="n"/>
      <c r="AD226" s="14" t="n"/>
      <c r="AH226" s="15" t="n"/>
    </row>
    <row r="227">
      <c r="M227" s="13" t="n"/>
      <c r="P227" s="13" t="n"/>
      <c r="Q227" s="13" t="n"/>
      <c r="R227" s="14" t="n"/>
      <c r="S227" s="14" t="n"/>
      <c r="T227" s="14" t="n"/>
      <c r="U227" s="14" t="n"/>
      <c r="V227" s="13" t="n"/>
      <c r="W227" s="14" t="n"/>
      <c r="X227" s="14" t="n"/>
      <c r="Y227" s="14" t="n"/>
      <c r="Z227" s="15" t="n"/>
      <c r="AA227" s="15" t="n"/>
      <c r="AB227" s="13" t="n"/>
      <c r="AC227" s="14" t="n"/>
      <c r="AD227" s="14" t="n"/>
      <c r="AH227" s="15" t="n"/>
    </row>
    <row r="228">
      <c r="M228" s="13" t="n"/>
      <c r="P228" s="13" t="n"/>
      <c r="Q228" s="13" t="n"/>
      <c r="R228" s="14" t="n"/>
      <c r="S228" s="14" t="n"/>
      <c r="T228" s="14" t="n"/>
      <c r="U228" s="14" t="n"/>
      <c r="V228" s="13" t="n"/>
      <c r="W228" s="14" t="n"/>
      <c r="X228" s="14" t="n"/>
      <c r="Y228" s="14" t="n"/>
      <c r="Z228" s="15" t="n"/>
      <c r="AA228" s="15" t="n"/>
      <c r="AB228" s="13" t="n"/>
      <c r="AC228" s="14" t="n"/>
      <c r="AD228" s="14" t="n"/>
      <c r="AH228" s="15" t="n"/>
    </row>
    <row r="229">
      <c r="M229" s="13" t="n"/>
      <c r="P229" s="13" t="n"/>
      <c r="Q229" s="13" t="n"/>
      <c r="R229" s="14" t="n"/>
      <c r="S229" s="14" t="n"/>
      <c r="T229" s="14" t="n"/>
      <c r="U229" s="14" t="n"/>
      <c r="V229" s="13" t="n"/>
      <c r="W229" s="14" t="n"/>
      <c r="X229" s="14" t="n"/>
      <c r="Y229" s="14" t="n"/>
      <c r="Z229" s="15" t="n"/>
      <c r="AA229" s="15" t="n"/>
      <c r="AB229" s="13" t="n"/>
      <c r="AC229" s="14" t="n"/>
      <c r="AD229" s="14" t="n"/>
      <c r="AH229" s="15" t="n"/>
    </row>
    <row r="230">
      <c r="M230" s="13" t="n"/>
      <c r="P230" s="13" t="n"/>
      <c r="Q230" s="13" t="n"/>
      <c r="R230" s="14" t="n"/>
      <c r="S230" s="14" t="n"/>
      <c r="T230" s="14" t="n"/>
      <c r="U230" s="14" t="n"/>
      <c r="V230" s="13" t="n"/>
      <c r="W230" s="14" t="n"/>
      <c r="X230" s="14" t="n"/>
      <c r="Y230" s="14" t="n"/>
      <c r="Z230" s="15" t="n"/>
      <c r="AA230" s="15" t="n"/>
      <c r="AB230" s="13" t="n"/>
      <c r="AC230" s="14" t="n"/>
      <c r="AD230" s="14" t="n"/>
      <c r="AH230" s="15" t="n"/>
    </row>
    <row r="231">
      <c r="M231" s="13" t="n"/>
      <c r="P231" s="13" t="n"/>
      <c r="Q231" s="13" t="n"/>
      <c r="R231" s="14" t="n"/>
      <c r="S231" s="14" t="n"/>
      <c r="T231" s="14" t="n"/>
      <c r="U231" s="14" t="n"/>
      <c r="V231" s="13" t="n"/>
      <c r="W231" s="14" t="n"/>
      <c r="X231" s="14" t="n"/>
      <c r="Y231" s="14" t="n"/>
      <c r="Z231" s="15" t="n"/>
      <c r="AA231" s="15" t="n"/>
      <c r="AB231" s="13" t="n"/>
      <c r="AC231" s="14" t="n"/>
      <c r="AD231" s="14" t="n"/>
      <c r="AH231" s="15" t="n"/>
    </row>
    <row r="232">
      <c r="M232" s="13" t="n"/>
      <c r="P232" s="13" t="n"/>
      <c r="Q232" s="13" t="n"/>
      <c r="R232" s="14" t="n"/>
      <c r="S232" s="14" t="n"/>
      <c r="T232" s="14" t="n"/>
      <c r="U232" s="14" t="n"/>
      <c r="V232" s="13" t="n"/>
      <c r="W232" s="14" t="n"/>
      <c r="X232" s="14" t="n"/>
      <c r="Y232" s="14" t="n"/>
      <c r="Z232" s="15" t="n"/>
      <c r="AA232" s="15" t="n"/>
      <c r="AB232" s="13" t="n"/>
      <c r="AC232" s="14" t="n"/>
      <c r="AD232" s="14" t="n"/>
      <c r="AH232" s="15" t="n"/>
    </row>
    <row r="233">
      <c r="M233" s="13" t="n"/>
      <c r="P233" s="13" t="n"/>
      <c r="Q233" s="13" t="n"/>
      <c r="R233" s="14" t="n"/>
      <c r="S233" s="14" t="n"/>
      <c r="T233" s="14" t="n"/>
      <c r="U233" s="14" t="n"/>
      <c r="V233" s="13" t="n"/>
      <c r="W233" s="14" t="n"/>
      <c r="X233" s="14" t="n"/>
      <c r="Y233" s="14" t="n"/>
      <c r="Z233" s="15" t="n"/>
      <c r="AA233" s="15" t="n"/>
      <c r="AB233" s="13" t="n"/>
      <c r="AC233" s="14" t="n"/>
      <c r="AD233" s="14" t="n"/>
      <c r="AH233" s="15" t="n"/>
    </row>
    <row r="234">
      <c r="M234" s="13" t="n"/>
      <c r="P234" s="13" t="n"/>
      <c r="Q234" s="13" t="n"/>
      <c r="R234" s="14" t="n"/>
      <c r="S234" s="14" t="n"/>
      <c r="T234" s="14" t="n"/>
      <c r="U234" s="14" t="n"/>
      <c r="V234" s="13" t="n"/>
      <c r="W234" s="14" t="n"/>
      <c r="X234" s="14" t="n"/>
      <c r="Y234" s="14" t="n"/>
      <c r="Z234" s="15" t="n"/>
      <c r="AA234" s="15" t="n"/>
      <c r="AB234" s="13" t="n"/>
      <c r="AC234" s="14" t="n"/>
      <c r="AD234" s="14" t="n"/>
      <c r="AH234" s="15" t="n"/>
    </row>
    <row r="235">
      <c r="M235" s="13" t="n"/>
      <c r="P235" s="13" t="n"/>
      <c r="Q235" s="13" t="n"/>
      <c r="R235" s="14" t="n"/>
      <c r="S235" s="14" t="n"/>
      <c r="T235" s="14" t="n"/>
      <c r="U235" s="14" t="n"/>
      <c r="V235" s="13" t="n"/>
      <c r="W235" s="14" t="n"/>
      <c r="X235" s="14" t="n"/>
      <c r="Y235" s="14" t="n"/>
      <c r="Z235" s="15" t="n"/>
      <c r="AA235" s="15" t="n"/>
      <c r="AB235" s="13" t="n"/>
      <c r="AC235" s="14" t="n"/>
      <c r="AD235" s="14" t="n"/>
      <c r="AH235" s="15" t="n"/>
    </row>
    <row r="236">
      <c r="M236" s="13" t="n"/>
      <c r="P236" s="13" t="n"/>
      <c r="Q236" s="13" t="n"/>
      <c r="R236" s="14" t="n"/>
      <c r="S236" s="14" t="n"/>
      <c r="T236" s="14" t="n"/>
      <c r="U236" s="14" t="n"/>
      <c r="V236" s="13" t="n"/>
      <c r="W236" s="14" t="n"/>
      <c r="X236" s="14" t="n"/>
      <c r="Y236" s="14" t="n"/>
      <c r="Z236" s="15" t="n"/>
      <c r="AA236" s="15" t="n"/>
      <c r="AB236" s="13" t="n"/>
      <c r="AC236" s="14" t="n"/>
      <c r="AD236" s="14" t="n"/>
      <c r="AH236" s="15" t="n"/>
    </row>
    <row r="237">
      <c r="M237" s="13" t="n"/>
      <c r="P237" s="13" t="n"/>
      <c r="Q237" s="13" t="n"/>
      <c r="R237" s="14" t="n"/>
      <c r="S237" s="14" t="n"/>
      <c r="T237" s="14" t="n"/>
      <c r="U237" s="14" t="n"/>
      <c r="V237" s="13" t="n"/>
      <c r="W237" s="14" t="n"/>
      <c r="X237" s="14" t="n"/>
      <c r="Y237" s="14" t="n"/>
      <c r="Z237" s="15" t="n"/>
      <c r="AA237" s="15" t="n"/>
      <c r="AB237" s="13" t="n"/>
      <c r="AC237" s="14" t="n"/>
      <c r="AD237" s="14" t="n"/>
      <c r="AH237" s="15" t="n"/>
    </row>
    <row r="238">
      <c r="M238" s="13" t="n"/>
      <c r="P238" s="13" t="n"/>
      <c r="Q238" s="13" t="n"/>
      <c r="R238" s="14" t="n"/>
      <c r="S238" s="14" t="n"/>
      <c r="T238" s="14" t="n"/>
      <c r="U238" s="14" t="n"/>
      <c r="V238" s="13" t="n"/>
      <c r="W238" s="14" t="n"/>
      <c r="X238" s="14" t="n"/>
      <c r="Y238" s="14" t="n"/>
      <c r="Z238" s="15" t="n"/>
      <c r="AA238" s="15" t="n"/>
      <c r="AB238" s="13" t="n"/>
      <c r="AC238" s="14" t="n"/>
      <c r="AD238" s="14" t="n"/>
      <c r="AH238" s="15" t="n"/>
    </row>
    <row r="239">
      <c r="M239" s="13" t="n"/>
      <c r="P239" s="13" t="n"/>
      <c r="Q239" s="13" t="n"/>
      <c r="R239" s="14" t="n"/>
      <c r="S239" s="14" t="n"/>
      <c r="T239" s="14" t="n"/>
      <c r="U239" s="14" t="n"/>
      <c r="V239" s="13" t="n"/>
      <c r="W239" s="14" t="n"/>
      <c r="X239" s="14" t="n"/>
      <c r="Y239" s="14" t="n"/>
      <c r="Z239" s="15" t="n"/>
      <c r="AA239" s="15" t="n"/>
      <c r="AB239" s="13" t="n"/>
      <c r="AC239" s="14" t="n"/>
      <c r="AD239" s="14" t="n"/>
      <c r="AH239" s="15" t="n"/>
    </row>
    <row r="240">
      <c r="M240" s="13" t="n"/>
      <c r="P240" s="13" t="n"/>
      <c r="Q240" s="13" t="n"/>
      <c r="R240" s="14" t="n"/>
      <c r="S240" s="14" t="n"/>
      <c r="T240" s="14" t="n"/>
      <c r="U240" s="14" t="n"/>
      <c r="V240" s="13" t="n"/>
      <c r="W240" s="14" t="n"/>
      <c r="X240" s="14" t="n"/>
      <c r="Y240" s="14" t="n"/>
      <c r="Z240" s="15" t="n"/>
      <c r="AA240" s="15" t="n"/>
      <c r="AB240" s="13" t="n"/>
      <c r="AC240" s="14" t="n"/>
      <c r="AD240" s="14" t="n"/>
      <c r="AH240" s="15" t="n"/>
    </row>
    <row r="241">
      <c r="M241" s="13" t="n"/>
      <c r="P241" s="13" t="n"/>
      <c r="Q241" s="13" t="n"/>
      <c r="R241" s="14" t="n"/>
      <c r="S241" s="14" t="n"/>
      <c r="T241" s="14" t="n"/>
      <c r="U241" s="14" t="n"/>
      <c r="V241" s="13" t="n"/>
      <c r="W241" s="14" t="n"/>
      <c r="X241" s="14" t="n"/>
      <c r="Y241" s="14" t="n"/>
      <c r="Z241" s="15" t="n"/>
      <c r="AA241" s="15" t="n"/>
      <c r="AB241" s="13" t="n"/>
      <c r="AC241" s="14" t="n"/>
      <c r="AD241" s="14" t="n"/>
      <c r="AH241" s="15" t="n"/>
    </row>
    <row r="242">
      <c r="M242" s="13" t="n"/>
      <c r="P242" s="13" t="n"/>
      <c r="Q242" s="13" t="n"/>
      <c r="R242" s="14" t="n"/>
      <c r="S242" s="14" t="n"/>
      <c r="T242" s="14" t="n"/>
      <c r="U242" s="14" t="n"/>
      <c r="V242" s="13" t="n"/>
      <c r="W242" s="14" t="n"/>
      <c r="X242" s="14" t="n"/>
      <c r="Y242" s="14" t="n"/>
      <c r="Z242" s="15" t="n"/>
      <c r="AA242" s="15" t="n"/>
      <c r="AB242" s="13" t="n"/>
      <c r="AC242" s="14" t="n"/>
      <c r="AD242" s="14" t="n"/>
      <c r="AH242" s="15" t="n"/>
    </row>
    <row r="243">
      <c r="M243" s="13" t="n"/>
      <c r="P243" s="13" t="n"/>
      <c r="Q243" s="13" t="n"/>
      <c r="R243" s="14" t="n"/>
      <c r="S243" s="14" t="n"/>
      <c r="T243" s="14" t="n"/>
      <c r="U243" s="14" t="n"/>
      <c r="V243" s="13" t="n"/>
      <c r="W243" s="14" t="n"/>
      <c r="X243" s="14" t="n"/>
      <c r="Y243" s="14" t="n"/>
      <c r="Z243" s="15" t="n"/>
      <c r="AA243" s="15" t="n"/>
      <c r="AB243" s="13" t="n"/>
      <c r="AC243" s="14" t="n"/>
      <c r="AD243" s="14" t="n"/>
      <c r="AH243" s="15" t="n"/>
    </row>
    <row r="244">
      <c r="M244" s="13" t="n"/>
      <c r="P244" s="13" t="n"/>
      <c r="Q244" s="13" t="n"/>
      <c r="R244" s="14" t="n"/>
      <c r="S244" s="14" t="n"/>
      <c r="T244" s="14" t="n"/>
      <c r="U244" s="14" t="n"/>
      <c r="V244" s="13" t="n"/>
      <c r="W244" s="14" t="n"/>
      <c r="X244" s="14" t="n"/>
      <c r="Y244" s="14" t="n"/>
      <c r="Z244" s="15" t="n"/>
      <c r="AA244" s="15" t="n"/>
      <c r="AB244" s="13" t="n"/>
      <c r="AC244" s="14" t="n"/>
      <c r="AD244" s="14" t="n"/>
      <c r="AH244" s="15" t="n"/>
    </row>
    <row r="245">
      <c r="M245" s="13" t="n"/>
      <c r="P245" s="13" t="n"/>
      <c r="Q245" s="13" t="n"/>
      <c r="R245" s="14" t="n"/>
      <c r="S245" s="14" t="n"/>
      <c r="T245" s="14" t="n"/>
      <c r="U245" s="14" t="n"/>
      <c r="V245" s="13" t="n"/>
      <c r="W245" s="14" t="n"/>
      <c r="X245" s="14" t="n"/>
      <c r="Y245" s="14" t="n"/>
      <c r="Z245" s="15" t="n"/>
      <c r="AA245" s="15" t="n"/>
      <c r="AB245" s="13" t="n"/>
      <c r="AC245" s="14" t="n"/>
      <c r="AD245" s="14" t="n"/>
      <c r="AH245" s="15" t="n"/>
    </row>
    <row r="246">
      <c r="M246" s="13" t="n"/>
      <c r="P246" s="13" t="n"/>
      <c r="Q246" s="13" t="n"/>
      <c r="R246" s="14" t="n"/>
      <c r="S246" s="14" t="n"/>
      <c r="T246" s="14" t="n"/>
      <c r="U246" s="14" t="n"/>
      <c r="V246" s="13" t="n"/>
      <c r="W246" s="14" t="n"/>
      <c r="X246" s="14" t="n"/>
      <c r="Y246" s="14" t="n"/>
      <c r="Z246" s="15" t="n"/>
      <c r="AA246" s="15" t="n"/>
      <c r="AB246" s="13" t="n"/>
      <c r="AC246" s="14" t="n"/>
      <c r="AD246" s="14" t="n"/>
      <c r="AH246" s="15" t="n"/>
    </row>
    <row r="247">
      <c r="M247" s="13" t="n"/>
      <c r="P247" s="13" t="n"/>
      <c r="Q247" s="13" t="n"/>
      <c r="R247" s="14" t="n"/>
      <c r="S247" s="14" t="n"/>
      <c r="T247" s="14" t="n"/>
      <c r="U247" s="14" t="n"/>
      <c r="V247" s="13" t="n"/>
      <c r="W247" s="14" t="n"/>
      <c r="X247" s="14" t="n"/>
      <c r="Y247" s="14" t="n"/>
      <c r="Z247" s="15" t="n"/>
      <c r="AA247" s="15" t="n"/>
      <c r="AB247" s="13" t="n"/>
      <c r="AC247" s="14" t="n"/>
      <c r="AD247" s="14" t="n"/>
      <c r="AH247" s="15" t="n"/>
    </row>
    <row r="248">
      <c r="M248" s="13" t="n"/>
      <c r="P248" s="13" t="n"/>
      <c r="Q248" s="13" t="n"/>
      <c r="R248" s="14" t="n"/>
      <c r="S248" s="14" t="n"/>
      <c r="T248" s="14" t="n"/>
      <c r="U248" s="14" t="n"/>
      <c r="V248" s="13" t="n"/>
      <c r="W248" s="14" t="n"/>
      <c r="X248" s="14" t="n"/>
      <c r="Y248" s="14" t="n"/>
      <c r="Z248" s="15" t="n"/>
      <c r="AA248" s="15" t="n"/>
      <c r="AB248" s="13" t="n"/>
      <c r="AC248" s="14" t="n"/>
      <c r="AD248" s="14" t="n"/>
      <c r="AH248" s="15" t="n"/>
    </row>
    <row r="249">
      <c r="M249" s="13" t="n"/>
      <c r="P249" s="13" t="n"/>
      <c r="Q249" s="13" t="n"/>
      <c r="R249" s="14" t="n"/>
      <c r="S249" s="14" t="n"/>
      <c r="T249" s="14" t="n"/>
      <c r="U249" s="14" t="n"/>
      <c r="V249" s="13" t="n"/>
      <c r="W249" s="14" t="n"/>
      <c r="X249" s="14" t="n"/>
      <c r="Y249" s="14" t="n"/>
      <c r="Z249" s="15" t="n"/>
      <c r="AA249" s="15" t="n"/>
      <c r="AB249" s="13" t="n"/>
      <c r="AC249" s="14" t="n"/>
      <c r="AD249" s="14" t="n"/>
      <c r="AH249" s="15" t="n"/>
    </row>
    <row r="250">
      <c r="M250" s="13" t="n"/>
      <c r="P250" s="13" t="n"/>
      <c r="Q250" s="13" t="n"/>
      <c r="R250" s="14" t="n"/>
      <c r="S250" s="14" t="n"/>
      <c r="T250" s="14" t="n"/>
      <c r="U250" s="14" t="n"/>
      <c r="V250" s="13" t="n"/>
      <c r="W250" s="14" t="n"/>
      <c r="X250" s="14" t="n"/>
      <c r="Y250" s="14" t="n"/>
      <c r="Z250" s="15" t="n"/>
      <c r="AA250" s="15" t="n"/>
      <c r="AB250" s="13" t="n"/>
      <c r="AC250" s="14" t="n"/>
      <c r="AD250" s="14" t="n"/>
      <c r="AH250" s="15" t="n"/>
    </row>
    <row r="251">
      <c r="M251" s="13" t="n"/>
      <c r="P251" s="13" t="n"/>
      <c r="Q251" s="13" t="n"/>
      <c r="R251" s="14" t="n"/>
      <c r="S251" s="14" t="n"/>
      <c r="T251" s="14" t="n"/>
      <c r="U251" s="14" t="n"/>
      <c r="V251" s="13" t="n"/>
      <c r="W251" s="14" t="n"/>
      <c r="X251" s="14" t="n"/>
      <c r="Y251" s="14" t="n"/>
      <c r="Z251" s="15" t="n"/>
      <c r="AA251" s="15" t="n"/>
      <c r="AB251" s="13" t="n"/>
      <c r="AC251" s="14" t="n"/>
      <c r="AD251" s="14" t="n"/>
      <c r="AH251" s="15" t="n"/>
    </row>
    <row r="252">
      <c r="M252" s="13" t="n"/>
      <c r="P252" s="13" t="n"/>
      <c r="Q252" s="13" t="n"/>
      <c r="R252" s="14" t="n"/>
      <c r="S252" s="14" t="n"/>
      <c r="T252" s="14" t="n"/>
      <c r="U252" s="14" t="n"/>
      <c r="V252" s="13" t="n"/>
      <c r="W252" s="14" t="n"/>
      <c r="X252" s="14" t="n"/>
      <c r="Y252" s="14" t="n"/>
      <c r="Z252" s="15" t="n"/>
      <c r="AA252" s="15" t="n"/>
      <c r="AB252" s="13" t="n"/>
      <c r="AC252" s="14" t="n"/>
      <c r="AD252" s="14" t="n"/>
      <c r="AH252" s="15" t="n"/>
    </row>
    <row r="253">
      <c r="M253" s="13" t="n"/>
      <c r="P253" s="13" t="n"/>
      <c r="Q253" s="13" t="n"/>
      <c r="R253" s="14" t="n"/>
      <c r="S253" s="14" t="n"/>
      <c r="T253" s="14" t="n"/>
      <c r="U253" s="14" t="n"/>
      <c r="V253" s="13" t="n"/>
      <c r="W253" s="14" t="n"/>
      <c r="X253" s="14" t="n"/>
      <c r="Y253" s="14" t="n"/>
      <c r="Z253" s="15" t="n"/>
      <c r="AA253" s="15" t="n"/>
      <c r="AB253" s="13" t="n"/>
      <c r="AC253" s="14" t="n"/>
      <c r="AD253" s="14" t="n"/>
      <c r="AH253" s="15" t="n"/>
    </row>
    <row r="254">
      <c r="M254" s="13" t="n"/>
      <c r="P254" s="13" t="n"/>
      <c r="Q254" s="13" t="n"/>
      <c r="R254" s="14" t="n"/>
      <c r="S254" s="14" t="n"/>
      <c r="T254" s="14" t="n"/>
      <c r="U254" s="14" t="n"/>
      <c r="V254" s="13" t="n"/>
      <c r="W254" s="14" t="n"/>
      <c r="X254" s="14" t="n"/>
      <c r="Y254" s="14" t="n"/>
      <c r="Z254" s="15" t="n"/>
      <c r="AA254" s="15" t="n"/>
      <c r="AB254" s="13" t="n"/>
      <c r="AC254" s="14" t="n"/>
      <c r="AD254" s="14" t="n"/>
      <c r="AH254" s="15" t="n"/>
    </row>
    <row r="255">
      <c r="M255" s="13" t="n"/>
      <c r="P255" s="13" t="n"/>
      <c r="Q255" s="13" t="n"/>
      <c r="R255" s="14" t="n"/>
      <c r="S255" s="14" t="n"/>
      <c r="T255" s="14" t="n"/>
      <c r="U255" s="14" t="n"/>
      <c r="V255" s="13" t="n"/>
      <c r="W255" s="14" t="n"/>
      <c r="X255" s="14" t="n"/>
      <c r="Y255" s="14" t="n"/>
      <c r="Z255" s="15" t="n"/>
      <c r="AA255" s="15" t="n"/>
      <c r="AB255" s="13" t="n"/>
      <c r="AC255" s="14" t="n"/>
      <c r="AD255" s="14" t="n"/>
      <c r="AH255" s="15" t="n"/>
    </row>
    <row r="256">
      <c r="M256" s="13" t="n"/>
      <c r="P256" s="13" t="n"/>
      <c r="Q256" s="13" t="n"/>
      <c r="R256" s="14" t="n"/>
      <c r="S256" s="14" t="n"/>
      <c r="T256" s="14" t="n"/>
      <c r="U256" s="14" t="n"/>
      <c r="V256" s="13" t="n"/>
      <c r="W256" s="14" t="n"/>
      <c r="X256" s="14" t="n"/>
      <c r="Y256" s="14" t="n"/>
      <c r="Z256" s="15" t="n"/>
      <c r="AA256" s="15" t="n"/>
      <c r="AB256" s="13" t="n"/>
      <c r="AC256" s="14" t="n"/>
      <c r="AD256" s="14" t="n"/>
      <c r="AH256" s="15" t="n"/>
    </row>
    <row r="257">
      <c r="M257" s="13" t="n"/>
      <c r="P257" s="13" t="n"/>
      <c r="Q257" s="13" t="n"/>
      <c r="R257" s="14" t="n"/>
      <c r="S257" s="14" t="n"/>
      <c r="T257" s="14" t="n"/>
      <c r="U257" s="14" t="n"/>
      <c r="V257" s="13" t="n"/>
      <c r="W257" s="14" t="n"/>
      <c r="X257" s="14" t="n"/>
      <c r="Y257" s="14" t="n"/>
      <c r="Z257" s="15" t="n"/>
      <c r="AA257" s="15" t="n"/>
      <c r="AB257" s="13" t="n"/>
      <c r="AC257" s="14" t="n"/>
      <c r="AD257" s="14" t="n"/>
      <c r="AH257" s="15" t="n"/>
    </row>
    <row r="258">
      <c r="M258" s="13" t="n"/>
      <c r="P258" s="13" t="n"/>
      <c r="Q258" s="13" t="n"/>
      <c r="R258" s="14" t="n"/>
      <c r="S258" s="14" t="n"/>
      <c r="T258" s="14" t="n"/>
      <c r="U258" s="14" t="n"/>
      <c r="V258" s="13" t="n"/>
      <c r="W258" s="14" t="n"/>
      <c r="X258" s="14" t="n"/>
      <c r="Y258" s="14" t="n"/>
      <c r="Z258" s="15" t="n"/>
      <c r="AA258" s="15" t="n"/>
      <c r="AB258" s="13" t="n"/>
      <c r="AC258" s="14" t="n"/>
      <c r="AD258" s="14" t="n"/>
      <c r="AH258" s="15" t="n"/>
    </row>
    <row r="259">
      <c r="M259" s="13" t="n"/>
      <c r="P259" s="13" t="n"/>
      <c r="Q259" s="13" t="n"/>
      <c r="R259" s="14" t="n"/>
      <c r="S259" s="14" t="n"/>
      <c r="T259" s="14" t="n"/>
      <c r="U259" s="14" t="n"/>
      <c r="V259" s="13" t="n"/>
      <c r="W259" s="14" t="n"/>
      <c r="X259" s="14" t="n"/>
      <c r="Y259" s="14" t="n"/>
      <c r="Z259" s="15" t="n"/>
      <c r="AA259" s="15" t="n"/>
      <c r="AB259" s="13" t="n"/>
      <c r="AC259" s="14" t="n"/>
      <c r="AD259" s="14" t="n"/>
      <c r="AH259" s="15" t="n"/>
    </row>
    <row r="260">
      <c r="M260" s="13" t="n"/>
      <c r="P260" s="13" t="n"/>
      <c r="Q260" s="13" t="n"/>
      <c r="R260" s="14" t="n"/>
      <c r="S260" s="14" t="n"/>
      <c r="T260" s="14" t="n"/>
      <c r="U260" s="14" t="n"/>
      <c r="V260" s="13" t="n"/>
      <c r="W260" s="14" t="n"/>
      <c r="X260" s="14" t="n"/>
      <c r="Y260" s="14" t="n"/>
      <c r="Z260" s="15" t="n"/>
      <c r="AA260" s="15" t="n"/>
      <c r="AB260" s="13" t="n"/>
      <c r="AC260" s="14" t="n"/>
      <c r="AD260" s="14" t="n"/>
      <c r="AH260" s="15" t="n"/>
    </row>
    <row r="261">
      <c r="M261" s="13" t="n"/>
      <c r="P261" s="13" t="n"/>
      <c r="Q261" s="13" t="n"/>
      <c r="R261" s="14" t="n"/>
      <c r="S261" s="14" t="n"/>
      <c r="T261" s="14" t="n"/>
      <c r="U261" s="14" t="n"/>
      <c r="V261" s="13" t="n"/>
      <c r="W261" s="14" t="n"/>
      <c r="X261" s="14" t="n"/>
      <c r="Y261" s="14" t="n"/>
      <c r="Z261" s="15" t="n"/>
      <c r="AA261" s="15" t="n"/>
      <c r="AB261" s="13" t="n"/>
      <c r="AC261" s="14" t="n"/>
      <c r="AD261" s="14" t="n"/>
      <c r="AH261" s="15" t="n"/>
    </row>
    <row r="262">
      <c r="M262" s="13" t="n"/>
      <c r="P262" s="13" t="n"/>
      <c r="Q262" s="13" t="n"/>
      <c r="R262" s="14" t="n"/>
      <c r="S262" s="14" t="n"/>
      <c r="T262" s="14" t="n"/>
      <c r="U262" s="14" t="n"/>
      <c r="V262" s="13" t="n"/>
      <c r="W262" s="14" t="n"/>
      <c r="X262" s="14" t="n"/>
      <c r="Y262" s="14" t="n"/>
      <c r="Z262" s="15" t="n"/>
      <c r="AA262" s="15" t="n"/>
      <c r="AB262" s="13" t="n"/>
      <c r="AC262" s="14" t="n"/>
      <c r="AD262" s="14" t="n"/>
      <c r="AH262" s="15" t="n"/>
    </row>
    <row r="263">
      <c r="M263" s="13" t="n"/>
      <c r="P263" s="13" t="n"/>
      <c r="Q263" s="13" t="n"/>
      <c r="R263" s="14" t="n"/>
      <c r="S263" s="14" t="n"/>
      <c r="T263" s="14" t="n"/>
      <c r="U263" s="14" t="n"/>
      <c r="V263" s="13" t="n"/>
      <c r="W263" s="14" t="n"/>
      <c r="X263" s="14" t="n"/>
      <c r="Y263" s="14" t="n"/>
      <c r="Z263" s="15" t="n"/>
      <c r="AA263" s="15" t="n"/>
      <c r="AB263" s="13" t="n"/>
      <c r="AC263" s="14" t="n"/>
      <c r="AD263" s="14" t="n"/>
      <c r="AH263" s="15" t="n"/>
    </row>
    <row r="264">
      <c r="M264" s="13" t="n"/>
      <c r="P264" s="13" t="n"/>
      <c r="Q264" s="13" t="n"/>
      <c r="R264" s="14" t="n"/>
      <c r="S264" s="14" t="n"/>
      <c r="T264" s="14" t="n"/>
      <c r="U264" s="14" t="n"/>
      <c r="V264" s="13" t="n"/>
      <c r="W264" s="14" t="n"/>
      <c r="X264" s="14" t="n"/>
      <c r="Y264" s="14" t="n"/>
      <c r="Z264" s="15" t="n"/>
      <c r="AA264" s="15" t="n"/>
      <c r="AB264" s="13" t="n"/>
      <c r="AC264" s="14" t="n"/>
      <c r="AD264" s="14" t="n"/>
      <c r="AH264" s="15" t="n"/>
    </row>
    <row r="265">
      <c r="M265" s="13" t="n"/>
      <c r="P265" s="13" t="n"/>
      <c r="Q265" s="13" t="n"/>
      <c r="R265" s="14" t="n"/>
      <c r="S265" s="14" t="n"/>
      <c r="T265" s="14" t="n"/>
      <c r="U265" s="14" t="n"/>
      <c r="V265" s="13" t="n"/>
      <c r="W265" s="14" t="n"/>
      <c r="X265" s="14" t="n"/>
      <c r="Y265" s="14" t="n"/>
      <c r="Z265" s="15" t="n"/>
      <c r="AA265" s="15" t="n"/>
      <c r="AB265" s="13" t="n"/>
      <c r="AC265" s="14" t="n"/>
      <c r="AD265" s="14" t="n"/>
      <c r="AH265" s="15" t="n"/>
    </row>
    <row r="266">
      <c r="M266" s="13" t="n"/>
      <c r="P266" s="13" t="n"/>
      <c r="Q266" s="13" t="n"/>
      <c r="R266" s="14" t="n"/>
      <c r="S266" s="14" t="n"/>
      <c r="T266" s="14" t="n"/>
      <c r="U266" s="14" t="n"/>
      <c r="V266" s="13" t="n"/>
      <c r="W266" s="14" t="n"/>
      <c r="X266" s="14" t="n"/>
      <c r="Y266" s="14" t="n"/>
      <c r="Z266" s="15" t="n"/>
      <c r="AA266" s="15" t="n"/>
      <c r="AB266" s="13" t="n"/>
      <c r="AC266" s="14" t="n"/>
      <c r="AD266" s="14" t="n"/>
      <c r="AH266" s="15" t="n"/>
    </row>
    <row r="267">
      <c r="M267" s="13" t="n"/>
      <c r="P267" s="13" t="n"/>
      <c r="Q267" s="13" t="n"/>
      <c r="R267" s="14" t="n"/>
      <c r="S267" s="14" t="n"/>
      <c r="T267" s="14" t="n"/>
      <c r="U267" s="14" t="n"/>
      <c r="V267" s="13" t="n"/>
      <c r="W267" s="14" t="n"/>
      <c r="X267" s="14" t="n"/>
      <c r="Y267" s="14" t="n"/>
      <c r="Z267" s="15" t="n"/>
      <c r="AA267" s="15" t="n"/>
      <c r="AB267" s="13" t="n"/>
      <c r="AC267" s="14" t="n"/>
      <c r="AD267" s="14" t="n"/>
      <c r="AH267" s="15" t="n"/>
    </row>
    <row r="268">
      <c r="M268" s="13" t="n"/>
      <c r="P268" s="13" t="n"/>
      <c r="Q268" s="13" t="n"/>
      <c r="R268" s="14" t="n"/>
      <c r="S268" s="14" t="n"/>
      <c r="T268" s="14" t="n"/>
      <c r="U268" s="14" t="n"/>
      <c r="V268" s="13" t="n"/>
      <c r="W268" s="14" t="n"/>
      <c r="X268" s="14" t="n"/>
      <c r="Y268" s="14" t="n"/>
      <c r="Z268" s="15" t="n"/>
      <c r="AA268" s="15" t="n"/>
      <c r="AB268" s="13" t="n"/>
      <c r="AC268" s="14" t="n"/>
      <c r="AD268" s="14" t="n"/>
      <c r="AH268" s="15" t="n"/>
    </row>
    <row r="269">
      <c r="M269" s="13" t="n"/>
      <c r="P269" s="13" t="n"/>
      <c r="Q269" s="13" t="n"/>
      <c r="R269" s="14" t="n"/>
      <c r="S269" s="14" t="n"/>
      <c r="T269" s="14" t="n"/>
      <c r="U269" s="14" t="n"/>
      <c r="V269" s="13" t="n"/>
      <c r="W269" s="14" t="n"/>
      <c r="X269" s="14" t="n"/>
      <c r="Y269" s="14" t="n"/>
      <c r="Z269" s="15" t="n"/>
      <c r="AA269" s="15" t="n"/>
      <c r="AB269" s="13" t="n"/>
      <c r="AC269" s="14" t="n"/>
      <c r="AD269" s="14" t="n"/>
      <c r="AH269" s="15" t="n"/>
    </row>
    <row r="270">
      <c r="M270" s="13" t="n"/>
      <c r="P270" s="13" t="n"/>
      <c r="Q270" s="13" t="n"/>
      <c r="R270" s="14" t="n"/>
      <c r="S270" s="14" t="n"/>
      <c r="T270" s="14" t="n"/>
      <c r="U270" s="14" t="n"/>
      <c r="V270" s="13" t="n"/>
      <c r="W270" s="14" t="n"/>
      <c r="X270" s="14" t="n"/>
      <c r="Y270" s="14" t="n"/>
      <c r="Z270" s="15" t="n"/>
      <c r="AA270" s="15" t="n"/>
      <c r="AB270" s="13" t="n"/>
      <c r="AC270" s="14" t="n"/>
      <c r="AD270" s="14" t="n"/>
      <c r="AH270" s="15" t="n"/>
    </row>
    <row r="271">
      <c r="M271" s="13" t="n"/>
      <c r="P271" s="13" t="n"/>
      <c r="Q271" s="13" t="n"/>
      <c r="R271" s="14" t="n"/>
      <c r="S271" s="14" t="n"/>
      <c r="T271" s="14" t="n"/>
      <c r="U271" s="14" t="n"/>
      <c r="V271" s="13" t="n"/>
      <c r="W271" s="14" t="n"/>
      <c r="X271" s="14" t="n"/>
      <c r="Y271" s="14" t="n"/>
      <c r="Z271" s="15" t="n"/>
      <c r="AA271" s="15" t="n"/>
      <c r="AB271" s="13" t="n"/>
      <c r="AC271" s="14" t="n"/>
      <c r="AD271" s="14" t="n"/>
      <c r="AH271" s="15" t="n"/>
    </row>
    <row r="272">
      <c r="M272" s="13" t="n"/>
      <c r="P272" s="13" t="n"/>
      <c r="Q272" s="13" t="n"/>
      <c r="R272" s="14" t="n"/>
      <c r="S272" s="14" t="n"/>
      <c r="T272" s="14" t="n"/>
      <c r="U272" s="14" t="n"/>
      <c r="V272" s="13" t="n"/>
      <c r="W272" s="14" t="n"/>
      <c r="X272" s="14" t="n"/>
      <c r="Y272" s="14" t="n"/>
      <c r="Z272" s="15" t="n"/>
      <c r="AA272" s="15" t="n"/>
      <c r="AB272" s="13" t="n"/>
      <c r="AC272" s="14" t="n"/>
      <c r="AD272" s="14" t="n"/>
      <c r="AH272" s="15" t="n"/>
    </row>
    <row r="273">
      <c r="M273" s="13" t="n"/>
      <c r="P273" s="13" t="n"/>
      <c r="Q273" s="13" t="n"/>
      <c r="R273" s="14" t="n"/>
      <c r="S273" s="14" t="n"/>
      <c r="T273" s="14" t="n"/>
      <c r="U273" s="14" t="n"/>
      <c r="V273" s="13" t="n"/>
      <c r="W273" s="14" t="n"/>
      <c r="X273" s="14" t="n"/>
      <c r="Y273" s="14" t="n"/>
      <c r="Z273" s="15" t="n"/>
      <c r="AA273" s="15" t="n"/>
      <c r="AB273" s="13" t="n"/>
      <c r="AC273" s="14" t="n"/>
      <c r="AD273" s="14" t="n"/>
      <c r="AH273" s="15" t="n"/>
    </row>
    <row r="274">
      <c r="M274" s="13" t="n"/>
      <c r="P274" s="13" t="n"/>
      <c r="Q274" s="13" t="n"/>
      <c r="R274" s="14" t="n"/>
      <c r="S274" s="14" t="n"/>
      <c r="T274" s="14" t="n"/>
      <c r="U274" s="14" t="n"/>
      <c r="V274" s="13" t="n"/>
      <c r="W274" s="14" t="n"/>
      <c r="X274" s="14" t="n"/>
      <c r="Y274" s="14" t="n"/>
      <c r="Z274" s="15" t="n"/>
      <c r="AA274" s="15" t="n"/>
      <c r="AB274" s="13" t="n"/>
      <c r="AC274" s="14" t="n"/>
      <c r="AD274" s="14" t="n"/>
      <c r="AH274" s="15" t="n"/>
    </row>
    <row r="275">
      <c r="M275" s="13" t="n"/>
      <c r="P275" s="13" t="n"/>
      <c r="Q275" s="13" t="n"/>
      <c r="R275" s="14" t="n"/>
      <c r="S275" s="14" t="n"/>
      <c r="T275" s="14" t="n"/>
      <c r="U275" s="14" t="n"/>
      <c r="V275" s="13" t="n"/>
      <c r="W275" s="14" t="n"/>
      <c r="X275" s="14" t="n"/>
      <c r="Y275" s="14" t="n"/>
      <c r="Z275" s="15" t="n"/>
      <c r="AA275" s="15" t="n"/>
      <c r="AB275" s="13" t="n"/>
      <c r="AC275" s="14" t="n"/>
      <c r="AD275" s="14" t="n"/>
      <c r="AH275" s="15" t="n"/>
    </row>
    <row r="276">
      <c r="M276" s="13" t="n"/>
      <c r="P276" s="13" t="n"/>
      <c r="Q276" s="13" t="n"/>
      <c r="R276" s="14" t="n"/>
      <c r="S276" s="14" t="n"/>
      <c r="T276" s="14" t="n"/>
      <c r="U276" s="14" t="n"/>
      <c r="V276" s="13" t="n"/>
      <c r="W276" s="14" t="n"/>
      <c r="X276" s="14" t="n"/>
      <c r="Y276" s="14" t="n"/>
      <c r="Z276" s="15" t="n"/>
      <c r="AA276" s="15" t="n"/>
      <c r="AB276" s="13" t="n"/>
      <c r="AC276" s="14" t="n"/>
      <c r="AD276" s="14" t="n"/>
      <c r="AH276" s="15" t="n"/>
    </row>
    <row r="277">
      <c r="M277" s="13" t="n"/>
      <c r="P277" s="13" t="n"/>
      <c r="Q277" s="13" t="n"/>
      <c r="R277" s="14" t="n"/>
      <c r="S277" s="14" t="n"/>
      <c r="T277" s="14" t="n"/>
      <c r="U277" s="14" t="n"/>
      <c r="V277" s="13" t="n"/>
      <c r="W277" s="14" t="n"/>
      <c r="X277" s="14" t="n"/>
      <c r="Y277" s="14" t="n"/>
      <c r="Z277" s="15" t="n"/>
      <c r="AA277" s="15" t="n"/>
      <c r="AB277" s="13" t="n"/>
      <c r="AC277" s="14" t="n"/>
      <c r="AD277" s="14" t="n"/>
      <c r="AH277" s="15" t="n"/>
    </row>
    <row r="278">
      <c r="M278" s="13" t="n"/>
      <c r="P278" s="13" t="n"/>
      <c r="Q278" s="13" t="n"/>
      <c r="R278" s="14" t="n"/>
      <c r="S278" s="14" t="n"/>
      <c r="T278" s="14" t="n"/>
      <c r="U278" s="14" t="n"/>
      <c r="V278" s="13" t="n"/>
      <c r="W278" s="14" t="n"/>
      <c r="X278" s="14" t="n"/>
      <c r="Y278" s="14" t="n"/>
      <c r="Z278" s="15" t="n"/>
      <c r="AA278" s="15" t="n"/>
      <c r="AB278" s="13" t="n"/>
      <c r="AC278" s="14" t="n"/>
      <c r="AD278" s="14" t="n"/>
      <c r="AH278" s="15" t="n"/>
    </row>
    <row r="279">
      <c r="M279" s="13" t="n"/>
      <c r="P279" s="13" t="n"/>
      <c r="Q279" s="13" t="n"/>
      <c r="R279" s="14" t="n"/>
      <c r="S279" s="14" t="n"/>
      <c r="T279" s="14" t="n"/>
      <c r="U279" s="14" t="n"/>
      <c r="V279" s="13" t="n"/>
      <c r="W279" s="14" t="n"/>
      <c r="X279" s="14" t="n"/>
      <c r="Y279" s="14" t="n"/>
      <c r="Z279" s="15" t="n"/>
      <c r="AA279" s="15" t="n"/>
      <c r="AB279" s="13" t="n"/>
      <c r="AC279" s="14" t="n"/>
      <c r="AD279" s="14" t="n"/>
      <c r="AH279" s="15" t="n"/>
    </row>
    <row r="280">
      <c r="M280" s="13" t="n"/>
      <c r="P280" s="13" t="n"/>
      <c r="Q280" s="13" t="n"/>
      <c r="R280" s="14" t="n"/>
      <c r="S280" s="14" t="n"/>
      <c r="T280" s="14" t="n"/>
      <c r="U280" s="14" t="n"/>
      <c r="V280" s="13" t="n"/>
      <c r="W280" s="14" t="n"/>
      <c r="X280" s="14" t="n"/>
      <c r="Y280" s="14" t="n"/>
      <c r="Z280" s="15" t="n"/>
      <c r="AA280" s="15" t="n"/>
      <c r="AB280" s="13" t="n"/>
      <c r="AC280" s="14" t="n"/>
      <c r="AD280" s="14" t="n"/>
      <c r="AH280" s="15" t="n"/>
    </row>
    <row r="281">
      <c r="M281" s="13" t="n"/>
      <c r="P281" s="13" t="n"/>
      <c r="Q281" s="13" t="n"/>
      <c r="R281" s="14" t="n"/>
      <c r="S281" s="14" t="n"/>
      <c r="T281" s="14" t="n"/>
      <c r="U281" s="14" t="n"/>
      <c r="V281" s="13" t="n"/>
      <c r="W281" s="14" t="n"/>
      <c r="X281" s="14" t="n"/>
      <c r="Y281" s="14" t="n"/>
      <c r="Z281" s="15" t="n"/>
      <c r="AA281" s="15" t="n"/>
      <c r="AB281" s="13" t="n"/>
      <c r="AC281" s="14" t="n"/>
      <c r="AD281" s="14" t="n"/>
      <c r="AH281" s="15" t="n"/>
    </row>
    <row r="282">
      <c r="M282" s="13" t="n"/>
      <c r="P282" s="13" t="n"/>
      <c r="Q282" s="13" t="n"/>
      <c r="R282" s="14" t="n"/>
      <c r="S282" s="14" t="n"/>
      <c r="T282" s="14" t="n"/>
      <c r="U282" s="14" t="n"/>
      <c r="V282" s="13" t="n"/>
      <c r="W282" s="14" t="n"/>
      <c r="X282" s="14" t="n"/>
      <c r="Y282" s="14" t="n"/>
      <c r="Z282" s="15" t="n"/>
      <c r="AA282" s="15" t="n"/>
      <c r="AB282" s="13" t="n"/>
      <c r="AC282" s="14" t="n"/>
      <c r="AD282" s="14" t="n"/>
      <c r="AH282" s="15" t="n"/>
    </row>
    <row r="283">
      <c r="M283" s="13" t="n"/>
      <c r="P283" s="13" t="n"/>
      <c r="Q283" s="13" t="n"/>
      <c r="R283" s="14" t="n"/>
      <c r="S283" s="14" t="n"/>
      <c r="T283" s="14" t="n"/>
      <c r="U283" s="14" t="n"/>
      <c r="V283" s="13" t="n"/>
      <c r="W283" s="14" t="n"/>
      <c r="X283" s="14" t="n"/>
      <c r="Y283" s="14" t="n"/>
      <c r="Z283" s="15" t="n"/>
      <c r="AA283" s="15" t="n"/>
      <c r="AB283" s="13" t="n"/>
      <c r="AC283" s="14" t="n"/>
      <c r="AD283" s="14" t="n"/>
      <c r="AH283" s="15" t="n"/>
    </row>
    <row r="284">
      <c r="M284" s="13" t="n"/>
      <c r="P284" s="13" t="n"/>
      <c r="Q284" s="13" t="n"/>
      <c r="R284" s="14" t="n"/>
      <c r="S284" s="14" t="n"/>
      <c r="T284" s="14" t="n"/>
      <c r="U284" s="14" t="n"/>
      <c r="V284" s="13" t="n"/>
      <c r="W284" s="14" t="n"/>
      <c r="X284" s="14" t="n"/>
      <c r="Y284" s="14" t="n"/>
      <c r="Z284" s="15" t="n"/>
      <c r="AA284" s="15" t="n"/>
      <c r="AB284" s="13" t="n"/>
      <c r="AC284" s="14" t="n"/>
      <c r="AD284" s="14" t="n"/>
      <c r="AH284" s="15" t="n"/>
    </row>
    <row r="285">
      <c r="M285" s="13" t="n"/>
      <c r="P285" s="13" t="n"/>
      <c r="Q285" s="13" t="n"/>
      <c r="R285" s="14" t="n"/>
      <c r="S285" s="14" t="n"/>
      <c r="T285" s="14" t="n"/>
      <c r="U285" s="14" t="n"/>
      <c r="V285" s="13" t="n"/>
      <c r="W285" s="14" t="n"/>
      <c r="X285" s="14" t="n"/>
      <c r="Y285" s="14" t="n"/>
      <c r="Z285" s="15" t="n"/>
      <c r="AA285" s="15" t="n"/>
      <c r="AB285" s="13" t="n"/>
      <c r="AC285" s="14" t="n"/>
      <c r="AD285" s="14" t="n"/>
      <c r="AH285" s="15" t="n"/>
    </row>
    <row r="286">
      <c r="M286" s="13" t="n"/>
      <c r="P286" s="13" t="n"/>
      <c r="Q286" s="13" t="n"/>
      <c r="R286" s="14" t="n"/>
      <c r="S286" s="14" t="n"/>
      <c r="T286" s="14" t="n"/>
      <c r="U286" s="14" t="n"/>
      <c r="V286" s="13" t="n"/>
      <c r="W286" s="14" t="n"/>
      <c r="X286" s="14" t="n"/>
      <c r="Y286" s="14" t="n"/>
      <c r="Z286" s="15" t="n"/>
      <c r="AA286" s="15" t="n"/>
      <c r="AB286" s="13" t="n"/>
      <c r="AC286" s="14" t="n"/>
      <c r="AD286" s="14" t="n"/>
      <c r="AH286" s="15" t="n"/>
    </row>
    <row r="287">
      <c r="M287" s="13" t="n"/>
      <c r="P287" s="13" t="n"/>
      <c r="Q287" s="13" t="n"/>
      <c r="R287" s="14" t="n"/>
      <c r="S287" s="14" t="n"/>
      <c r="T287" s="14" t="n"/>
      <c r="U287" s="14" t="n"/>
      <c r="V287" s="13" t="n"/>
      <c r="W287" s="14" t="n"/>
      <c r="X287" s="14" t="n"/>
      <c r="Y287" s="14" t="n"/>
      <c r="Z287" s="15" t="n"/>
      <c r="AA287" s="15" t="n"/>
      <c r="AB287" s="13" t="n"/>
      <c r="AC287" s="14" t="n"/>
      <c r="AD287" s="14" t="n"/>
      <c r="AH287" s="15" t="n"/>
    </row>
    <row r="288">
      <c r="M288" s="13" t="n"/>
      <c r="P288" s="13" t="n"/>
      <c r="Q288" s="13" t="n"/>
      <c r="R288" s="14" t="n"/>
      <c r="S288" s="14" t="n"/>
      <c r="T288" s="14" t="n"/>
      <c r="U288" s="14" t="n"/>
      <c r="V288" s="13" t="n"/>
      <c r="W288" s="14" t="n"/>
      <c r="X288" s="14" t="n"/>
      <c r="Y288" s="14" t="n"/>
      <c r="Z288" s="15" t="n"/>
      <c r="AA288" s="15" t="n"/>
      <c r="AB288" s="13" t="n"/>
      <c r="AC288" s="14" t="n"/>
      <c r="AD288" s="14" t="n"/>
      <c r="AH288" s="15" t="n"/>
    </row>
    <row r="289">
      <c r="M289" s="13" t="n"/>
      <c r="P289" s="13" t="n"/>
      <c r="Q289" s="13" t="n"/>
      <c r="R289" s="14" t="n"/>
      <c r="S289" s="14" t="n"/>
      <c r="T289" s="14" t="n"/>
      <c r="U289" s="14" t="n"/>
      <c r="V289" s="13" t="n"/>
      <c r="W289" s="14" t="n"/>
      <c r="X289" s="14" t="n"/>
      <c r="Y289" s="14" t="n"/>
      <c r="Z289" s="15" t="n"/>
      <c r="AA289" s="15" t="n"/>
      <c r="AB289" s="13" t="n"/>
      <c r="AC289" s="14" t="n"/>
      <c r="AD289" s="14" t="n"/>
      <c r="AH289" s="15" t="n"/>
    </row>
    <row r="290">
      <c r="M290" s="13" t="n"/>
      <c r="P290" s="13" t="n"/>
      <c r="Q290" s="13" t="n"/>
      <c r="R290" s="14" t="n"/>
      <c r="S290" s="14" t="n"/>
      <c r="T290" s="14" t="n"/>
      <c r="U290" s="14" t="n"/>
      <c r="V290" s="13" t="n"/>
      <c r="W290" s="14" t="n"/>
      <c r="X290" s="14" t="n"/>
      <c r="Y290" s="14" t="n"/>
      <c r="Z290" s="15" t="n"/>
      <c r="AA290" s="15" t="n"/>
      <c r="AB290" s="13" t="n"/>
      <c r="AC290" s="14" t="n"/>
      <c r="AD290" s="14" t="n"/>
      <c r="AH290" s="15" t="n"/>
    </row>
    <row r="291">
      <c r="M291" s="13" t="n"/>
      <c r="P291" s="13" t="n"/>
      <c r="Q291" s="13" t="n"/>
      <c r="R291" s="14" t="n"/>
      <c r="S291" s="14" t="n"/>
      <c r="T291" s="14" t="n"/>
      <c r="U291" s="14" t="n"/>
      <c r="V291" s="13" t="n"/>
      <c r="W291" s="14" t="n"/>
      <c r="X291" s="14" t="n"/>
      <c r="Y291" s="14" t="n"/>
      <c r="Z291" s="15" t="n"/>
      <c r="AA291" s="15" t="n"/>
      <c r="AB291" s="13" t="n"/>
      <c r="AC291" s="14" t="n"/>
      <c r="AD291" s="14" t="n"/>
      <c r="AH291" s="15" t="n"/>
    </row>
    <row r="292">
      <c r="M292" s="13" t="n"/>
      <c r="P292" s="13" t="n"/>
      <c r="Q292" s="13" t="n"/>
      <c r="R292" s="14" t="n"/>
      <c r="S292" s="14" t="n"/>
      <c r="T292" s="14" t="n"/>
      <c r="U292" s="14" t="n"/>
      <c r="V292" s="13" t="n"/>
      <c r="W292" s="14" t="n"/>
      <c r="X292" s="14" t="n"/>
      <c r="Y292" s="14" t="n"/>
      <c r="Z292" s="15" t="n"/>
      <c r="AA292" s="15" t="n"/>
      <c r="AB292" s="13" t="n"/>
      <c r="AC292" s="14" t="n"/>
      <c r="AD292" s="14" t="n"/>
      <c r="AH292" s="15" t="n"/>
    </row>
    <row r="293">
      <c r="M293" s="13" t="n"/>
      <c r="P293" s="13" t="n"/>
      <c r="Q293" s="13" t="n"/>
      <c r="R293" s="14" t="n"/>
      <c r="S293" s="14" t="n"/>
      <c r="T293" s="14" t="n"/>
      <c r="U293" s="14" t="n"/>
      <c r="V293" s="13" t="n"/>
      <c r="W293" s="14" t="n"/>
      <c r="X293" s="14" t="n"/>
      <c r="Y293" s="14" t="n"/>
      <c r="Z293" s="15" t="n"/>
      <c r="AA293" s="15" t="n"/>
      <c r="AB293" s="13" t="n"/>
      <c r="AC293" s="14" t="n"/>
      <c r="AD293" s="14" t="n"/>
      <c r="AH293" s="15" t="n"/>
    </row>
    <row r="294">
      <c r="M294" s="13" t="n"/>
      <c r="P294" s="13" t="n"/>
      <c r="Q294" s="13" t="n"/>
      <c r="R294" s="14" t="n"/>
      <c r="S294" s="14" t="n"/>
      <c r="T294" s="14" t="n"/>
      <c r="U294" s="14" t="n"/>
      <c r="V294" s="13" t="n"/>
      <c r="W294" s="14" t="n"/>
      <c r="X294" s="14" t="n"/>
      <c r="Y294" s="14" t="n"/>
      <c r="Z294" s="15" t="n"/>
      <c r="AA294" s="15" t="n"/>
      <c r="AB294" s="13" t="n"/>
      <c r="AC294" s="14" t="n"/>
      <c r="AD294" s="14" t="n"/>
      <c r="AH294" s="15" t="n"/>
    </row>
    <row r="295">
      <c r="M295" s="13" t="n"/>
      <c r="P295" s="13" t="n"/>
      <c r="Q295" s="13" t="n"/>
      <c r="R295" s="14" t="n"/>
      <c r="S295" s="14" t="n"/>
      <c r="T295" s="14" t="n"/>
      <c r="U295" s="14" t="n"/>
      <c r="V295" s="13" t="n"/>
      <c r="W295" s="14" t="n"/>
      <c r="X295" s="14" t="n"/>
      <c r="Y295" s="14" t="n"/>
      <c r="Z295" s="15" t="n"/>
      <c r="AA295" s="15" t="n"/>
      <c r="AB295" s="13" t="n"/>
      <c r="AC295" s="14" t="n"/>
      <c r="AD295" s="14" t="n"/>
      <c r="AH295" s="15" t="n"/>
    </row>
    <row r="296">
      <c r="M296" s="13" t="n"/>
      <c r="P296" s="13" t="n"/>
      <c r="Q296" s="13" t="n"/>
      <c r="R296" s="14" t="n"/>
      <c r="S296" s="14" t="n"/>
      <c r="T296" s="14" t="n"/>
      <c r="U296" s="14" t="n"/>
      <c r="V296" s="13" t="n"/>
      <c r="W296" s="14" t="n"/>
      <c r="X296" s="14" t="n"/>
      <c r="Y296" s="14" t="n"/>
      <c r="Z296" s="15" t="n"/>
      <c r="AA296" s="15" t="n"/>
      <c r="AB296" s="13" t="n"/>
      <c r="AC296" s="14" t="n"/>
      <c r="AD296" s="14" t="n"/>
      <c r="AH296" s="15" t="n"/>
    </row>
    <row r="297">
      <c r="M297" s="13" t="n"/>
      <c r="P297" s="13" t="n"/>
      <c r="Q297" s="13" t="n"/>
      <c r="R297" s="14" t="n"/>
      <c r="S297" s="14" t="n"/>
      <c r="T297" s="14" t="n"/>
      <c r="U297" s="14" t="n"/>
      <c r="V297" s="13" t="n"/>
      <c r="W297" s="14" t="n"/>
      <c r="X297" s="14" t="n"/>
      <c r="Y297" s="14" t="n"/>
      <c r="Z297" s="15" t="n"/>
      <c r="AA297" s="15" t="n"/>
      <c r="AB297" s="13" t="n"/>
      <c r="AC297" s="14" t="n"/>
      <c r="AD297" s="14" t="n"/>
      <c r="AH297" s="15" t="n"/>
    </row>
    <row r="298">
      <c r="M298" s="13" t="n"/>
      <c r="P298" s="13" t="n"/>
      <c r="Q298" s="13" t="n"/>
      <c r="R298" s="14" t="n"/>
      <c r="S298" s="14" t="n"/>
      <c r="T298" s="14" t="n"/>
      <c r="U298" s="14" t="n"/>
      <c r="V298" s="13" t="n"/>
      <c r="W298" s="14" t="n"/>
      <c r="X298" s="14" t="n"/>
      <c r="Y298" s="14" t="n"/>
      <c r="Z298" s="15" t="n"/>
      <c r="AA298" s="15" t="n"/>
      <c r="AB298" s="13" t="n"/>
      <c r="AC298" s="14" t="n"/>
      <c r="AD298" s="14" t="n"/>
      <c r="AH298" s="15" t="n"/>
    </row>
    <row r="299">
      <c r="M299" s="13" t="n"/>
      <c r="P299" s="13" t="n"/>
      <c r="Q299" s="13" t="n"/>
      <c r="R299" s="14" t="n"/>
      <c r="S299" s="14" t="n"/>
      <c r="T299" s="14" t="n"/>
      <c r="U299" s="14" t="n"/>
      <c r="V299" s="13" t="n"/>
      <c r="W299" s="14" t="n"/>
      <c r="X299" s="14" t="n"/>
      <c r="Y299" s="14" t="n"/>
      <c r="Z299" s="15" t="n"/>
      <c r="AA299" s="15" t="n"/>
      <c r="AB299" s="13" t="n"/>
      <c r="AC299" s="14" t="n"/>
      <c r="AD299" s="14" t="n"/>
      <c r="AH299" s="15" t="n"/>
    </row>
    <row r="300">
      <c r="M300" s="13" t="n"/>
      <c r="P300" s="13" t="n"/>
      <c r="Q300" s="13" t="n"/>
      <c r="R300" s="14" t="n"/>
      <c r="S300" s="14" t="n"/>
      <c r="T300" s="14" t="n"/>
      <c r="U300" s="14" t="n"/>
      <c r="V300" s="13" t="n"/>
      <c r="W300" s="14" t="n"/>
      <c r="X300" s="14" t="n"/>
      <c r="Y300" s="14" t="n"/>
      <c r="Z300" s="15" t="n"/>
      <c r="AA300" s="15" t="n"/>
      <c r="AB300" s="13" t="n"/>
      <c r="AC300" s="14" t="n"/>
      <c r="AD300" s="14" t="n"/>
      <c r="AH300" s="15" t="n"/>
    </row>
    <row r="301">
      <c r="M301" s="13" t="n"/>
      <c r="P301" s="13" t="n"/>
      <c r="Q301" s="13" t="n"/>
      <c r="R301" s="14" t="n"/>
      <c r="S301" s="14" t="n"/>
      <c r="T301" s="14" t="n"/>
      <c r="U301" s="14" t="n"/>
      <c r="V301" s="13" t="n"/>
      <c r="W301" s="14" t="n"/>
      <c r="X301" s="14" t="n"/>
      <c r="Y301" s="14" t="n"/>
      <c r="Z301" s="15" t="n"/>
      <c r="AA301" s="15" t="n"/>
      <c r="AB301" s="13" t="n"/>
      <c r="AC301" s="14" t="n"/>
      <c r="AD301" s="14" t="n"/>
      <c r="AH301" s="15" t="n"/>
    </row>
    <row r="302">
      <c r="M302" s="13" t="n"/>
      <c r="P302" s="13" t="n"/>
      <c r="Q302" s="13" t="n"/>
      <c r="R302" s="14" t="n"/>
      <c r="S302" s="14" t="n"/>
      <c r="T302" s="14" t="n"/>
      <c r="U302" s="14" t="n"/>
      <c r="V302" s="13" t="n"/>
      <c r="W302" s="14" t="n"/>
      <c r="X302" s="14" t="n"/>
      <c r="Y302" s="14" t="n"/>
      <c r="Z302" s="15" t="n"/>
      <c r="AA302" s="15" t="n"/>
      <c r="AB302" s="13" t="n"/>
      <c r="AC302" s="14" t="n"/>
      <c r="AD302" s="14" t="n"/>
      <c r="AH302" s="15" t="n"/>
    </row>
    <row r="303">
      <c r="M303" s="13" t="n"/>
      <c r="P303" s="13" t="n"/>
      <c r="Q303" s="13" t="n"/>
      <c r="R303" s="14" t="n"/>
      <c r="S303" s="14" t="n"/>
      <c r="T303" s="14" t="n"/>
      <c r="U303" s="14" t="n"/>
      <c r="V303" s="13" t="n"/>
      <c r="W303" s="14" t="n"/>
      <c r="X303" s="14" t="n"/>
      <c r="Y303" s="14" t="n"/>
      <c r="Z303" s="15" t="n"/>
      <c r="AA303" s="15" t="n"/>
      <c r="AB303" s="13" t="n"/>
      <c r="AC303" s="14" t="n"/>
      <c r="AD303" s="14" t="n"/>
      <c r="AH303" s="15" t="n"/>
    </row>
    <row r="304">
      <c r="M304" s="13" t="n"/>
      <c r="P304" s="13" t="n"/>
      <c r="Q304" s="13" t="n"/>
      <c r="R304" s="14" t="n"/>
      <c r="S304" s="14" t="n"/>
      <c r="T304" s="14" t="n"/>
      <c r="U304" s="14" t="n"/>
      <c r="V304" s="13" t="n"/>
      <c r="W304" s="14" t="n"/>
      <c r="X304" s="14" t="n"/>
      <c r="Y304" s="14" t="n"/>
      <c r="Z304" s="15" t="n"/>
      <c r="AA304" s="15" t="n"/>
      <c r="AB304" s="13" t="n"/>
      <c r="AC304" s="14" t="n"/>
      <c r="AD304" s="14" t="n"/>
      <c r="AH304" s="15" t="n"/>
    </row>
    <row r="305">
      <c r="M305" s="13" t="n"/>
      <c r="P305" s="13" t="n"/>
      <c r="Q305" s="13" t="n"/>
      <c r="R305" s="14" t="n"/>
      <c r="S305" s="14" t="n"/>
      <c r="T305" s="14" t="n"/>
      <c r="U305" s="14" t="n"/>
      <c r="V305" s="13" t="n"/>
      <c r="W305" s="14" t="n"/>
      <c r="X305" s="14" t="n"/>
      <c r="Y305" s="14" t="n"/>
      <c r="Z305" s="15" t="n"/>
      <c r="AA305" s="15" t="n"/>
      <c r="AB305" s="13" t="n"/>
      <c r="AC305" s="14" t="n"/>
      <c r="AD305" s="14" t="n"/>
      <c r="AH305" s="15" t="n"/>
    </row>
    <row r="306">
      <c r="M306" s="13" t="n"/>
      <c r="P306" s="13" t="n"/>
      <c r="Q306" s="13" t="n"/>
      <c r="R306" s="14" t="n"/>
      <c r="S306" s="14" t="n"/>
      <c r="T306" s="14" t="n"/>
      <c r="U306" s="14" t="n"/>
      <c r="V306" s="13" t="n"/>
      <c r="W306" s="14" t="n"/>
      <c r="X306" s="14" t="n"/>
      <c r="Y306" s="14" t="n"/>
      <c r="Z306" s="15" t="n"/>
      <c r="AA306" s="15" t="n"/>
      <c r="AB306" s="13" t="n"/>
      <c r="AC306" s="14" t="n"/>
      <c r="AD306" s="14" t="n"/>
      <c r="AH306" s="15" t="n"/>
    </row>
    <row r="307">
      <c r="M307" s="13" t="n"/>
      <c r="P307" s="13" t="n"/>
      <c r="Q307" s="13" t="n"/>
      <c r="R307" s="14" t="n"/>
      <c r="S307" s="14" t="n"/>
      <c r="T307" s="14" t="n"/>
      <c r="U307" s="14" t="n"/>
      <c r="V307" s="13" t="n"/>
      <c r="W307" s="14" t="n"/>
      <c r="X307" s="14" t="n"/>
      <c r="Y307" s="14" t="n"/>
      <c r="Z307" s="15" t="n"/>
      <c r="AA307" s="15" t="n"/>
      <c r="AB307" s="13" t="n"/>
      <c r="AC307" s="14" t="n"/>
      <c r="AD307" s="14" t="n"/>
      <c r="AH307" s="15" t="n"/>
    </row>
  </sheetData>
  <conditionalFormatting sqref="K2:K5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C2:C4">
    <cfRule type="cellIs" priority="3" operator="lessThan" dxfId="0">
      <formula>B2*0.5</formula>
    </cfRule>
  </conditionalFormatting>
  <conditionalFormatting sqref="AG8:AG5000">
    <cfRule type="expression" priority="4" dxfId="1">
      <formula>AG8="ЗАШЛО"</formula>
    </cfRule>
    <cfRule type="expression" priority="5" dxfId="0">
      <formula>AG8="НЕ ЗАШЛО"</formula>
    </cfRule>
    <cfRule type="expression" priority="6" dxfId="2">
      <formula>AG8="ВОЗВРАТ"</formula>
    </cfRule>
    <cfRule type="expression" priority="7" dxfId="2">
      <formula>AG8="ОТМЕНА"</formula>
    </cfRule>
    <cfRule type="expression" priority="8" dxfId="3">
      <formula>AG8="ОЖИДАНИЕ"</formula>
    </cfRule>
  </conditionalFormatting>
  <conditionalFormatting sqref="AD8:AD5000">
    <cfRule type="cellIs" priority="9" operator="greaterThan" dxfId="1">
      <formula>0</formula>
    </cfRule>
    <cfRule type="cellIs" priority="10" operator="lessThan" dxfId="0">
      <formula>0</formula>
    </cfRule>
  </conditionalFormatting>
  <dataValidations count="3">
    <dataValidation sqref="H8:H5000" showDropDown="0" showInputMessage="0" showErrorMessage="0" allowBlank="1" type="list">
      <formula1>"Главное,Надёжное,Смелое"</formula1>
    </dataValidation>
    <dataValidation sqref="AG8:AG5000" showDropDown="0" showInputMessage="0" showErrorMessage="0" allowBlank="1" type="list">
      <formula1>"ЗАШЛО,НЕ ЗАШЛО,ВОЗВРАТ,ОЖИДАНИЕ,ОТМЕНА"</formula1>
    </dataValidation>
    <dataValidation sqref="I8:I5000" showDropDown="0" showInputMessage="0" showErrorMessage="0" allowBlank="1" type="list">
      <formula1>"1X2,DC,TOTAL,HCP,TEAM_TOTAL,ML_OT"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6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8" customWidth="1" min="16" max="16"/>
    <col width="9" customWidth="1" min="17" max="17"/>
    <col width="9" customWidth="1" min="18" max="18"/>
    <col width="40" customWidth="1" min="19" max="19"/>
    <col width="10" customWidth="1" min="20" max="20"/>
  </cols>
  <sheetData>
    <row r="1" ht="32" customHeight="1">
      <c r="A1" s="1" t="inlineStr">
        <is>
          <t>Матчей с исходом</t>
        </is>
      </c>
      <c r="B1" s="1" t="inlineStr">
        <is>
          <t>Brier модели (1X2)</t>
        </is>
      </c>
      <c r="C1" s="1" t="inlineStr">
        <is>
          <t>Brier рынка (1X2)</t>
        </is>
      </c>
      <c r="D1" s="1" t="inlineStr">
        <is>
          <t>Log loss модели</t>
        </is>
      </c>
      <c r="E1" s="1" t="inlineStr">
        <is>
          <t>Log loss рынка</t>
        </is>
      </c>
      <c r="F1" s="1" t="inlineStr">
        <is>
          <t>Средняя P(X) модели</t>
        </is>
      </c>
      <c r="G1" s="1" t="inlineStr">
        <is>
          <t>Средняя qX рынка</t>
        </is>
      </c>
      <c r="H1" s="1" t="inlineStr">
        <is>
          <t>Фактическая доля ничьих</t>
        </is>
      </c>
    </row>
    <row r="2">
      <c r="A2" s="16">
        <f>COUNTA($R$6:$R$3000)</f>
        <v/>
      </c>
      <c r="B2" s="7">
        <f>IFERROR(SUMPRODUCT(($R$6:$R$3000&lt;&gt;"")*(($H$6:$H$3000-($R$6:$R$3000="П1"))^2+($I$6:$I$3000-($R$6:$R$3000="X"))^2+($J$6:$J$3000-($R$6:$R$3000="П2"))^2))/A2,"")</f>
        <v/>
      </c>
      <c r="C2" s="7">
        <f>IFERROR(SUMPRODUCT(($R$6:$R$3000&lt;&gt;"")*($N$6:$N$3000&lt;&gt;"")*(($N$6:$N$3000-($R$6:$R$3000="П1"))^2+($O$6:$O$3000-($R$6:$R$3000="X"))^2+($P$6:$P$3000-($R$6:$R$3000="П2"))^2))/SUMPRODUCT(($R$6:$R$3000&lt;&gt;"")*($N$6:$N$3000&lt;&gt;"")),"")</f>
        <v/>
      </c>
      <c r="D2" s="7">
        <f>IFERROR(-SUMPRODUCT(($R$6:$R$3000="П1")*LN($H$6:$H$3000+($R$6:$R$3000&lt;&gt;"П1")+($H$6:$H$3000=""))+($R$6:$R$3000="X")*LN($I$6:$I$3000+($R$6:$R$3000&lt;&gt;"X")+($I$6:$I$3000=""))+($R$6:$R$3000="П2")*LN($J$6:$J$3000+($R$6:$R$3000&lt;&gt;"П2")+($J$6:$J$3000="")))/A2,"")</f>
        <v/>
      </c>
      <c r="E2" s="7">
        <f>IFERROR(-SUMPRODUCT(($R$6:$R$3000&lt;&gt;"")*($N$6:$N$3000&lt;&gt;"")*(($R$6:$R$3000="П1")*LN($N$6:$N$3000+($R$6:$R$3000&lt;&gt;"П1")+($N$6:$N$3000=""))+($R$6:$R$3000="X")*LN($O$6:$O$3000+($R$6:$R$3000&lt;&gt;"X")+($O$6:$O$3000=""))+($R$6:$R$3000="П2")*LN($P$6:$P$3000+($R$6:$R$3000&lt;&gt;"П2")+($P$6:$P$3000=""))))/SUMPRODUCT(($R$6:$R$3000&lt;&gt;"")*($N$6:$N$3000&lt;&gt;"")),"")</f>
        <v/>
      </c>
      <c r="F2" s="5">
        <f>IFERROR(AVERAGE($I$6:$I$3000),"")</f>
        <v/>
      </c>
      <c r="G2" s="5">
        <f>IFERROR(AVERAGE($O$6:$O$3000),"")</f>
        <v/>
      </c>
      <c r="H2" s="5">
        <f>IFERROR(COUNTIF($R$6:$R$3000,"X")/A2,"")</f>
        <v/>
      </c>
    </row>
    <row r="3" ht="45" customHeight="1">
      <c r="A3" s="17" t="inlineStr">
        <is>
          <t>Главная проверка качества — по ВСЕМ матчам, а не только по ставкам: модель полезна, только если её Brier/log loss не хуже рыночного, а средняя P(X) близка к фактической доле ничьих. Исход писать текстом: П1 / X / П2.</t>
        </is>
      </c>
    </row>
    <row r="5" ht="32" customHeight="1">
      <c r="A5" s="1" t="inlineStr">
        <is>
          <t>ID</t>
        </is>
      </c>
      <c r="B5" s="1" t="inlineStr">
        <is>
          <t>Дата</t>
        </is>
      </c>
      <c r="C5" s="1" t="inlineStr">
        <is>
          <t>Хозяева</t>
        </is>
      </c>
      <c r="D5" s="1" t="inlineStr">
        <is>
          <t>Гости</t>
        </is>
      </c>
      <c r="E5" s="1" t="inlineStr">
        <is>
          <t>Источник λ</t>
        </is>
      </c>
      <c r="F5" s="1" t="inlineStr">
        <is>
          <t>λ хозяев</t>
        </is>
      </c>
      <c r="G5" s="1" t="inlineStr">
        <is>
          <t>λ гостей</t>
        </is>
      </c>
      <c r="H5" s="1" t="inlineStr">
        <is>
          <t>P1 60м</t>
        </is>
      </c>
      <c r="I5" s="1" t="inlineStr">
        <is>
          <t>X 60м</t>
        </is>
      </c>
      <c r="J5" s="1" t="inlineStr">
        <is>
          <t>P2 60м</t>
        </is>
      </c>
      <c r="K5" s="1" t="inlineStr">
        <is>
          <t>П1 с ОТ/Б</t>
        </is>
      </c>
      <c r="L5" s="1" t="inlineStr">
        <is>
          <t>П2 с ОТ/Б</t>
        </is>
      </c>
      <c r="M5" s="1" t="inlineStr">
        <is>
          <t>ТМ 5.5</t>
        </is>
      </c>
      <c r="N5" s="1" t="inlineStr">
        <is>
          <t>q1 рынка</t>
        </is>
      </c>
      <c r="O5" s="1" t="inlineStr">
        <is>
          <t>qX рынка</t>
        </is>
      </c>
      <c r="P5" s="1" t="inlineStr">
        <is>
          <t>q2 рынка</t>
        </is>
      </c>
      <c r="Q5" s="1" t="inlineStr">
        <is>
          <t>Счёт 60м</t>
        </is>
      </c>
      <c r="R5" s="1" t="inlineStr">
        <is>
          <t>Исход 60м</t>
        </is>
      </c>
      <c r="S5" s="1" t="inlineStr">
        <is>
          <t>Топ-счета</t>
        </is>
      </c>
      <c r="T5" s="1" t="inlineStr">
        <is>
          <t>80% интервал тотала</t>
        </is>
      </c>
    </row>
    <row r="6">
      <c r="A6" s="4" t="inlineStr">
        <is>
          <t>KHL-2026-09-29-02</t>
        </is>
      </c>
      <c r="B6" s="4" t="inlineStr">
        <is>
          <t>29.09.2026</t>
        </is>
      </c>
      <c r="C6" s="4" t="inlineStr">
        <is>
          <t>ЦСКА</t>
        </is>
      </c>
      <c r="D6" s="4" t="inlineStr">
        <is>
          <t>СКА</t>
        </is>
      </c>
      <c r="E6" s="4" t="inlineStr">
        <is>
          <t>v1 (ретро)</t>
        </is>
      </c>
      <c r="F6" s="6" t="n">
        <v>2.82</v>
      </c>
      <c r="G6" s="6" t="n">
        <v>2.14</v>
      </c>
      <c r="H6" s="5" t="n">
        <v>0.493810601326504</v>
      </c>
      <c r="I6" s="5" t="n">
        <v>0.2311565408897575</v>
      </c>
      <c r="J6" s="5" t="n">
        <v>0.2750328577837384</v>
      </c>
      <c r="K6" s="5" t="n">
        <v>0.6139840401043928</v>
      </c>
      <c r="L6" s="5" t="n">
        <v>0.3860159598956071</v>
      </c>
      <c r="M6" s="5" t="n">
        <v>0.6122871747258015</v>
      </c>
      <c r="N6" s="5" t="n"/>
      <c r="O6" s="5" t="n"/>
      <c r="P6" s="5" t="n"/>
      <c r="Q6" s="4" t="inlineStr">
        <is>
          <t>6:5</t>
        </is>
      </c>
      <c r="R6" s="4" t="inlineStr">
        <is>
          <t>П1</t>
        </is>
      </c>
      <c r="S6" s="4" t="inlineStr">
        <is>
          <t>2:2 (8.3%), 3:1 (5.9%), 3:3 (5.6%), 1:1 (5.5%), 3:2 (4.9%)</t>
        </is>
      </c>
      <c r="T6" s="4" t="inlineStr">
        <is>
          <t>[2, 8]</t>
        </is>
      </c>
    </row>
    <row r="7">
      <c r="A7" s="4" t="inlineStr">
        <is>
          <t>KHL-2026-09-30-01</t>
        </is>
      </c>
      <c r="B7" s="4" t="inlineStr">
        <is>
          <t>30.09.2026</t>
        </is>
      </c>
      <c r="C7" s="4" t="inlineStr">
        <is>
          <t>Автомобилист</t>
        </is>
      </c>
      <c r="D7" s="4" t="inlineStr">
        <is>
          <t>Лада</t>
        </is>
      </c>
      <c r="E7" s="4" t="inlineStr">
        <is>
          <t>v1 (ретро)</t>
        </is>
      </c>
      <c r="F7" s="6" t="n">
        <v>3.15</v>
      </c>
      <c r="G7" s="6" t="n">
        <v>1.7</v>
      </c>
      <c r="H7" s="5" t="n">
        <v>0.6263224016494517</v>
      </c>
      <c r="I7" s="5" t="n">
        <v>0.2021352130568445</v>
      </c>
      <c r="J7" s="5" t="n">
        <v>0.1715423852937037</v>
      </c>
      <c r="K7" s="5" t="n">
        <v>0.736152673857297</v>
      </c>
      <c r="L7" s="5" t="n">
        <v>0.263847326142703</v>
      </c>
      <c r="M7" s="5" t="n">
        <v>0.6348123007780255</v>
      </c>
      <c r="N7" s="5" t="n"/>
      <c r="O7" s="5" t="n"/>
      <c r="P7" s="5" t="n"/>
      <c r="Q7" s="4" t="inlineStr">
        <is>
          <t>3:1</t>
        </is>
      </c>
      <c r="R7" s="4" t="inlineStr">
        <is>
          <t>П1</t>
        </is>
      </c>
      <c r="S7" s="4" t="inlineStr">
        <is>
          <t>2:2 (7.4%), 3:1 (7.3%), 1:1 (5.5%), 2:1 (5.5%), 4:1 (5.1%)</t>
        </is>
      </c>
      <c r="T7" s="4" t="inlineStr">
        <is>
          <t>[2, 8]</t>
        </is>
      </c>
    </row>
    <row r="8">
      <c r="A8" s="4" t="inlineStr">
        <is>
          <t>KHL-2026-09-30-02</t>
        </is>
      </c>
      <c r="B8" s="4" t="inlineStr">
        <is>
          <t>30.09.2026</t>
        </is>
      </c>
      <c r="C8" s="4" t="inlineStr">
        <is>
          <t>Ак Барс</t>
        </is>
      </c>
      <c r="D8" s="4" t="inlineStr">
        <is>
          <t>Барыс</t>
        </is>
      </c>
      <c r="E8" s="4" t="inlineStr">
        <is>
          <t>v1 (ретро)</t>
        </is>
      </c>
      <c r="F8" s="6" t="n">
        <v>3.4</v>
      </c>
      <c r="G8" s="6" t="n">
        <v>1.55</v>
      </c>
      <c r="H8" s="5" t="n">
        <v>0.6906500214508781</v>
      </c>
      <c r="I8" s="5" t="n">
        <v>0.1783152669588552</v>
      </c>
      <c r="J8" s="5" t="n">
        <v>0.1310347115902667</v>
      </c>
      <c r="K8" s="5" t="n">
        <v>0.7894709014680255</v>
      </c>
      <c r="L8" s="5" t="n">
        <v>0.2105290985319745</v>
      </c>
      <c r="M8" s="5" t="n">
        <v>0.6191939181153705</v>
      </c>
      <c r="N8" s="5" t="n"/>
      <c r="O8" s="5" t="n"/>
      <c r="P8" s="5" t="n"/>
      <c r="Q8" s="4" t="inlineStr">
        <is>
          <t>4:1</t>
        </is>
      </c>
      <c r="R8" s="4" t="inlineStr">
        <is>
          <t>П1</t>
        </is>
      </c>
      <c r="S8" s="4" t="inlineStr">
        <is>
          <t>3:1 (7.5%), 2:2 (6.5%), 4:1 (5.8%), 2:1 (5.3%), 4:2 (5.1%)</t>
        </is>
      </c>
      <c r="T8" s="4" t="inlineStr">
        <is>
          <t>[2, 8]</t>
        </is>
      </c>
    </row>
    <row r="9">
      <c r="A9" s="4" t="inlineStr">
        <is>
          <t>KHL-2026-09-30-03</t>
        </is>
      </c>
      <c r="B9" s="4" t="inlineStr">
        <is>
          <t>30.09.2026</t>
        </is>
      </c>
      <c r="C9" s="4" t="inlineStr">
        <is>
          <t>Локомотив</t>
        </is>
      </c>
      <c r="D9" s="4" t="inlineStr">
        <is>
          <t>Сибирь</t>
        </is>
      </c>
      <c r="E9" s="4" t="inlineStr">
        <is>
          <t>v1 (ретро)</t>
        </is>
      </c>
      <c r="F9" s="6" t="n">
        <v>2.8</v>
      </c>
      <c r="G9" s="6" t="n">
        <v>1.4</v>
      </c>
      <c r="H9" s="5" t="n">
        <v>0.6258368714906455</v>
      </c>
      <c r="I9" s="5" t="n">
        <v>0.2150972784116419</v>
      </c>
      <c r="J9" s="5" t="n">
        <v>0.1590658500977129</v>
      </c>
      <c r="K9" s="5" t="n">
        <v>0.7437818791530291</v>
      </c>
      <c r="L9" s="5" t="n">
        <v>0.2562181208469712</v>
      </c>
      <c r="M9" s="5" t="n">
        <v>0.7470986117754648</v>
      </c>
      <c r="N9" s="5" t="n"/>
      <c r="O9" s="5" t="n"/>
      <c r="P9" s="5" t="n"/>
      <c r="Q9" s="4" t="inlineStr">
        <is>
          <t>2:1</t>
        </is>
      </c>
      <c r="R9" s="4" t="inlineStr">
        <is>
          <t>П1</t>
        </is>
      </c>
      <c r="S9" s="4" t="inlineStr">
        <is>
          <t>3:1 (8.1%), 1:1 (7.7%), 2:2 (7.6%), 2:1 (6.8%), 2:0 (6.0%)</t>
        </is>
      </c>
      <c r="T9" s="4" t="inlineStr">
        <is>
          <t>[2, 7]</t>
        </is>
      </c>
    </row>
    <row r="10">
      <c r="A10" s="4" t="inlineStr">
        <is>
          <t>KHL-2026-09-30-04</t>
        </is>
      </c>
      <c r="B10" s="4" t="inlineStr">
        <is>
          <t>30.09.2026</t>
        </is>
      </c>
      <c r="C10" s="4" t="inlineStr">
        <is>
          <t>ХК Сочи</t>
        </is>
      </c>
      <c r="D10" s="4" t="inlineStr">
        <is>
          <t>Салават Юлаев</t>
        </is>
      </c>
      <c r="E10" s="4" t="inlineStr">
        <is>
          <t>v1 (ретро)</t>
        </is>
      </c>
      <c r="F10" s="6" t="n">
        <v>1.95</v>
      </c>
      <c r="G10" s="6" t="n">
        <v>3.1</v>
      </c>
      <c r="H10" s="5" t="n">
        <v>0.2130840019256538</v>
      </c>
      <c r="I10" s="5" t="n">
        <v>0.2132084772847639</v>
      </c>
      <c r="J10" s="5" t="n">
        <v>0.5737075207895825</v>
      </c>
      <c r="K10" s="5" t="n">
        <v>0.3126481388675933</v>
      </c>
      <c r="L10" s="5" t="n">
        <v>0.6873518611324069</v>
      </c>
      <c r="M10" s="5" t="n">
        <v>0.5980486524646883</v>
      </c>
      <c r="N10" s="5" t="n"/>
      <c r="O10" s="5" t="n"/>
      <c r="P10" s="5" t="n"/>
      <c r="Q10" s="4" t="inlineStr">
        <is>
          <t>3:2</t>
        </is>
      </c>
      <c r="R10" s="4" t="inlineStr">
        <is>
          <t>П1</t>
        </is>
      </c>
      <c r="S10" s="4" t="inlineStr">
        <is>
          <t>2:2 (7.7%), 1:3 (6.5%), 3:3 (5.2%), 1:1 (5.1%), 2:4 (5.1%)</t>
        </is>
      </c>
      <c r="T10" s="4" t="inlineStr">
        <is>
          <t>[2, 8]</t>
        </is>
      </c>
    </row>
    <row r="11">
      <c r="A11" s="4" t="inlineStr">
        <is>
          <t>KHL-2026-09-30-05</t>
        </is>
      </c>
      <c r="B11" s="4" t="inlineStr">
        <is>
          <t>30.09.2026</t>
        </is>
      </c>
      <c r="C11" s="4" t="inlineStr">
        <is>
          <t>Шанхайские Драконы</t>
        </is>
      </c>
      <c r="D11" s="4" t="inlineStr">
        <is>
          <t>Металлург Мг</t>
        </is>
      </c>
      <c r="E11" s="4" t="inlineStr">
        <is>
          <t>v1 (ретро)</t>
        </is>
      </c>
      <c r="F11" s="6" t="n">
        <v>2.1</v>
      </c>
      <c r="G11" s="6" t="n">
        <v>3.35</v>
      </c>
      <c r="H11" s="5" t="n">
        <v>0.2096705411914337</v>
      </c>
      <c r="I11" s="5" t="n">
        <v>0.2028492179434062</v>
      </c>
      <c r="J11" s="5" t="n">
        <v>0.58748024086516</v>
      </c>
      <c r="K11" s="5" t="n">
        <v>0.304349017915019</v>
      </c>
      <c r="L11" s="5" t="n">
        <v>0.695650982084981</v>
      </c>
      <c r="M11" s="5" t="n">
        <v>0.5284775836097727</v>
      </c>
      <c r="N11" s="5" t="n"/>
      <c r="O11" s="5" t="n"/>
      <c r="P11" s="5" t="n"/>
      <c r="Q11" s="4" t="inlineStr">
        <is>
          <t>4:1</t>
        </is>
      </c>
      <c r="R11" s="4" t="inlineStr">
        <is>
          <t>П1</t>
        </is>
      </c>
      <c r="S11" s="4" t="inlineStr">
        <is>
          <t>2:2 (7.0%), 1:3 (5.9%), 3:3 (5.5%), 2:4 (5.4%), 2:3 (4.9%)</t>
        </is>
      </c>
      <c r="T11" s="4" t="inlineStr">
        <is>
          <t>[3, 8]</t>
        </is>
      </c>
    </row>
    <row r="12">
      <c r="A12" s="4" t="inlineStr">
        <is>
          <t>KHL-2026-09-30-06</t>
        </is>
      </c>
      <c r="B12" s="4" t="inlineStr">
        <is>
          <t>30.09.2026</t>
        </is>
      </c>
      <c r="C12" s="4" t="inlineStr">
        <is>
          <t>Спартак</t>
        </is>
      </c>
      <c r="D12" s="4" t="inlineStr">
        <is>
          <t>Трактор</t>
        </is>
      </c>
      <c r="E12" s="4" t="inlineStr">
        <is>
          <t>v1 (ретро)</t>
        </is>
      </c>
      <c r="F12" s="6" t="n">
        <v>2.85</v>
      </c>
      <c r="G12" s="6" t="n">
        <v>2.35</v>
      </c>
      <c r="H12" s="5" t="n">
        <v>0.4641187736662942</v>
      </c>
      <c r="I12" s="5" t="n">
        <v>0.2300769288108629</v>
      </c>
      <c r="J12" s="5" t="n">
        <v>0.305804297522843</v>
      </c>
      <c r="K12" s="5" t="n">
        <v>0.5823650414061079</v>
      </c>
      <c r="L12" s="5" t="n">
        <v>0.4176349585938922</v>
      </c>
      <c r="M12" s="5" t="n">
        <v>0.5696919115128725</v>
      </c>
      <c r="N12" s="5" t="n"/>
      <c r="O12" s="5" t="n"/>
      <c r="P12" s="5" t="n"/>
      <c r="Q12" s="4" t="inlineStr">
        <is>
          <t>2:4</t>
        </is>
      </c>
      <c r="R12" s="4" t="inlineStr">
        <is>
          <t>П2</t>
        </is>
      </c>
      <c r="S12" s="4" t="inlineStr">
        <is>
          <t>2:2 (8.1%), 3:3 (6.0%), 3:1 (5.3%), 1:1 (4.8%), 3:2 (4.8%)</t>
        </is>
      </c>
      <c r="T12" s="4" t="inlineStr">
        <is>
          <t>[2, 8]</t>
        </is>
      </c>
    </row>
  </sheetData>
  <mergeCells count="1">
    <mergeCell ref="A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30" customWidth="1" min="3" max="3"/>
    <col width="7" customWidth="1" min="4" max="4"/>
    <col width="11" customWidth="1" min="5" max="5"/>
    <col width="8" customWidth="1" min="6" max="6"/>
    <col width="9" customWidth="1" min="7" max="7"/>
    <col width="8" customWidth="1" min="8" max="8"/>
    <col width="8" customWidth="1" min="9" max="9"/>
    <col width="14" customWidth="1" min="10" max="10"/>
    <col width="8" customWidth="1" min="11" max="11"/>
    <col width="8" customWidth="1" min="12" max="12"/>
    <col width="8" customWidth="1" min="13" max="13"/>
    <col width="10" customWidth="1" min="14" max="14"/>
    <col width="13" customWidth="1" min="15" max="15"/>
    <col width="38" customWidth="1" min="16" max="16"/>
    <col width="10" customWidth="1" min="17" max="17"/>
    <col width="9" customWidth="1" min="18" max="18"/>
    <col width="8" customWidth="1" min="19" max="19"/>
  </cols>
  <sheetData>
    <row r="1">
      <c r="A1" s="18" t="inlineStr">
        <is>
          <t>Пересчёт 21 ставки v1.0 по правилам v2.0</t>
        </is>
      </c>
    </row>
    <row r="2" ht="48" customHeight="1">
      <c r="A2" s="19" t="inlineStr">
        <is>
          <t>λ взяты из v1 (в v2 они считаются по рейтингам команд). q рынка: для главных событий — из журнала v1 (без маржи), для надёжных и смелых — оценка по одному коэффициенту при марже 5% (вторая сторона рынка в v1 не сохранялась). Выборка из 7 матчей ничего не доказывает — пересчёт показывает, как меняется логика отбора.</t>
        </is>
      </c>
    </row>
    <row r="4" ht="32" customHeight="1">
      <c r="A4" s="1" t="inlineStr">
        <is>
          <t>Матч</t>
        </is>
      </c>
      <c r="B4" s="1" t="inlineStr">
        <is>
          <t>Пул v1</t>
        </is>
      </c>
      <c r="C4" s="1" t="inlineStr">
        <is>
          <t>Ставка</t>
        </is>
      </c>
      <c r="D4" s="1" t="inlineStr">
        <is>
          <t>Кэф</t>
        </is>
      </c>
      <c r="E4" s="1" t="inlineStr">
        <is>
          <t>Результат</t>
        </is>
      </c>
      <c r="F4" s="1" t="inlineStr">
        <is>
          <t>p v1</t>
        </is>
      </c>
      <c r="G4" s="1" t="inlineStr">
        <is>
          <t>EV v1 (по модели)</t>
        </is>
      </c>
      <c r="H4" s="1" t="inlineStr">
        <is>
          <t>p модели v2</t>
        </is>
      </c>
      <c r="I4" s="1" t="inlineStr">
        <is>
          <t>q рынка</t>
        </is>
      </c>
      <c r="J4" s="1" t="inlineStr">
        <is>
          <t>Источник q</t>
        </is>
      </c>
      <c r="K4" s="1" t="inlineStr">
        <is>
          <t>p итог v2</t>
        </is>
      </c>
      <c r="L4" s="1" t="inlineStr">
        <is>
          <t>EV v2</t>
        </is>
      </c>
      <c r="M4" s="1" t="inlineStr">
        <is>
          <t>EV худший</t>
        </is>
      </c>
      <c r="N4" s="1" t="inlineStr">
        <is>
          <t>Пул v2</t>
        </is>
      </c>
      <c r="O4" s="1" t="inlineStr">
        <is>
          <t>Решение v2</t>
        </is>
      </c>
      <c r="P4" s="1" t="inlineStr">
        <is>
          <t>Причина</t>
        </is>
      </c>
      <c r="Q4" s="1" t="inlineStr">
        <is>
          <t>P&amp;L v1 (1000)</t>
        </is>
      </c>
      <c r="R4" s="1" t="inlineStr">
        <is>
          <t>Ставка v2</t>
        </is>
      </c>
      <c r="S4" s="1" t="inlineStr">
        <is>
          <t>P&amp;L v2</t>
        </is>
      </c>
    </row>
    <row r="5">
      <c r="A5" s="4" t="inlineStr">
        <is>
          <t>ЦСКА – СКА</t>
        </is>
      </c>
      <c r="B5" s="4" t="inlineStr">
        <is>
          <t>Главное</t>
        </is>
      </c>
      <c r="C5" s="4" t="inlineStr">
        <is>
          <t>ТМ 5.5 (60 мин)</t>
        </is>
      </c>
      <c r="D5" s="4" t="n">
        <v>1.76</v>
      </c>
      <c r="E5" s="4" t="inlineStr">
        <is>
          <t>НЕ ЗАШЛО</t>
        </is>
      </c>
      <c r="F5" s="5" t="n">
        <v>0.6232</v>
      </c>
      <c r="G5" s="5" t="n">
        <v>0.09683200000000003</v>
      </c>
      <c r="H5" s="5" t="n">
        <v>0.6122871747258015</v>
      </c>
      <c r="I5" s="5" t="n">
        <v>0.5417</v>
      </c>
      <c r="J5" s="4" t="inlineStr">
        <is>
          <t>журнал v1</t>
        </is>
      </c>
      <c r="K5" s="5" t="n">
        <v>0.5703030285145101</v>
      </c>
      <c r="L5" s="5" t="n">
        <v>0.003733330185537787</v>
      </c>
      <c r="M5" s="5" t="n">
        <v>-0.03969765702898487</v>
      </c>
      <c r="N5" s="4" t="inlineStr">
        <is>
          <t>Главное</t>
        </is>
      </c>
      <c r="O5" s="4" t="inlineStr">
        <is>
          <t>ПРОПУСК</t>
        </is>
      </c>
      <c r="P5" s="4" t="inlineStr">
        <is>
          <t>EV +0.4% &lt; 3%</t>
        </is>
      </c>
      <c r="Q5" s="3" t="n">
        <v>-1000</v>
      </c>
      <c r="R5" s="3" t="n">
        <v>0</v>
      </c>
      <c r="S5" s="3" t="n">
        <v>0</v>
      </c>
    </row>
    <row r="6">
      <c r="A6" s="4" t="inlineStr">
        <is>
          <t>ЦСКА – СКА</t>
        </is>
      </c>
      <c r="B6" s="4" t="inlineStr">
        <is>
          <t>Надёжное</t>
        </is>
      </c>
      <c r="C6" s="4" t="inlineStr">
        <is>
          <t>1X (60 мин)</t>
        </is>
      </c>
      <c r="D6" s="4" t="n">
        <v>1.32</v>
      </c>
      <c r="E6" s="4" t="inlineStr">
        <is>
          <t>ЗАШЛО</t>
        </is>
      </c>
      <c r="F6" s="5" t="n">
        <v>0.707</v>
      </c>
      <c r="G6" s="5" t="n">
        <v>-0.06676000000000004</v>
      </c>
      <c r="H6" s="5" t="n">
        <v>0.7249671422162615</v>
      </c>
      <c r="I6" s="5" t="n">
        <v>0.7215007215007214</v>
      </c>
      <c r="J6" s="4" t="inlineStr">
        <is>
          <t>оценка, маржа 5%</t>
        </is>
      </c>
      <c r="K6" s="5" t="n">
        <v>0.7228905052051594</v>
      </c>
      <c r="L6" s="5" t="n">
        <v>-0.04578453312918951</v>
      </c>
      <c r="M6" s="5" t="n">
        <v>-0.07123734137401161</v>
      </c>
      <c r="N6" s="4" t="inlineStr">
        <is>
          <t>Надёжное</t>
        </is>
      </c>
      <c r="O6" s="4" t="inlineStr">
        <is>
          <t>ПРОПУСК</t>
        </is>
      </c>
      <c r="P6" s="4" t="inlineStr">
        <is>
          <t>EV -4.6% &lt; 3%; по самой модели v1 EV тоже &lt; 0</t>
        </is>
      </c>
      <c r="Q6" s="3" t="n">
        <v>320.0000000000001</v>
      </c>
      <c r="R6" s="3" t="n">
        <v>0</v>
      </c>
      <c r="S6" s="3" t="n">
        <v>0</v>
      </c>
    </row>
    <row r="7">
      <c r="A7" s="4" t="inlineStr">
        <is>
          <t>ЦСКА – СКА</t>
        </is>
      </c>
      <c r="B7" s="4" t="inlineStr">
        <is>
          <t>Смелое</t>
        </is>
      </c>
      <c r="C7" s="4" t="inlineStr">
        <is>
          <t>П1 ЦСКА (60 мин)</t>
        </is>
      </c>
      <c r="D7" s="4" t="n">
        <v>1.91</v>
      </c>
      <c r="E7" s="4" t="inlineStr">
        <is>
          <t>ЗАШЛО</t>
        </is>
      </c>
      <c r="F7" s="5" t="n">
        <v>0.529</v>
      </c>
      <c r="G7" s="5" t="n">
        <v>0.0103899999999999</v>
      </c>
      <c r="H7" s="5" t="n">
        <v>0.493810601326504</v>
      </c>
      <c r="I7" s="5" t="n">
        <v>0.4986287708800798</v>
      </c>
      <c r="J7" s="4" t="inlineStr">
        <is>
          <t>оценка, маржа 5%</t>
        </is>
      </c>
      <c r="K7" s="5" t="n">
        <v>0.4967014223823488</v>
      </c>
      <c r="L7" s="5" t="n">
        <v>-0.05130028324971381</v>
      </c>
      <c r="M7" s="5" t="n">
        <v>-0.09506389825138029</v>
      </c>
      <c r="N7" s="4" t="inlineStr">
        <is>
          <t>Главное</t>
        </is>
      </c>
      <c r="O7" s="4" t="inlineStr">
        <is>
          <t>ПРОПУСК</t>
        </is>
      </c>
      <c r="P7" s="4" t="inlineStr">
        <is>
          <t>EV -5.1% &lt; 3%</t>
        </is>
      </c>
      <c r="Q7" s="3" t="n">
        <v>909.9999999999999</v>
      </c>
      <c r="R7" s="3" t="n">
        <v>0</v>
      </c>
      <c r="S7" s="3" t="n">
        <v>0</v>
      </c>
    </row>
    <row r="8">
      <c r="A8" s="4" t="inlineStr">
        <is>
          <t>Автомобилист – Лада</t>
        </is>
      </c>
      <c r="B8" s="4" t="inlineStr">
        <is>
          <t>Главное</t>
        </is>
      </c>
      <c r="C8" s="4" t="inlineStr">
        <is>
          <t>П1 Автомобилист (60 мин)</t>
        </is>
      </c>
      <c r="D8" s="4" t="n">
        <v>1.6</v>
      </c>
      <c r="E8" s="4" t="inlineStr">
        <is>
          <t>ЗАШЛО</t>
        </is>
      </c>
      <c r="F8" s="5" t="n">
        <v>0.6635</v>
      </c>
      <c r="G8" s="5" t="n">
        <v>0.0616000000000001</v>
      </c>
      <c r="H8" s="5" t="n">
        <v>0.6263224016494517</v>
      </c>
      <c r="I8" s="5" t="n">
        <v>0.5952</v>
      </c>
      <c r="J8" s="4" t="inlineStr">
        <is>
          <t>журнал v1</t>
        </is>
      </c>
      <c r="K8" s="5" t="n">
        <v>0.6077564710608643</v>
      </c>
      <c r="L8" s="5" t="n">
        <v>-0.02758964630261707</v>
      </c>
      <c r="M8" s="5" t="n">
        <v>-0.06291623061455576</v>
      </c>
      <c r="N8" s="4" t="inlineStr">
        <is>
          <t>Главное</t>
        </is>
      </c>
      <c r="O8" s="4" t="inlineStr">
        <is>
          <t>ПРОПУСК</t>
        </is>
      </c>
      <c r="P8" s="4" t="inlineStr">
        <is>
          <t>EV -2.8% &lt; 3%</t>
        </is>
      </c>
      <c r="Q8" s="3" t="n">
        <v>600.0000000000001</v>
      </c>
      <c r="R8" s="3" t="n">
        <v>0</v>
      </c>
      <c r="S8" s="3" t="n">
        <v>0</v>
      </c>
    </row>
    <row r="9">
      <c r="A9" s="4" t="inlineStr">
        <is>
          <t>Автомобилист – Лада</t>
        </is>
      </c>
      <c r="B9" s="4" t="inlineStr">
        <is>
          <t>Надёжное</t>
        </is>
      </c>
      <c r="C9" s="4" t="inlineStr">
        <is>
          <t>1X (60 мин)</t>
        </is>
      </c>
      <c r="D9" s="4" t="n">
        <v>1.18</v>
      </c>
      <c r="E9" s="4" t="inlineStr">
        <is>
          <t>ЗАШЛО</t>
        </is>
      </c>
      <c r="F9" s="5" t="n">
        <v>0.8179999999999999</v>
      </c>
      <c r="G9" s="5" t="n">
        <v>-0.03476000000000012</v>
      </c>
      <c r="H9" s="5" t="n">
        <v>0.8284576147062962</v>
      </c>
      <c r="I9" s="5" t="n">
        <v>0.8071025020177564</v>
      </c>
      <c r="J9" s="4" t="inlineStr">
        <is>
          <t>оценка, маржа 5%</t>
        </is>
      </c>
      <c r="K9" s="5" t="n">
        <v>0.8158784359345724</v>
      </c>
      <c r="L9" s="5" t="n">
        <v>-0.03726344559720463</v>
      </c>
      <c r="M9" s="5" t="n">
        <v>-0.05524329172602438</v>
      </c>
      <c r="N9" s="4" t="inlineStr">
        <is>
          <t>Надёжное</t>
        </is>
      </c>
      <c r="O9" s="4" t="inlineStr">
        <is>
          <t>ПРОПУСК</t>
        </is>
      </c>
      <c r="P9" s="4" t="inlineStr">
        <is>
          <t>EV -3.7% &lt; 3%; по самой модели v1 EV тоже &lt; 0</t>
        </is>
      </c>
      <c r="Q9" s="3" t="n">
        <v>179.9999999999999</v>
      </c>
      <c r="R9" s="3" t="n">
        <v>0</v>
      </c>
      <c r="S9" s="3" t="n">
        <v>0</v>
      </c>
    </row>
    <row r="10">
      <c r="A10" s="4" t="inlineStr">
        <is>
          <t>Автомобилист – Лада</t>
        </is>
      </c>
      <c r="B10" s="4" t="inlineStr">
        <is>
          <t>Смелое</t>
        </is>
      </c>
      <c r="C10" s="4" t="inlineStr">
        <is>
          <t>Ф1(-1.5) Автомобилист (60 мин)</t>
        </is>
      </c>
      <c r="D10" s="4" t="n">
        <v>2.05</v>
      </c>
      <c r="E10" s="4" t="inlineStr">
        <is>
          <t>ЗАШЛО</t>
        </is>
      </c>
      <c r="F10" s="5" t="n">
        <v>0.478</v>
      </c>
      <c r="G10" s="5" t="n">
        <v>-0.02010000000000012</v>
      </c>
      <c r="H10" s="5" t="n">
        <v>0.4734355939538317</v>
      </c>
      <c r="I10" s="5" t="n">
        <v>0.4645760743321719</v>
      </c>
      <c r="J10" s="4" t="inlineStr">
        <is>
          <t>оценка, маржа 5%</t>
        </is>
      </c>
      <c r="K10" s="5" t="n">
        <v>0.468117515369313</v>
      </c>
      <c r="L10" s="5" t="n">
        <v>-0.04035909349290856</v>
      </c>
      <c r="M10" s="5" t="n">
        <v>-0.08755496469701185</v>
      </c>
      <c r="N10" s="4" t="inlineStr">
        <is>
          <t>Главное</t>
        </is>
      </c>
      <c r="O10" s="4" t="inlineStr">
        <is>
          <t>ПРОПУСК</t>
        </is>
      </c>
      <c r="P10" s="4" t="inlineStr">
        <is>
          <t>EV -4.0% &lt; 3%; по самой модели v1 EV тоже &lt; 0</t>
        </is>
      </c>
      <c r="Q10" s="3" t="n">
        <v>1050</v>
      </c>
      <c r="R10" s="3" t="n">
        <v>0</v>
      </c>
      <c r="S10" s="3" t="n">
        <v>0</v>
      </c>
    </row>
    <row r="11">
      <c r="A11" s="4" t="inlineStr">
        <is>
          <t>Ак Барс – Барыс</t>
        </is>
      </c>
      <c r="B11" s="4" t="inlineStr">
        <is>
          <t>Главное</t>
        </is>
      </c>
      <c r="C11" s="4" t="inlineStr">
        <is>
          <t>П1 Ак Барс (60 мин)</t>
        </is>
      </c>
      <c r="D11" s="4" t="n">
        <v>1.48</v>
      </c>
      <c r="E11" s="4" t="inlineStr">
        <is>
          <t>ЗАШЛО</t>
        </is>
      </c>
      <c r="F11" s="5" t="n">
        <v>0.7282999999999999</v>
      </c>
      <c r="G11" s="5" t="n">
        <v>0.07788399999999984</v>
      </c>
      <c r="H11" s="5" t="n">
        <v>0.6906500214508781</v>
      </c>
      <c r="I11" s="5" t="n">
        <v>0.6435</v>
      </c>
      <c r="J11" s="4" t="inlineStr">
        <is>
          <t>журнал v1</t>
        </is>
      </c>
      <c r="K11" s="5" t="n">
        <v>0.6627596795526567</v>
      </c>
      <c r="L11" s="5" t="n">
        <v>-0.01911567426206806</v>
      </c>
      <c r="M11" s="5" t="n">
        <v>-0.05078280739985963</v>
      </c>
      <c r="N11" s="4" t="inlineStr">
        <is>
          <t>Надёжное</t>
        </is>
      </c>
      <c r="O11" s="4" t="inlineStr">
        <is>
          <t>ПРОПУСК</t>
        </is>
      </c>
      <c r="P11" s="4" t="inlineStr">
        <is>
          <t>EV -1.9% &lt; 3%</t>
        </is>
      </c>
      <c r="Q11" s="3" t="n">
        <v>480</v>
      </c>
      <c r="R11" s="3" t="n">
        <v>0</v>
      </c>
      <c r="S11" s="3" t="n">
        <v>0</v>
      </c>
    </row>
    <row r="12">
      <c r="A12" s="4" t="inlineStr">
        <is>
          <t>Ак Барс – Барыс</t>
        </is>
      </c>
      <c r="B12" s="4" t="inlineStr">
        <is>
          <t>Надёжное</t>
        </is>
      </c>
      <c r="C12" s="4" t="inlineStr">
        <is>
          <t>1X (60 мин)</t>
        </is>
      </c>
      <c r="D12" s="4" t="n">
        <v>1.14</v>
      </c>
      <c r="E12" s="4" t="inlineStr">
        <is>
          <t>ЗАШЛО</t>
        </is>
      </c>
      <c r="F12" s="5" t="n">
        <v>0.862</v>
      </c>
      <c r="G12" s="5" t="n">
        <v>-0.01732000000000011</v>
      </c>
      <c r="H12" s="5" t="n">
        <v>0.8689652884097333</v>
      </c>
      <c r="I12" s="5" t="n">
        <v>0.8354218880534671</v>
      </c>
      <c r="J12" s="4" t="inlineStr">
        <is>
          <t>оценка, маржа 5%</t>
        </is>
      </c>
      <c r="K12" s="5" t="n">
        <v>0.8496000074642917</v>
      </c>
      <c r="L12" s="5" t="n">
        <v>-0.03145599149070755</v>
      </c>
      <c r="M12" s="5" t="n">
        <v>-0.0470081419193753</v>
      </c>
      <c r="N12" s="4" t="inlineStr">
        <is>
          <t>Надёжное</t>
        </is>
      </c>
      <c r="O12" s="4" t="inlineStr">
        <is>
          <t>ПРОПУСК</t>
        </is>
      </c>
      <c r="P12" s="4" t="inlineStr">
        <is>
          <t>EV -3.1% &lt; 3%; по самой модели v1 EV тоже &lt; 0</t>
        </is>
      </c>
      <c r="Q12" s="3" t="n">
        <v>139.9999999999999</v>
      </c>
      <c r="R12" s="3" t="n">
        <v>0</v>
      </c>
      <c r="S12" s="3" t="n">
        <v>0</v>
      </c>
    </row>
    <row r="13">
      <c r="A13" s="4" t="inlineStr">
        <is>
          <t>Ак Барс – Барыс</t>
        </is>
      </c>
      <c r="B13" s="4" t="inlineStr">
        <is>
          <t>Смелое</t>
        </is>
      </c>
      <c r="C13" s="4" t="inlineStr">
        <is>
          <t>Ф1(-1.5) Ак Барс (60 мин)</t>
        </is>
      </c>
      <c r="D13" s="4" t="n">
        <v>1.85</v>
      </c>
      <c r="E13" s="4" t="inlineStr">
        <is>
          <t>ЗАШЛО</t>
        </is>
      </c>
      <c r="F13" s="5" t="n">
        <v>0.532</v>
      </c>
      <c r="G13" s="5" t="n">
        <v>-0.01579999999999993</v>
      </c>
      <c r="H13" s="5" t="n">
        <v>0.5440767275446652</v>
      </c>
      <c r="I13" s="5" t="n">
        <v>0.5148005148005148</v>
      </c>
      <c r="J13" s="4" t="inlineStr">
        <is>
          <t>оценка, маржа 5%</t>
        </is>
      </c>
      <c r="K13" s="5" t="n">
        <v>0.5265345265260363</v>
      </c>
      <c r="L13" s="5" t="n">
        <v>-0.02591112592683287</v>
      </c>
      <c r="M13" s="5" t="n">
        <v>-0.06924772006830937</v>
      </c>
      <c r="N13" s="4" t="inlineStr">
        <is>
          <t>Главное</t>
        </is>
      </c>
      <c r="O13" s="4" t="inlineStr">
        <is>
          <t>ПРОПУСК</t>
        </is>
      </c>
      <c r="P13" s="4" t="inlineStr">
        <is>
          <t>EV -2.6% &lt; 3%; по самой модели v1 EV тоже &lt; 0</t>
        </is>
      </c>
      <c r="Q13" s="3" t="n">
        <v>850.0000000000001</v>
      </c>
      <c r="R13" s="3" t="n">
        <v>0</v>
      </c>
      <c r="S13" s="3" t="n">
        <v>0</v>
      </c>
    </row>
    <row r="14">
      <c r="A14" s="4" t="inlineStr">
        <is>
          <t>Локомотив – Сибирь</t>
        </is>
      </c>
      <c r="B14" s="4" t="inlineStr">
        <is>
          <t>Главное</t>
        </is>
      </c>
      <c r="C14" s="4" t="inlineStr">
        <is>
          <t>ТМ 4.5 (60 мин)</t>
        </is>
      </c>
      <c r="D14" s="4" t="n">
        <v>1.9</v>
      </c>
      <c r="E14" s="4" t="inlineStr">
        <is>
          <t>ЗАШЛО</t>
        </is>
      </c>
      <c r="F14" s="5" t="n">
        <v>0.5931999999999999</v>
      </c>
      <c r="G14" s="5" t="n">
        <v>0.1270799999999999</v>
      </c>
      <c r="H14" s="5" t="n">
        <v>0.6029027408151842</v>
      </c>
      <c r="I14" s="5" t="n">
        <v>0.5013</v>
      </c>
      <c r="J14" s="4" t="inlineStr">
        <is>
          <t>журнал v1</t>
        </is>
      </c>
      <c r="K14" s="5" t="n">
        <v>0.542435138443028</v>
      </c>
      <c r="L14" s="5" t="n">
        <v>0.03062676304175316</v>
      </c>
      <c r="M14" s="5" t="n">
        <v>-0.01318738599751668</v>
      </c>
      <c r="N14" s="4" t="inlineStr">
        <is>
          <t>Главное</t>
        </is>
      </c>
      <c r="O14" s="4" t="inlineStr">
        <is>
          <t>ПРОПУСК</t>
        </is>
      </c>
      <c r="P14" s="4" t="inlineStr">
        <is>
          <t>неустойчиво: в стресс-сценарии EV -1.3%</t>
        </is>
      </c>
      <c r="Q14" s="3" t="n">
        <v>899.9999999999999</v>
      </c>
      <c r="R14" s="3" t="n">
        <v>0</v>
      </c>
      <c r="S14" s="3" t="n">
        <v>0</v>
      </c>
    </row>
    <row r="15">
      <c r="A15" s="4" t="inlineStr">
        <is>
          <t>Локомотив – Сибирь</t>
        </is>
      </c>
      <c r="B15" s="4" t="inlineStr">
        <is>
          <t>Надёжное</t>
        </is>
      </c>
      <c r="C15" s="4" t="inlineStr">
        <is>
          <t>1X (60 мин)</t>
        </is>
      </c>
      <c r="D15" s="4" t="n">
        <v>1.16</v>
      </c>
      <c r="E15" s="4" t="inlineStr">
        <is>
          <t>ЗАШЛО</t>
        </is>
      </c>
      <c r="F15" s="5" t="n">
        <v>0.831</v>
      </c>
      <c r="G15" s="5" t="n">
        <v>-0.03604000000000007</v>
      </c>
      <c r="H15" s="5" t="n">
        <v>0.8409341499022873</v>
      </c>
      <c r="I15" s="5" t="n">
        <v>0.8210180623973727</v>
      </c>
      <c r="J15" s="4" t="inlineStr">
        <is>
          <t>оценка, маржа 5%</t>
        </is>
      </c>
      <c r="K15" s="5" t="n">
        <v>0.8292093565711083</v>
      </c>
      <c r="L15" s="5" t="n">
        <v>-0.03811714637751451</v>
      </c>
      <c r="M15" s="5" t="n">
        <v>-0.05370100114552645</v>
      </c>
      <c r="N15" s="4" t="inlineStr">
        <is>
          <t>Надёжное</t>
        </is>
      </c>
      <c r="O15" s="4" t="inlineStr">
        <is>
          <t>ПРОПУСК</t>
        </is>
      </c>
      <c r="P15" s="4" t="inlineStr">
        <is>
          <t>EV -3.8% &lt; 3%; по самой модели v1 EV тоже &lt; 0</t>
        </is>
      </c>
      <c r="Q15" s="3" t="n">
        <v>159.9999999999999</v>
      </c>
      <c r="R15" s="3" t="n">
        <v>0</v>
      </c>
      <c r="S15" s="3" t="n">
        <v>0</v>
      </c>
    </row>
    <row r="16">
      <c r="A16" s="4" t="inlineStr">
        <is>
          <t>Локомотив – Сибирь</t>
        </is>
      </c>
      <c r="B16" s="4" t="inlineStr">
        <is>
          <t>Смелое</t>
        </is>
      </c>
      <c r="C16" s="4" t="inlineStr">
        <is>
          <t>П1 Локомотив (60 мин)</t>
        </is>
      </c>
      <c r="D16" s="4" t="n">
        <v>1.55</v>
      </c>
      <c r="E16" s="4" t="inlineStr">
        <is>
          <t>ЗАШЛО</t>
        </is>
      </c>
      <c r="F16" s="5" t="n">
        <v>0.667</v>
      </c>
      <c r="G16" s="5" t="n">
        <v>0.03385000000000016</v>
      </c>
      <c r="H16" s="5" t="n">
        <v>0.6258368714906455</v>
      </c>
      <c r="I16" s="5" t="n">
        <v>0.6144393241167434</v>
      </c>
      <c r="J16" s="4" t="inlineStr">
        <is>
          <t>оценка, маржа 5%</t>
        </is>
      </c>
      <c r="K16" s="5" t="n">
        <v>0.6190142013429932</v>
      </c>
      <c r="L16" s="5" t="n">
        <v>-0.04052798791836043</v>
      </c>
      <c r="M16" s="5" t="n">
        <v>-0.0719992462764214</v>
      </c>
      <c r="N16" s="4" t="inlineStr">
        <is>
          <t>Надёжное</t>
        </is>
      </c>
      <c r="O16" s="4" t="inlineStr">
        <is>
          <t>ПРОПУСК</t>
        </is>
      </c>
      <c r="P16" s="4" t="inlineStr">
        <is>
          <t>EV -4.1% &lt; 3%</t>
        </is>
      </c>
      <c r="Q16" s="3" t="n">
        <v>550</v>
      </c>
      <c r="R16" s="3" t="n">
        <v>0</v>
      </c>
      <c r="S16" s="3" t="n">
        <v>0</v>
      </c>
    </row>
    <row r="17">
      <c r="A17" s="4" t="inlineStr">
        <is>
          <t>ХК Сочи – Салават Юлаев</t>
        </is>
      </c>
      <c r="B17" s="4" t="inlineStr">
        <is>
          <t>Главное</t>
        </is>
      </c>
      <c r="C17" s="4" t="inlineStr">
        <is>
          <t>ТМ 5.5 (60 мин)</t>
        </is>
      </c>
      <c r="D17" s="4" t="n">
        <v>1.85</v>
      </c>
      <c r="E17" s="4" t="inlineStr">
        <is>
          <t>ЗАШЛО</t>
        </is>
      </c>
      <c r="F17" s="5" t="n">
        <v>0.6068</v>
      </c>
      <c r="G17" s="5" t="n">
        <v>0.1225800000000001</v>
      </c>
      <c r="H17" s="5" t="n">
        <v>0.5980486524646883</v>
      </c>
      <c r="I17" s="5" t="n">
        <v>0.5149</v>
      </c>
      <c r="J17" s="4" t="inlineStr">
        <is>
          <t>журнал v1</t>
        </is>
      </c>
      <c r="K17" s="5" t="n">
        <v>0.5485235526356942</v>
      </c>
      <c r="L17" s="5" t="n">
        <v>0.01476857237603424</v>
      </c>
      <c r="M17" s="5" t="n">
        <v>-0.0314744579667362</v>
      </c>
      <c r="N17" s="4" t="inlineStr">
        <is>
          <t>Главное</t>
        </is>
      </c>
      <c r="O17" s="4" t="inlineStr">
        <is>
          <t>ПРОПУСК</t>
        </is>
      </c>
      <c r="P17" s="4" t="inlineStr">
        <is>
          <t>EV +1.5% &lt; 3%</t>
        </is>
      </c>
      <c r="Q17" s="3" t="n">
        <v>850.0000000000001</v>
      </c>
      <c r="R17" s="3" t="n">
        <v>0</v>
      </c>
      <c r="S17" s="3" t="n">
        <v>0</v>
      </c>
    </row>
    <row r="18">
      <c r="A18" s="4" t="inlineStr">
        <is>
          <t>ХК Сочи – Салават Юлаев</t>
        </is>
      </c>
      <c r="B18" s="4" t="inlineStr">
        <is>
          <t>Надёжное</t>
        </is>
      </c>
      <c r="C18" s="4" t="inlineStr">
        <is>
          <t>X2 (60 мин)</t>
        </is>
      </c>
      <c r="D18" s="4" t="n">
        <v>1.2</v>
      </c>
      <c r="E18" s="4" t="inlineStr">
        <is>
          <t>НЕ ЗАШЛО</t>
        </is>
      </c>
      <c r="F18" s="5" t="n">
        <v>0.774</v>
      </c>
      <c r="G18" s="5" t="n">
        <v>-0.07120000000000004</v>
      </c>
      <c r="H18" s="5" t="n">
        <v>0.7869159980743464</v>
      </c>
      <c r="I18" s="5" t="n">
        <v>0.7936507936507936</v>
      </c>
      <c r="J18" s="4" t="inlineStr">
        <is>
          <t>оценка, маржа 5%</t>
        </is>
      </c>
      <c r="K18" s="5" t="n">
        <v>0.7909759434190232</v>
      </c>
      <c r="L18" s="5" t="n">
        <v>-0.05082886789717223</v>
      </c>
      <c r="M18" s="5" t="n">
        <v>-0.0707870511587555</v>
      </c>
      <c r="N18" s="4" t="inlineStr">
        <is>
          <t>Надёжное</t>
        </is>
      </c>
      <c r="O18" s="4" t="inlineStr">
        <is>
          <t>ПРОПУСК</t>
        </is>
      </c>
      <c r="P18" s="4" t="inlineStr">
        <is>
          <t>EV -5.1% &lt; 3%; по самой модели v1 EV тоже &lt; 0</t>
        </is>
      </c>
      <c r="Q18" s="3" t="n">
        <v>-1000</v>
      </c>
      <c r="R18" s="3" t="n">
        <v>0</v>
      </c>
      <c r="S18" s="3" t="n">
        <v>0</v>
      </c>
    </row>
    <row r="19">
      <c r="A19" s="4" t="inlineStr">
        <is>
          <t>ХК Сочи – Салават Юлаев</t>
        </is>
      </c>
      <c r="B19" s="4" t="inlineStr">
        <is>
          <t>Смелое</t>
        </is>
      </c>
      <c r="C19" s="4" t="inlineStr">
        <is>
          <t>П2 Салават Юлаев (60 мин)</t>
        </is>
      </c>
      <c r="D19" s="4" t="n">
        <v>1.68</v>
      </c>
      <c r="E19" s="4" t="inlineStr">
        <is>
          <t>НЕ ЗАШЛО</t>
        </is>
      </c>
      <c r="F19" s="5" t="n">
        <v>0.613</v>
      </c>
      <c r="G19" s="5" t="n">
        <v>0.02983999999999987</v>
      </c>
      <c r="H19" s="5" t="n">
        <v>0.5737075207895825</v>
      </c>
      <c r="I19" s="5" t="n">
        <v>0.5668934240362812</v>
      </c>
      <c r="J19" s="4" t="inlineStr">
        <is>
          <t>оценка, маржа 5%</t>
        </is>
      </c>
      <c r="K19" s="5" t="n">
        <v>0.569622249790477</v>
      </c>
      <c r="L19" s="5" t="n">
        <v>-0.04303462035199856</v>
      </c>
      <c r="M19" s="5" t="n">
        <v>-0.08151942078557195</v>
      </c>
      <c r="N19" s="4" t="inlineStr">
        <is>
          <t>Главное</t>
        </is>
      </c>
      <c r="O19" s="4" t="inlineStr">
        <is>
          <t>ПРОПУСК</t>
        </is>
      </c>
      <c r="P19" s="4" t="inlineStr">
        <is>
          <t>EV -4.3% &lt; 3%</t>
        </is>
      </c>
      <c r="Q19" s="3" t="n">
        <v>-1000</v>
      </c>
      <c r="R19" s="3" t="n">
        <v>0</v>
      </c>
      <c r="S19" s="3" t="n">
        <v>0</v>
      </c>
    </row>
    <row r="20">
      <c r="A20" s="4" t="inlineStr">
        <is>
          <t>Шанхайские Драконы – Металлург Мг</t>
        </is>
      </c>
      <c r="B20" s="4" t="inlineStr">
        <is>
          <t>Главное</t>
        </is>
      </c>
      <c r="C20" s="4" t="inlineStr">
        <is>
          <t>П2 Металлург Мг (60 мин)</t>
        </is>
      </c>
      <c r="D20" s="4" t="n">
        <v>1.7</v>
      </c>
      <c r="E20" s="4" t="inlineStr">
        <is>
          <t>НЕ ЗАШЛО</t>
        </is>
      </c>
      <c r="F20" s="5" t="n">
        <v>0.6223</v>
      </c>
      <c r="G20" s="5" t="n">
        <v>0.05790999999999991</v>
      </c>
      <c r="H20" s="5" t="n">
        <v>0.58748024086516</v>
      </c>
      <c r="I20" s="5" t="n">
        <v>0.5602</v>
      </c>
      <c r="J20" s="4" t="inlineStr">
        <is>
          <t>журнал v1</t>
        </is>
      </c>
      <c r="K20" s="5" t="n">
        <v>0.571165433211037</v>
      </c>
      <c r="L20" s="5" t="n">
        <v>-0.02901876354123722</v>
      </c>
      <c r="M20" s="5" t="n">
        <v>-0.06955217108442413</v>
      </c>
      <c r="N20" s="4" t="inlineStr">
        <is>
          <t>Главное</t>
        </is>
      </c>
      <c r="O20" s="4" t="inlineStr">
        <is>
          <t>ПРОПУСК</t>
        </is>
      </c>
      <c r="P20" s="4" t="inlineStr">
        <is>
          <t>EV -2.9% &lt; 3%</t>
        </is>
      </c>
      <c r="Q20" s="3" t="n">
        <v>-1000</v>
      </c>
      <c r="R20" s="3" t="n">
        <v>0</v>
      </c>
      <c r="S20" s="3" t="n">
        <v>0</v>
      </c>
    </row>
    <row r="21">
      <c r="A21" s="4" t="inlineStr">
        <is>
          <t>Шанхайские Драконы – Металлург Мг</t>
        </is>
      </c>
      <c r="B21" s="4" t="inlineStr">
        <is>
          <t>Надёжное</t>
        </is>
      </c>
      <c r="C21" s="4" t="inlineStr">
        <is>
          <t>X2 (60 мин)</t>
        </is>
      </c>
      <c r="D21" s="4" t="n">
        <v>1.22</v>
      </c>
      <c r="E21" s="4" t="inlineStr">
        <is>
          <t>НЕ ЗАШЛО</t>
        </is>
      </c>
      <c r="F21" s="5" t="n">
        <v>0.776</v>
      </c>
      <c r="G21" s="5" t="n">
        <v>-0.05327999999999999</v>
      </c>
      <c r="H21" s="5" t="n">
        <v>0.7903294588085663</v>
      </c>
      <c r="I21" s="5" t="n">
        <v>0.7806401249024201</v>
      </c>
      <c r="J21" s="4" t="inlineStr">
        <is>
          <t>оценка, маржа 5%</t>
        </is>
      </c>
      <c r="K21" s="5" t="n">
        <v>0.7845540404827644</v>
      </c>
      <c r="L21" s="5" t="n">
        <v>-0.04284407061102735</v>
      </c>
      <c r="M21" s="5" t="n">
        <v>-0.06447950873149477</v>
      </c>
      <c r="N21" s="4" t="inlineStr">
        <is>
          <t>Надёжное</t>
        </is>
      </c>
      <c r="O21" s="4" t="inlineStr">
        <is>
          <t>ПРОПУСК</t>
        </is>
      </c>
      <c r="P21" s="4" t="inlineStr">
        <is>
          <t>EV -4.3% &lt; 3%; по самой модели v1 EV тоже &lt; 0</t>
        </is>
      </c>
      <c r="Q21" s="3" t="n">
        <v>-1000</v>
      </c>
      <c r="R21" s="3" t="n">
        <v>0</v>
      </c>
      <c r="S21" s="3" t="n">
        <v>0</v>
      </c>
    </row>
    <row r="22">
      <c r="A22" s="4" t="inlineStr">
        <is>
          <t>Шанхайские Драконы – Металлург Мг</t>
        </is>
      </c>
      <c r="B22" s="4" t="inlineStr">
        <is>
          <t>Смелое</t>
        </is>
      </c>
      <c r="C22" s="4" t="inlineStr">
        <is>
          <t>Ф2(-1.5) Металлург Мг (60 мин)</t>
        </is>
      </c>
      <c r="D22" s="4" t="n">
        <v>2.18</v>
      </c>
      <c r="E22" s="4" t="inlineStr">
        <is>
          <t>НЕ ЗАШЛО</t>
        </is>
      </c>
      <c r="F22" s="5" t="n">
        <v>0.431</v>
      </c>
      <c r="G22" s="5" t="n">
        <v>-0.06041999999999992</v>
      </c>
      <c r="H22" s="5" t="n">
        <v>0.4425418307176995</v>
      </c>
      <c r="I22" s="5" t="n">
        <v>0.436871996505024</v>
      </c>
      <c r="J22" s="4" t="inlineStr">
        <is>
          <t>оценка, маржа 5%</t>
        </is>
      </c>
      <c r="K22" s="5" t="n">
        <v>0.4391380362158872</v>
      </c>
      <c r="L22" s="5" t="n">
        <v>-0.0426790810493658</v>
      </c>
      <c r="M22" s="5" t="n">
        <v>-0.09521630500084755</v>
      </c>
      <c r="N22" s="4" t="inlineStr">
        <is>
          <t>Главное</t>
        </is>
      </c>
      <c r="O22" s="4" t="inlineStr">
        <is>
          <t>ПРОПУСК</t>
        </is>
      </c>
      <c r="P22" s="4" t="inlineStr">
        <is>
          <t>EV -4.3% &lt; 3%; по самой модели v1 EV тоже &lt; 0</t>
        </is>
      </c>
      <c r="Q22" s="3" t="n">
        <v>-1000</v>
      </c>
      <c r="R22" s="3" t="n">
        <v>0</v>
      </c>
      <c r="S22" s="3" t="n">
        <v>0</v>
      </c>
    </row>
    <row r="23">
      <c r="A23" s="4" t="inlineStr">
        <is>
          <t>Спартак – Трактор</t>
        </is>
      </c>
      <c r="B23" s="4" t="inlineStr">
        <is>
          <t>Главное</t>
        </is>
      </c>
      <c r="C23" s="4" t="inlineStr">
        <is>
          <t>ТМ 5.5 (60 мин)</t>
        </is>
      </c>
      <c r="D23" s="4" t="n">
        <v>1.86</v>
      </c>
      <c r="E23" s="4" t="inlineStr">
        <is>
          <t>НЕ ЗАШЛО</t>
        </is>
      </c>
      <c r="F23" s="5" t="n">
        <v>0.5802</v>
      </c>
      <c r="G23" s="5" t="n">
        <v>0.07917200000000024</v>
      </c>
      <c r="H23" s="5" t="n">
        <v>0.5696919115128725</v>
      </c>
      <c r="I23" s="5" t="n">
        <v>0.5121</v>
      </c>
      <c r="J23" s="4" t="inlineStr">
        <is>
          <t>журнал v1</t>
        </is>
      </c>
      <c r="K23" s="5" t="n">
        <v>0.5352622086850072</v>
      </c>
      <c r="L23" s="5" t="n">
        <v>-0.00441229184588654</v>
      </c>
      <c r="M23" s="5" t="n">
        <v>-0.05134828795051283</v>
      </c>
      <c r="N23" s="4" t="inlineStr">
        <is>
          <t>Главное</t>
        </is>
      </c>
      <c r="O23" s="4" t="inlineStr">
        <is>
          <t>ПРОПУСК</t>
        </is>
      </c>
      <c r="P23" s="4" t="inlineStr">
        <is>
          <t>EV -0.4% &lt; 3%</t>
        </is>
      </c>
      <c r="Q23" s="3" t="n">
        <v>-1000</v>
      </c>
      <c r="R23" s="3" t="n">
        <v>0</v>
      </c>
      <c r="S23" s="3" t="n">
        <v>0</v>
      </c>
    </row>
    <row r="24">
      <c r="A24" s="4" t="inlineStr">
        <is>
          <t>Спартак – Трактор</t>
        </is>
      </c>
      <c r="B24" s="4" t="inlineStr">
        <is>
          <t>Надёжное</t>
        </is>
      </c>
      <c r="C24" s="4" t="inlineStr">
        <is>
          <t>1X (60 мин)</t>
        </is>
      </c>
      <c r="D24" s="4" t="n">
        <v>1.29</v>
      </c>
      <c r="E24" s="4" t="inlineStr">
        <is>
          <t>НЕ ЗАШЛО</t>
        </is>
      </c>
      <c r="F24" s="5" t="n">
        <v>0.674</v>
      </c>
      <c r="G24" s="5" t="n">
        <v>-0.1305399999999999</v>
      </c>
      <c r="H24" s="5" t="n">
        <v>0.6941957024771571</v>
      </c>
      <c r="I24" s="5" t="n">
        <v>0.7382798080472499</v>
      </c>
      <c r="J24" s="4" t="inlineStr">
        <is>
          <t>оценка, маржа 5%</t>
        </is>
      </c>
      <c r="K24" s="5" t="n">
        <v>0.7211456622134119</v>
      </c>
      <c r="L24" s="5" t="n">
        <v>-0.06972209574469856</v>
      </c>
      <c r="M24" s="5" t="n">
        <v>-0.09507655253994141</v>
      </c>
      <c r="N24" s="4" t="inlineStr">
        <is>
          <t>Надёжное</t>
        </is>
      </c>
      <c r="O24" s="4" t="inlineStr">
        <is>
          <t>ПРОПУСК</t>
        </is>
      </c>
      <c r="P24" s="4" t="inlineStr">
        <is>
          <t>EV -7.0% &lt; 3%; по самой модели v1 EV тоже &lt; 0</t>
        </is>
      </c>
      <c r="Q24" s="3" t="n">
        <v>-1000</v>
      </c>
      <c r="R24" s="3" t="n">
        <v>0</v>
      </c>
      <c r="S24" s="3" t="n">
        <v>0</v>
      </c>
    </row>
    <row r="25">
      <c r="A25" s="4" t="inlineStr">
        <is>
          <t>Спартак – Трактор</t>
        </is>
      </c>
      <c r="B25" s="4" t="inlineStr">
        <is>
          <t>Смелое</t>
        </is>
      </c>
      <c r="C25" s="4" t="inlineStr">
        <is>
          <t>Победа Трактор с учётом ОТ/Б</t>
        </is>
      </c>
      <c r="D25" s="4" t="n">
        <v>2.65</v>
      </c>
      <c r="E25" s="4" t="inlineStr">
        <is>
          <t>ЗАШЛО</t>
        </is>
      </c>
      <c r="F25" s="5" t="n">
        <v>0.408</v>
      </c>
      <c r="G25" s="5" t="n">
        <v>0.08119999999999994</v>
      </c>
      <c r="H25" s="5" t="n">
        <v>0.4176349585938922</v>
      </c>
      <c r="I25" s="5" t="n">
        <v>0.3593890386343216</v>
      </c>
      <c r="J25" s="4" t="inlineStr">
        <is>
          <t>оценка, маржа 5%</t>
        </is>
      </c>
      <c r="K25" s="5" t="n">
        <v>0.3822979333584531</v>
      </c>
      <c r="L25" s="5" t="n">
        <v>0.01308952339990088</v>
      </c>
      <c r="M25" s="5" t="n">
        <v>-0.04534522024710397</v>
      </c>
      <c r="N25" s="4" t="inlineStr">
        <is>
          <t>Смелое</t>
        </is>
      </c>
      <c r="O25" s="4" t="inlineStr">
        <is>
          <t>ПРОПУСК</t>
        </is>
      </c>
      <c r="P25" s="4" t="inlineStr">
        <is>
          <t>EV +1.3% &lt; 3%</t>
        </is>
      </c>
      <c r="Q25" s="3" t="n">
        <v>1650</v>
      </c>
      <c r="R25" s="3" t="n">
        <v>0</v>
      </c>
      <c r="S25" s="3" t="n">
        <v>0</v>
      </c>
    </row>
    <row r="27">
      <c r="A27" s="20" t="inlineStr">
        <is>
          <t>Вероятность ничьей за 60 минут: v1 vs v2 vs рынок</t>
        </is>
      </c>
    </row>
    <row r="28">
      <c r="A28" s="1" t="inlineStr">
        <is>
          <t>Матч</t>
        </is>
      </c>
      <c r="B28" s="1" t="inlineStr">
        <is>
          <t>X v1 (чистый Пуассон)</t>
        </is>
      </c>
      <c r="C28" s="1" t="inlineStr">
        <is>
          <t>X v2</t>
        </is>
      </c>
      <c r="D28" s="1" t="inlineStr">
        <is>
          <t>X рынка ≈ 1/кэф(1X) − 1/кэф(П1)</t>
        </is>
      </c>
      <c r="E28" s="1" t="inlineStr">
        <is>
          <t>Комментарий</t>
        </is>
      </c>
    </row>
    <row r="29">
      <c r="A29" s="4" t="inlineStr">
        <is>
          <t>ЦСКА – СКА</t>
        </is>
      </c>
      <c r="B29" s="5" t="n">
        <v>0.1767877108381599</v>
      </c>
      <c r="C29" s="5" t="n">
        <v>0.2311565408897575</v>
      </c>
      <c r="D29" s="5" t="n">
        <v>0.2340155481516738</v>
      </c>
      <c r="E29" s="4" t="inlineStr">
        <is>
          <t>маржа в обеих ценах примерно сокращается</t>
        </is>
      </c>
    </row>
    <row r="30">
      <c r="A30" s="4" t="inlineStr">
        <is>
          <t>Автомобилист – Лада</t>
        </is>
      </c>
      <c r="B30" s="5" t="n">
        <v>0.153231883442534</v>
      </c>
      <c r="C30" s="5" t="n">
        <v>0.2021352130568445</v>
      </c>
      <c r="D30" s="5" t="n">
        <v>0.2224576271186441</v>
      </c>
      <c r="E30" s="4" t="inlineStr">
        <is>
          <t>маржа в обеих ценах примерно сокращается</t>
        </is>
      </c>
    </row>
    <row r="31">
      <c r="A31" s="4" t="inlineStr">
        <is>
          <t>Ак Барс – Барыс</t>
        </is>
      </c>
      <c r="B31" s="5" t="n">
        <v>0.1342054418840043</v>
      </c>
      <c r="C31" s="5" t="n">
        <v>0.1783152669588552</v>
      </c>
      <c r="D31" s="5" t="n">
        <v>0.2015173067804648</v>
      </c>
      <c r="E31" s="4" t="inlineStr">
        <is>
          <t>маржа в обеих ценах примерно сокращается</t>
        </is>
      </c>
    </row>
    <row r="32">
      <c r="A32" s="4" t="inlineStr">
        <is>
          <t>Локомотив – Сибирь</t>
        </is>
      </c>
      <c r="B32" s="5" t="n">
        <v>0.1637014065881038</v>
      </c>
      <c r="C32" s="5" t="n">
        <v>0.2150972784116419</v>
      </c>
      <c r="D32" s="5" t="n">
        <v>0.2169076751946608</v>
      </c>
      <c r="E32" s="4" t="inlineStr">
        <is>
          <t>маржа в обеих ценах примерно сокращается</t>
        </is>
      </c>
    </row>
    <row r="35">
      <c r="A35" s="20" t="inlineStr">
        <is>
          <t>Итоги</t>
        </is>
      </c>
    </row>
    <row r="36">
      <c r="A36" t="inlineStr">
        <is>
          <t>P&amp;L v1, все 21 ставка по 1000</t>
        </is>
      </c>
      <c r="B36" s="15" t="n">
        <v>640</v>
      </c>
    </row>
    <row r="37">
      <c r="A37" t="inlineStr">
        <is>
          <t xml:space="preserve">   в т.ч. Главное</t>
        </is>
      </c>
      <c r="B37" s="15" t="n">
        <v>-170</v>
      </c>
    </row>
    <row r="38">
      <c r="A38" t="inlineStr">
        <is>
          <t xml:space="preserve">   в т.ч. Надёжное</t>
        </is>
      </c>
      <c r="B38" s="15" t="n">
        <v>-2200</v>
      </c>
    </row>
    <row r="39">
      <c r="A39" t="inlineStr">
        <is>
          <t xml:space="preserve">   в т.ч. Смелое</t>
        </is>
      </c>
      <c r="B39" s="15" t="n">
        <v>3010</v>
      </c>
    </row>
    <row r="40">
      <c r="A40" t="inlineStr">
        <is>
          <t>Ставок v2</t>
        </is>
      </c>
      <c r="B40" s="15" t="n">
        <v>0</v>
      </c>
    </row>
    <row r="41">
      <c r="A41" t="inlineStr">
        <is>
          <t>P&amp;L v2</t>
        </is>
      </c>
      <c r="B41" s="15" t="n">
        <v>0</v>
      </c>
    </row>
    <row r="43" ht="48" customHeight="1">
      <c r="A43" s="19" t="inlineStr">
        <is>
          <t>Вывод: после поправки на ничьи и смешивания с рынком ни одна ставка v1 не проходит порог EV ≥ 3% с проверкой устойчивости. Все 7 «надёжных» ставок имели EV &lt; 0 даже по вероятностям самой v1. Результат +3010 у «смелых» — дисперсия на 7 ставках, а не перевес.</t>
        </is>
      </c>
    </row>
  </sheetData>
  <mergeCells count="2">
    <mergeCell ref="A2:T2"/>
    <mergeCell ref="A43:L43"/>
  </mergeCells>
  <conditionalFormatting sqref="E5:E25">
    <cfRule type="expression" priority="1" dxfId="1">
      <formula>E5="ЗАШЛО"</formula>
    </cfRule>
    <cfRule type="expression" priority="2" dxfId="0">
      <formula>E5="НЕ ЗАШЛО"</formula>
    </cfRule>
    <cfRule type="expression" priority="3" dxfId="2">
      <formula>E5="ВОЗВРАТ"</formula>
    </cfRule>
    <cfRule type="expression" priority="4" dxfId="2">
      <formula>E5="ОТМЕНА"</formula>
    </cfRule>
    <cfRule type="expression" priority="5" dxfId="3">
      <formula>E5="ОЖИДАНИЕ"</formula>
    </cfRule>
  </conditionalFormatting>
  <conditionalFormatting sqref="G5:G25">
    <cfRule type="cellIs" priority="6" operator="lessThan" dxfId="4">
      <formula>0</formula>
    </cfRule>
    <cfRule type="cellIs" priority="7" operator="greaterThanOrEqual" dxfId="5">
      <formula>0</formula>
    </cfRule>
  </conditionalFormatting>
  <conditionalFormatting sqref="L5:L25">
    <cfRule type="cellIs" priority="8" operator="lessThan" dxfId="4">
      <formula>0</formula>
    </cfRule>
    <cfRule type="cellIs" priority="9" operator="greaterThanOrEqual" dxfId="5">
      <formula>0</formula>
    </cfRule>
  </conditionalFormatting>
  <conditionalFormatting sqref="M5:M25">
    <cfRule type="cellIs" priority="10" operator="lessThan" dxfId="4">
      <formula>0</formula>
    </cfRule>
    <cfRule type="cellIs" priority="11" operator="greaterThanOrEqual" dxfId="5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2" customWidth="1" min="4" max="4"/>
    <col width="12" customWidth="1" min="5" max="5"/>
    <col width="11" customWidth="1" min="6" max="6"/>
  </cols>
  <sheetData>
    <row r="1">
      <c r="A1" s="21" t="inlineStr">
        <is>
          <t>Рейтинги команд на дату прогноза (python -m khl_model fit … ; копировать вывод целиком, руками не править)</t>
        </is>
      </c>
    </row>
    <row r="2">
      <c r="A2" t="inlineStr">
        <is>
          <t>Дата среза:</t>
        </is>
      </c>
      <c r="C2" t="inlineStr">
        <is>
          <t>μ:</t>
        </is>
      </c>
      <c r="E2" t="inlineStr">
        <is>
          <t>h (дом):</t>
        </is>
      </c>
    </row>
    <row r="4" ht="32" customHeight="1">
      <c r="A4" s="1" t="inlineStr">
        <is>
          <t>Команда</t>
        </is>
      </c>
      <c r="B4" s="1" t="inlineStr">
        <is>
          <t>att</t>
        </is>
      </c>
      <c r="C4" s="1" t="inlineStr">
        <is>
          <t>def</t>
        </is>
      </c>
      <c r="D4" s="1" t="inlineStr">
        <is>
          <t>Голы за 60м vs средний</t>
        </is>
      </c>
      <c r="E4" s="1" t="inlineStr">
        <is>
          <t>Пропущено за 60м vs средний</t>
        </is>
      </c>
      <c r="F4" s="1" t="inlineStr">
        <is>
          <t>Взвешенных матчей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95" customWidth="1" min="4" max="4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Описание</t>
        </is>
      </c>
    </row>
    <row r="2">
      <c r="A2" s="4" t="inlineStr">
        <is>
          <t>version</t>
        </is>
      </c>
      <c r="B2" s="4" t="inlineStr">
        <is>
          <t>2.0</t>
        </is>
      </c>
      <c r="C2" s="4" t="inlineStr"/>
      <c r="D2" s="22" t="inlineStr">
        <is>
          <t>Версия модели (код: khl_simulation/khl_model, параметры: params.json)</t>
        </is>
      </c>
    </row>
    <row r="3">
      <c r="A3" s="4" t="inlineStr">
        <is>
          <t>mu</t>
        </is>
      </c>
      <c r="B3" s="4" t="n">
        <v>0.9361</v>
      </c>
      <c r="C3" s="4" t="inlineStr">
        <is>
          <t>ФИТ</t>
        </is>
      </c>
      <c r="D3" s="22" t="inlineStr">
        <is>
          <t>Базовый log-λ команды за 60 минут; фитится вместе с рейтингами</t>
        </is>
      </c>
    </row>
    <row r="4">
      <c r="A4" s="4" t="inlineStr">
        <is>
          <t>home_adv</t>
        </is>
      </c>
      <c r="B4" s="4" t="n">
        <v>0.06</v>
      </c>
      <c r="C4" s="4" t="inlineStr">
        <is>
          <t>ФИТ</t>
        </is>
      </c>
      <c r="D4" s="22" t="inlineStr">
        <is>
          <t>log-преимущество своей площадки; фитится вместе с рейтингами</t>
        </is>
      </c>
    </row>
    <row r="5">
      <c r="A5" s="4" t="inlineStr">
        <is>
          <t>ridge</t>
        </is>
      </c>
      <c r="B5" s="4" t="n">
        <v>6</v>
      </c>
      <c r="C5" s="4" t="inlineStr">
        <is>
          <t>ПРАВИЛО</t>
        </is>
      </c>
      <c r="D5" s="22" t="inlineStr">
        <is>
          <t>L2-регуляризация att/def — сжимает рейтинги к среднему лиги</t>
        </is>
      </c>
    </row>
    <row r="6">
      <c r="A6" s="4" t="inlineStr">
        <is>
          <t>half_life_days</t>
        </is>
      </c>
      <c r="B6" s="4" t="n">
        <v>120</v>
      </c>
      <c r="C6" s="4" t="inlineStr">
        <is>
          <t>ПРАВИЛО</t>
        </is>
      </c>
      <c r="D6" s="22" t="inlineStr">
        <is>
          <t>Период полураспада веса матча, дней</t>
        </is>
      </c>
    </row>
    <row r="7">
      <c r="A7" s="4" t="inlineStr">
        <is>
          <t>season_carryover</t>
        </is>
      </c>
      <c r="B7" s="4" t="n">
        <v>0.6</v>
      </c>
      <c r="C7" s="4" t="inlineStr">
        <is>
          <t>ПРАВИЛО</t>
        </is>
      </c>
      <c r="D7" s="22" t="inlineStr">
        <is>
          <t>Вес матчей прошлых сезонов (рейтинги в начале сезона регрессируют к среднему)</t>
        </is>
      </c>
    </row>
    <row r="8">
      <c r="A8" s="4" t="inlineStr">
        <is>
          <t>draw_inflation</t>
        </is>
      </c>
      <c r="B8" s="4" t="n">
        <v>0.4</v>
      </c>
      <c r="C8" s="4" t="inlineStr">
        <is>
          <t>PROVISIONAL</t>
        </is>
      </c>
      <c r="D8" s="22" t="inlineStr">
        <is>
          <t>θ: множитель (1+θ) на ничейные счета. 0.40 подобрано так, чтобы P(X) совпадала с рыночной ~20–23%; калибровать по истории</t>
        </is>
      </c>
    </row>
    <row r="9">
      <c r="A9" s="4" t="inlineStr">
        <is>
          <t>empty_net_shift</t>
        </is>
      </c>
      <c r="B9" s="4" t="n">
        <v>0.12</v>
      </c>
      <c r="C9" s="4" t="inlineStr">
        <is>
          <t>PROVISIONAL</t>
        </is>
      </c>
      <c r="D9" s="22" t="inlineStr">
        <is>
          <t>Доля побед в 1 шайбу, превращающихся в +2 из-за пустых ворот; калибровать (нужно ≥2 сезонов)</t>
        </is>
      </c>
    </row>
    <row r="10">
      <c r="A10" s="4" t="inlineStr">
        <is>
          <t>max_goals</t>
        </is>
      </c>
      <c r="B10" s="4" t="n">
        <v>15</v>
      </c>
      <c r="C10" s="4" t="inlineStr">
        <is>
          <t>ПРАВИЛО</t>
        </is>
      </c>
      <c r="D10" s="22" t="inlineStr">
        <is>
          <t>Размер матрицы счетов</t>
        </is>
      </c>
    </row>
    <row r="11">
      <c r="A11" s="4" t="inlineStr">
        <is>
          <t>ot_goal_prob</t>
        </is>
      </c>
      <c r="B11" s="4" t="n">
        <v>0.58</v>
      </c>
      <c r="C11" s="4" t="inlineStr">
        <is>
          <t>PROVISIONAL</t>
        </is>
      </c>
      <c r="D11" s="22" t="inlineStr">
        <is>
          <t>P(решающий гол в ОТ 3×3 | ничья за 60 минут); иначе буллиты</t>
        </is>
      </c>
    </row>
    <row r="12">
      <c r="A12" s="4" t="inlineStr">
        <is>
          <t>ot_strength_shrink</t>
        </is>
      </c>
      <c r="B12" s="4" t="n">
        <v>0.5</v>
      </c>
      <c r="C12" s="4" t="inlineStr">
        <is>
          <t>ПРАВИЛО</t>
        </is>
      </c>
      <c r="D12" s="22" t="inlineStr">
        <is>
          <t>Насколько сила команд переносится на ОТ (0 — монетка, 1 — как в основное время)</t>
        </is>
      </c>
    </row>
    <row r="13">
      <c r="A13" s="4" t="inlineStr">
        <is>
          <t>shootout_home</t>
        </is>
      </c>
      <c r="B13" s="4" t="n">
        <v>0.5</v>
      </c>
      <c r="C13" s="4" t="inlineStr">
        <is>
          <t>PROVISIONAL</t>
        </is>
      </c>
      <c r="D13" s="22" t="inlineStr">
        <is>
          <t>P(хозяева выигрывают серию буллитов)</t>
        </is>
      </c>
    </row>
    <row r="14">
      <c r="A14" s="4" t="inlineStr">
        <is>
          <t>backup_goalie_effect</t>
        </is>
      </c>
      <c r="B14" s="4" t="n">
        <v>0.05</v>
      </c>
      <c r="C14" s="4" t="inlineStr">
        <is>
          <t>PROVISIONAL</t>
        </is>
      </c>
      <c r="D14" s="22" t="inlineStr">
        <is>
          <t>+к λ соперника, если в воротах запасной вратарь</t>
        </is>
      </c>
    </row>
    <row r="15">
      <c r="A15" s="4" t="inlineStr">
        <is>
          <t>b2b_attack_effect</t>
        </is>
      </c>
      <c r="B15" s="4" t="n">
        <v>-0.03</v>
      </c>
      <c r="C15" s="4" t="inlineStr">
        <is>
          <t>PROVISIONAL</t>
        </is>
      </c>
      <c r="D15" s="22" t="inlineStr">
        <is>
          <t>Второй матч за 2 дня: изменение своей λ</t>
        </is>
      </c>
    </row>
    <row r="16">
      <c r="A16" s="4" t="inlineStr">
        <is>
          <t>b2b_defense_effect</t>
        </is>
      </c>
      <c r="B16" s="4" t="n">
        <v>0.03</v>
      </c>
      <c r="C16" s="4" t="inlineStr">
        <is>
          <t>PROVISIONAL</t>
        </is>
      </c>
      <c r="D16" s="22" t="inlineStr">
        <is>
          <t>Второй матч за 2 дня: изменение λ соперника</t>
        </is>
      </c>
    </row>
    <row r="17">
      <c r="A17" s="4" t="inlineStr">
        <is>
          <t>travel_tz_effect</t>
        </is>
      </c>
      <c r="B17" s="4" t="n">
        <v>-0.01</v>
      </c>
      <c r="C17" s="4" t="inlineStr">
        <is>
          <t>PROVISIONAL</t>
        </is>
      </c>
      <c r="D17" s="22" t="inlineStr">
        <is>
          <t>Изменение своей λ за каждый час смены часового пояса (до 4 ч)</t>
        </is>
      </c>
    </row>
    <row r="18">
      <c r="A18" s="4" t="inlineStr">
        <is>
          <t>market_weight_model</t>
        </is>
      </c>
      <c r="B18" s="4" t="n">
        <v>0.4</v>
      </c>
      <c r="C18" s="4" t="inlineStr">
        <is>
          <t>PROVISIONAL</t>
        </is>
      </c>
      <c r="D18" s="22" t="inlineStr">
        <is>
          <t>Вес модели при смешивании с рынком (0 — только рынок, 1 — только модель). Калибровать по log loss</t>
        </is>
      </c>
    </row>
    <row r="19">
      <c r="A19" s="4" t="inlineStr">
        <is>
          <t>default_overround</t>
        </is>
      </c>
      <c r="B19" s="4" t="n">
        <v>1.05</v>
      </c>
      <c r="C19" s="4" t="inlineStr">
        <is>
          <t>ПРАВИЛО</t>
        </is>
      </c>
      <c r="D19" s="22" t="inlineStr">
        <is>
          <t>Маржа для оценки q, если известна только одна сторона рынка</t>
        </is>
      </c>
    </row>
    <row r="20">
      <c r="A20" s="4" t="inlineStr">
        <is>
          <t>ev_min</t>
        </is>
      </c>
      <c r="B20" s="4" t="n">
        <v>0.03</v>
      </c>
      <c r="C20" s="4" t="inlineStr">
        <is>
          <t>ПРАВИЛО</t>
        </is>
      </c>
      <c r="D20" s="22" t="inlineStr">
        <is>
          <t>Минимальный EV после смешивания с рынком</t>
        </is>
      </c>
    </row>
    <row r="21">
      <c r="A21" s="4" t="inlineStr">
        <is>
          <t>require_robust</t>
        </is>
      </c>
      <c r="B21" s="4" t="b">
        <v>1</v>
      </c>
      <c r="C21" s="4" t="inlineStr">
        <is>
          <t>ПРАВИЛО</t>
        </is>
      </c>
      <c r="D21" s="22" t="inlineStr">
        <is>
          <t>Требовать EV ≥ 0 во всех стресс-сценариях (λ ±7%, θ ×0.5/×1.5, вес рынка +0.2)</t>
        </is>
      </c>
    </row>
    <row r="22">
      <c r="A22" s="4" t="inlineStr">
        <is>
          <t>max_bets_per_match</t>
        </is>
      </c>
      <c r="B22" s="4" t="n">
        <v>1</v>
      </c>
      <c r="C22" s="4" t="inlineStr">
        <is>
          <t>ПРАВИЛО</t>
        </is>
      </c>
      <c r="D22" s="22" t="inlineStr">
        <is>
          <t>Ставки на один матч коррелированы — не больше одной</t>
        </is>
      </c>
    </row>
    <row r="23">
      <c r="A23" s="4" t="inlineStr">
        <is>
          <t>reliable_max_odds</t>
        </is>
      </c>
      <c r="B23" s="4" t="n">
        <v>1.6</v>
      </c>
      <c r="C23" s="4" t="inlineStr">
        <is>
          <t>ПРАВИЛО</t>
        </is>
      </c>
      <c r="D23" s="22" t="inlineStr">
        <is>
          <t>Пул «Надёжное»: кэф ниже этого значения</t>
        </is>
      </c>
    </row>
    <row r="24">
      <c r="A24" s="4" t="inlineStr">
        <is>
          <t>bold_min_odds</t>
        </is>
      </c>
      <c r="B24" s="4" t="n">
        <v>2.2</v>
      </c>
      <c r="C24" s="4" t="inlineStr">
        <is>
          <t>ПРАВИЛО</t>
        </is>
      </c>
      <c r="D24" s="22" t="inlineStr">
        <is>
          <t>Пул «Смелое»: кэф не ниже этого значения; между — «Главное»</t>
        </is>
      </c>
    </row>
    <row r="25">
      <c r="A25" s="4" t="inlineStr">
        <is>
          <t>start_bank</t>
        </is>
      </c>
      <c r="B25" s="4" t="n">
        <v>1000</v>
      </c>
      <c r="C25" s="4" t="inlineStr">
        <is>
          <t>ПРАВИЛО</t>
        </is>
      </c>
      <c r="D25" s="22" t="inlineStr">
        <is>
          <t>Стартовый банк каждого пула</t>
        </is>
      </c>
    </row>
    <row r="26">
      <c r="A26" s="4" t="inlineStr">
        <is>
          <t>kelly_fraction</t>
        </is>
      </c>
      <c r="B26" s="4" t="n">
        <v>0.25</v>
      </c>
      <c r="C26" s="4" t="inlineStr">
        <is>
          <t>ПРАВИЛО</t>
        </is>
      </c>
      <c r="D26" s="22" t="inlineStr">
        <is>
          <t>Доля Келли</t>
        </is>
      </c>
    </row>
    <row r="27">
      <c r="A27" s="4" t="inlineStr">
        <is>
          <t>max_stake_frac</t>
        </is>
      </c>
      <c r="B27" s="4" t="n">
        <v>0.03</v>
      </c>
      <c r="C27" s="4" t="inlineStr">
        <is>
          <t>ПРАВИЛО</t>
        </is>
      </c>
      <c r="D27" s="22" t="inlineStr">
        <is>
          <t>Потолок ставки — доля ТЕКУЩЕГО банка пула</t>
        </is>
      </c>
    </row>
    <row r="28">
      <c r="A28" s="4" t="inlineStr">
        <is>
          <t>min_stake</t>
        </is>
      </c>
      <c r="B28" s="4" t="n">
        <v>5</v>
      </c>
      <c r="C28" s="4" t="inlineStr">
        <is>
          <t>ПРАВИЛО</t>
        </is>
      </c>
      <c r="D28" s="22" t="inlineStr">
        <is>
          <t>Ставки меньше — не делаются</t>
        </is>
      </c>
    </row>
    <row r="29">
      <c r="A29" s="4" t="inlineStr">
        <is>
          <t>Часовой пояс</t>
        </is>
      </c>
      <c r="B29" s="4" t="inlineStr">
        <is>
          <t>Asia/Yekaterinburg (UTC+5)</t>
        </is>
      </c>
      <c r="C29" s="4" t="inlineStr"/>
      <c r="D29" s="4" t="inlineStr">
        <is>
          <t>Основное время пользователя; в журнале время матча — МСК</t>
        </is>
      </c>
    </row>
    <row r="30">
      <c r="A30" s="4" t="inlineStr">
        <is>
          <t>Источники</t>
        </is>
      </c>
      <c r="B30" s="4" t="inlineStr">
        <is>
          <t>KHL.ru, FONBET, Winline</t>
        </is>
      </c>
      <c r="C30" s="4" t="inlineStr"/>
      <c r="D30" s="4" t="inlineStr">
        <is>
          <t>Протоколы и составы — KHL.ru; линии — обе стороны рынка с отметкой времени</t>
        </is>
      </c>
    </row>
    <row r="31">
      <c r="A31" s="4" t="inlineStr">
        <is>
          <t>Стоп-правило пула</t>
        </is>
      </c>
      <c r="B31" s="4" t="inlineStr">
        <is>
          <t>Банк &lt; 50% стартового</t>
        </is>
      </c>
      <c r="C31" s="4" t="inlineStr">
        <is>
          <t>ПРАВИЛО</t>
        </is>
      </c>
      <c r="D31" s="4" t="inlineStr">
        <is>
          <t>Пул останавливается, модель пересматривается</t>
        </is>
      </c>
    </row>
    <row r="32">
      <c r="A32" s="4" t="inlineStr">
        <is>
          <t>Стоп-правило модели</t>
        </is>
      </c>
      <c r="B32" s="4" t="inlineStr">
        <is>
          <t>CLV ≤ 0 после 150 ставок</t>
        </is>
      </c>
      <c r="C32" s="4" t="inlineStr">
        <is>
          <t>ПРАВИЛО</t>
        </is>
      </c>
      <c r="D32" s="4" t="inlineStr">
        <is>
          <t>Ставки прекращаются до перекалибровки</t>
        </is>
      </c>
    </row>
  </sheetData>
  <conditionalFormatting sqref="C2:C29">
    <cfRule type="expression" priority="1" dxfId="3">
      <formula>C2="PROVISIONAL"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23" t="inlineStr">
        <is>
          <t># khl_simulation — рабочий промпт v2.0 (01.10.2026, Asia/Yekaterinburg UTC+5)</t>
        </is>
      </c>
    </row>
    <row r="2">
      <c r="A2" s="19" t="inlineStr">
        <is>
          <t>1. Роль: аналитик хоккейных данных. Все вероятности, λ, EV и размеры ставок считает ТОЛЬКО код khl_model (репозиторий, папка khl_simulation). Вручную задавать или «подправлять» λ, вероятности, EV и ставки запрещено. Если код запустить нельзя — в этот день ставок нет.</t>
        </is>
      </c>
    </row>
    <row r="3">
      <c r="A3" s="19" t="inlineStr">
        <is>
          <t>2. Область запуска: матчи КХЛ ближайших 24 часов, которые ещё не начались. Начавшиеся матчи не анализируются и в журнал не вносятся.</t>
        </is>
      </c>
    </row>
    <row r="4">
      <c r="A4" s="19" t="inlineStr">
        <is>
          <t>3. Данные о результатах: после каждого игрового дня дописать в results.csv сыгранные матчи — date, season, home, away, home_goals_60, away_goals_60, home_goals_final, away_goals_final, decided (REG/OT/SO). Счёт за 60 минут — из протокола KHL.ru (с голами в пустые ворота). Названия команд — строго как во вкладке «Рейтинги».</t>
        </is>
      </c>
    </row>
    <row r="5">
      <c r="A5" s="19" t="inlineStr">
        <is>
          <t>4. Данные о матче (matches.csv): match_id, date, time_msk, home, away, home_backup_goalie / away_backup_goalie (1 — подтверждён запасной вратарь), home_b2b / away_b2b (1 — второй матч за 2 дня), home_tz_shift / away_tz_shift (смена часовых поясов за последние 48 ч, часы). Неподтверждённое — оставлять пустым, не угадывать.</t>
        </is>
      </c>
    </row>
    <row r="6">
      <c r="A6" s="19" t="inlineStr">
        <is>
          <t>5. Коэффициенты (odds.csv): ОБЕ (все) стороны каждого рынка с отметкой времени taken_at: 1X2, DC (1X/X2/12), TOTAL 4.5/5.5/6.5 (O и U), HCP ±1.5 (1 и 2), ML_OT (победитель с ОТ/Б). Без второй стороны маржа снимается грубо.</t>
        </is>
      </c>
    </row>
    <row r="7">
      <c r="A7" s="19" t="inlineStr">
        <is>
          <t>6. Расчёт: python -m khl_model fit --results results.csv --as-of &lt;дата&gt; --out ratings.json → python -m khl_model predict --matches matches.csv --odds odds.csv --ratings ratings.json --journal journal.csv. Защита от утечки: fit использует только матчи СТРОГО до даты прогноза.</t>
        </is>
      </c>
    </row>
    <row r="8">
      <c r="A8" s="19" t="inlineStr">
        <is>
          <t>7. Модель v2.0: log λ_home = μ + h + att_home − def_away; log λ_away = μ + att_away − def_home (затухание по времени, регрессия к среднему между сезонами). Матрица счетов за 60 минут считается точно (без Monte Carlo), с поправкой на ничьи (θ) и на голы в пустые ворота. ОТ 3×3 и буллиты — отдельно, сила команд в ОТ сжата к 50/50.</t>
        </is>
      </c>
    </row>
    <row r="9">
      <c r="A9" s="19" t="inlineStr">
        <is>
          <t>8. Смешивание с рынком: итоговая вероятность = логарифмический пулинг модели и рынка без маржи (вес модели — market_weight_model). EV считается только по итоговой вероятности.</t>
        </is>
      </c>
    </row>
    <row r="10">
      <c r="A10" s="19" t="inlineStr">
        <is>
          <t>9. Отбор: только строки из picks.csv. Условия: EV ≥ 3% и EV ≥ 0 во всех стресс-сценариях; не больше 1 ставки на матч. Пул определяется коэффициентом: Надёжное &lt; 1.60 ≤ Главное &lt; 2.20 ≤ Смелое. День без ставок — нормальный исход.</t>
        </is>
      </c>
    </row>
    <row r="11">
      <c r="A11" s="19" t="inlineStr">
        <is>
          <t>10. Банк: у каждого пула свой банк, старт 1 000 у.е. Ставка = ¼ Келли от ТЕКУЩЕГО банка пула, но не больше 3% банка и не меньше 5 у.е. Банк не может уйти в минус. Пул с банком &lt; 50% стартового останавливается.</t>
        </is>
      </c>
    </row>
    <row r="12">
      <c r="A12" s="19" t="inlineStr">
        <is>
          <t>11. Журнал (вкладка KHL, строки с 8): одна строка на ставку, все поля из picks.csv: Пул, Рынок, Выбор, Линия, Коэффициент, Букмекер, Время кэфа, λ, p модели, q рынка, p итог, p возврата, Fair кэф, EV, EV худший, Kelly, Банк пула до ставки, Ставка. Строку вносить ДО начала матча; после стартового свистка эти поля не меняются.</t>
        </is>
      </c>
    </row>
    <row r="13">
      <c r="A13" s="19" t="inlineStr">
        <is>
          <t>12. Прогнозы (вкладка «Прогнозы»): одна строка на КАЖДЫЙ разобранный матч, даже без ставки — λ, P1/X/P2 за 60 минут, П1/П2 с ОТ/Б, q1/qX/q2 рынка без маржи. Это основа оценки качества модели.</t>
        </is>
      </c>
    </row>
    <row r="14">
      <c r="A14" s="19" t="inlineStr">
        <is>
          <t>13. Закрытие линии: за 0–15 минут до начала записать «Кэф закрытия» и «q закрытия» (без маржи по обеим сторонам). CLV = кэф × q закрытия − 1. Устойчивый CLV &gt; 0 — главный признак реального перевеса.</t>
        </is>
      </c>
    </row>
    <row r="15">
      <c r="A15" s="19" t="inlineStr">
        <is>
          <t>14. Расчёт ставок: после матча внести «Счёт 60м», «Счёт итог» (с пометкой ОТ/Б) и «Результат»: ЗАШЛО / НЕ ЗАШЛО / ВОЗВРАТ / ОТМЕНА; до матча — ОЖИДАНИЕ. P&amp;L, банки, yield, CLV, Brier и цвета считаются формулами и условным форматированием — вручную не вписывать. ML_OT рассчитывается по итоговому счёту, остальные рынки — по счёту за 60 минут.</t>
        </is>
      </c>
    </row>
    <row r="16">
      <c r="A16" s="19" t="inlineStr">
        <is>
          <t>15. Обоснование: только из признаков модели — разница рейтингов, вратари, b2b, перелёты, расхождение модели и рынка. Сюжетные объяснения без чисел не писать.</t>
        </is>
      </c>
    </row>
    <row r="17">
      <c r="A17" s="19" t="inlineStr">
        <is>
          <t>16. Качество и калибровка: раз в неделю — python -m khl_model evaluate --journal journal.csv и сравнение Brier/log loss модели и рынка во вкладке «Прогнозы». Раз в месяц (и обязательно после ≥ 300 матчей с начала сезона) — python -m khl_model calibrate --results results.csv; параметры PROVISIONAL во вкладке «Настройки» заменяются откалиброванными. Если после 150 ставок средний CLV ≤ 0 — ставки прекращаются до пересмотра модели.</t>
        </is>
      </c>
    </row>
    <row r="18">
      <c r="A18" s="19" t="inlineStr">
        <is>
          <t>17. Статистическая честность: по выборке меньше нескольких сотен ставок yield почти ничего не говорит (стандартная ошибка указана в отчёте evaluate). Решения о модели принимаются по CLV и Brier/log loss против рынка, а не по win rate.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80" customWidth="1" min="40" max="40"/>
  </cols>
  <sheetData>
    <row r="1">
      <c r="A1" s="1" t="inlineStr">
        <is>
          <t>Категория событий</t>
        </is>
      </c>
      <c r="B1" s="1" t="inlineStr">
        <is>
          <t>Начальный банк</t>
        </is>
      </c>
      <c r="C1" s="1" t="inlineStr">
        <is>
          <t>Текущий банк</t>
        </is>
      </c>
      <c r="D1" s="1" t="inlineStr">
        <is>
          <t>Размер ставки</t>
        </is>
      </c>
      <c r="E1" s="1" t="inlineStr">
        <is>
          <t>Текущий P&amp;L</t>
        </is>
      </c>
      <c r="F1" s="1" t="inlineStr">
        <is>
          <t>Всего событий</t>
        </is>
      </c>
      <c r="G1" s="1" t="inlineStr">
        <is>
          <t>Зашло</t>
        </is>
      </c>
      <c r="H1" s="1" t="inlineStr">
        <is>
          <t>Не зашло</t>
        </is>
      </c>
      <c r="I1" s="1" t="inlineStr">
        <is>
          <t>В игре / Ожидание</t>
        </is>
      </c>
      <c r="J1" s="1" t="inlineStr">
        <is>
          <t>Win Rate</t>
        </is>
      </c>
    </row>
    <row r="2">
      <c r="A2" t="inlineStr">
        <is>
          <t>Главное событие</t>
        </is>
      </c>
      <c r="B2" t="n">
        <v>1000</v>
      </c>
      <c r="C2" t="n">
        <v>830</v>
      </c>
      <c r="D2" t="n">
        <v>1000</v>
      </c>
      <c r="E2" t="n">
        <v>-170</v>
      </c>
      <c r="F2" t="n">
        <v>7</v>
      </c>
      <c r="G2" t="n">
        <v>4</v>
      </c>
      <c r="H2" t="n">
        <v>3</v>
      </c>
      <c r="I2" t="n">
        <v>0</v>
      </c>
      <c r="J2" s="24" t="n">
        <v>0.571</v>
      </c>
    </row>
    <row r="3">
      <c r="A3" t="inlineStr">
        <is>
          <t>Надёжное событие</t>
        </is>
      </c>
      <c r="B3" t="n">
        <v>1000</v>
      </c>
      <c r="C3" t="n">
        <v>-1200</v>
      </c>
      <c r="D3" t="n">
        <v>1000</v>
      </c>
      <c r="E3" t="n">
        <v>-2200</v>
      </c>
      <c r="F3" t="n">
        <v>7</v>
      </c>
      <c r="G3" t="n">
        <v>4</v>
      </c>
      <c r="H3" t="n">
        <v>3</v>
      </c>
      <c r="I3" t="n">
        <v>0</v>
      </c>
      <c r="J3" s="24" t="n">
        <v>0.571</v>
      </c>
    </row>
    <row r="4">
      <c r="A4" t="inlineStr">
        <is>
          <t>Смелое событие</t>
        </is>
      </c>
      <c r="B4" t="n">
        <v>1000</v>
      </c>
      <c r="C4" t="n">
        <v>4010</v>
      </c>
      <c r="D4" t="n">
        <v>1000</v>
      </c>
      <c r="E4" t="n">
        <v>3010</v>
      </c>
      <c r="F4" t="n">
        <v>7</v>
      </c>
      <c r="G4" t="n">
        <v>5</v>
      </c>
      <c r="H4" t="n">
        <v>2</v>
      </c>
      <c r="I4" t="n">
        <v>0</v>
      </c>
      <c r="J4" s="24" t="n">
        <v>0.714</v>
      </c>
    </row>
    <row r="5">
      <c r="A5" t="inlineStr">
        <is>
          <t>ИТОГО</t>
        </is>
      </c>
      <c r="B5" t="n">
        <v>3000</v>
      </c>
      <c r="C5" t="n">
        <v>3640</v>
      </c>
      <c r="D5" t="inlineStr">
        <is>
          <t>-</t>
        </is>
      </c>
      <c r="E5" t="n">
        <v>640</v>
      </c>
      <c r="F5" t="n">
        <v>21</v>
      </c>
      <c r="G5" t="n">
        <v>13</v>
      </c>
      <c r="H5" t="n">
        <v>8</v>
      </c>
      <c r="I5" t="n">
        <v>0</v>
      </c>
      <c r="J5" s="24" t="n">
        <v>0.619</v>
      </c>
    </row>
    <row r="7">
      <c r="A7" s="1" t="inlineStr">
        <is>
          <t>ID</t>
        </is>
      </c>
      <c r="B7" s="1" t="inlineStr">
        <is>
          <t>Дата</t>
        </is>
      </c>
      <c r="C7" s="1" t="inlineStr">
        <is>
          <t>Время МСК</t>
        </is>
      </c>
      <c r="D7" s="1" t="inlineStr">
        <is>
          <t>Турнир</t>
        </is>
      </c>
      <c r="E7" s="1" t="inlineStr">
        <is>
          <t>Хозяева</t>
        </is>
      </c>
      <c r="F7" s="1" t="inlineStr">
        <is>
          <t>Гости</t>
        </is>
      </c>
      <c r="G7" s="1" t="inlineStr">
        <is>
          <t>Cutoff</t>
        </is>
      </c>
      <c r="H7" s="1" t="inlineStr">
        <is>
          <t>Версия</t>
        </is>
      </c>
      <c r="I7" s="1" t="inlineStr">
        <is>
          <t>Тип строки</t>
        </is>
      </c>
      <c r="J7" s="1" t="inlineStr">
        <is>
          <t>Рынок</t>
        </is>
      </c>
      <c r="K7" s="1" t="inlineStr">
        <is>
          <t>Линия</t>
        </is>
      </c>
      <c r="L7" s="1" t="inlineStr">
        <is>
          <t>Выбор</t>
        </is>
      </c>
      <c r="M7" s="1" t="inlineStr">
        <is>
          <t>Решение</t>
        </is>
      </c>
      <c r="N7" s="1" t="inlineStr">
        <is>
          <t>Надёжное событие</t>
        </is>
      </c>
      <c r="O7" s="1" t="inlineStr">
        <is>
          <t>Смелое событие</t>
        </is>
      </c>
      <c r="P7" s="1" t="inlineStr">
        <is>
          <t>p_win</t>
        </is>
      </c>
      <c r="Q7" s="1" t="inlineStr">
        <is>
          <t>p_push</t>
        </is>
      </c>
      <c r="R7" s="1" t="inlineStr">
        <is>
          <t>p_loss</t>
        </is>
      </c>
      <c r="S7" s="1" t="inlineStr">
        <is>
          <t>Fair кэф</t>
        </is>
      </c>
      <c r="T7" s="1" t="inlineStr">
        <is>
          <t>Коэффициент</t>
        </is>
      </c>
      <c r="U7" s="1" t="inlineStr">
        <is>
          <t>Букмекер</t>
        </is>
      </c>
      <c r="V7" s="1" t="inlineStr">
        <is>
          <t>q_market</t>
        </is>
      </c>
      <c r="W7" s="1" t="inlineStr">
        <is>
          <t>Преимущество</t>
        </is>
      </c>
      <c r="X7" s="1" t="inlineStr">
        <is>
          <t>EV</t>
        </is>
      </c>
      <c r="Y7" s="1" t="inlineStr">
        <is>
          <t>Размер</t>
        </is>
      </c>
      <c r="Z7" s="1" t="inlineStr">
        <is>
          <t>Счёт 60м</t>
        </is>
      </c>
      <c r="AA7" s="1" t="inlineStr">
        <is>
          <t>Счёт итог</t>
        </is>
      </c>
      <c r="AB7" s="1" t="inlineStr">
        <is>
          <t>Статус расчёта</t>
        </is>
      </c>
      <c r="AC7" s="1" t="inlineStr">
        <is>
          <t>P&amp;L</t>
        </is>
      </c>
      <c r="AD7" s="1" t="inlineStr">
        <is>
          <t>λ_home : λ_away</t>
        </is>
      </c>
      <c r="AE7" s="1" t="inlineStr">
        <is>
          <t>П1 (60м)</t>
        </is>
      </c>
      <c r="AF7" s="1" t="inlineStr">
        <is>
          <t>X (60м)</t>
        </is>
      </c>
      <c r="AG7" s="1" t="inlineStr">
        <is>
          <t>П2 (60м)</t>
        </is>
      </c>
      <c r="AH7" s="1" t="inlineStr">
        <is>
          <t>Поб1 ОТ/Б</t>
        </is>
      </c>
      <c r="AI7" s="1" t="inlineStr">
        <is>
          <t>Поб2 ОТ/Б</t>
        </is>
      </c>
      <c r="AJ7" s="1" t="inlineStr">
        <is>
          <t>Топ счета (вероятность)</t>
        </is>
      </c>
      <c r="AK7" s="1" t="inlineStr">
        <is>
          <t>80% интервал тотала</t>
        </is>
      </c>
      <c r="AL7" s="1" t="inlineStr">
        <is>
          <t>N симуляций</t>
        </is>
      </c>
      <c r="AM7" s="1" t="inlineStr">
        <is>
          <t>Seed</t>
        </is>
      </c>
      <c r="AN7" s="1" t="inlineStr">
        <is>
          <t>Ограничения и источники</t>
        </is>
      </c>
    </row>
    <row r="8">
      <c r="A8" t="inlineStr">
        <is>
          <t>KHL-2026-09-29-01</t>
        </is>
      </c>
      <c r="B8" t="inlineStr">
        <is>
          <t>29.09.2026</t>
        </is>
      </c>
      <c r="C8" s="25" t="n">
        <v>0.5</v>
      </c>
      <c r="D8" t="inlineStr">
        <is>
          <t>КХЛ Регулярный чемпионат</t>
        </is>
      </c>
      <c r="E8" t="inlineStr">
        <is>
          <t>Амур</t>
        </is>
      </c>
      <c r="F8" t="inlineStr">
        <is>
          <t>Нефтехимик</t>
        </is>
      </c>
      <c r="G8" t="inlineStr">
        <is>
          <t>29.09.2026 15:37 UTC+5</t>
        </is>
      </c>
      <c r="H8" t="inlineStr">
        <is>
          <t>v1.0</t>
        </is>
      </c>
      <c r="I8" t="inlineStr">
        <is>
          <t>MATCH</t>
        </is>
      </c>
      <c r="J8" t="inlineStr">
        <is>
          <t>Основной</t>
        </is>
      </c>
      <c r="K8" t="inlineStr">
        <is>
          <t>-</t>
        </is>
      </c>
      <c r="L8" t="inlineStr">
        <is>
          <t>-</t>
        </is>
      </c>
      <c r="M8" t="inlineStr">
        <is>
          <t>RETRO / НЕТ ПРОГНОЗА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1:0</t>
        </is>
      </c>
      <c r="AA8" t="inlineStr">
        <is>
          <t>1:0</t>
        </is>
      </c>
      <c r="AB8" t="inlineStr">
        <is>
          <t>РАСЧИТАНО (RETRO)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Матч начался в 12:00 МСК до запуска системы (cutoff 15:37 UTC+5). По протоколу исключен из предматчевого анализа. KHL.ru, Winline</t>
        </is>
      </c>
    </row>
    <row r="9">
      <c r="A9" t="inlineStr">
        <is>
          <t>KHL-2026-09-29-02-M02</t>
        </is>
      </c>
      <c r="B9" t="inlineStr">
        <is>
          <t>29.09.2026</t>
        </is>
      </c>
      <c r="C9" s="25" t="n">
        <v>0.8125</v>
      </c>
      <c r="D9" t="inlineStr">
        <is>
          <t>КХЛ Регулярный чемпионат</t>
        </is>
      </c>
      <c r="E9" t="inlineStr">
        <is>
          <t>ЦСКА</t>
        </is>
      </c>
      <c r="F9" t="inlineStr">
        <is>
          <t>СКА</t>
        </is>
      </c>
      <c r="G9" t="inlineStr">
        <is>
          <t>29.09.2026 15:37 UTC+5</t>
        </is>
      </c>
      <c r="H9" t="inlineStr">
        <is>
          <t>v1.0</t>
        </is>
      </c>
      <c r="I9" t="inlineStr">
        <is>
          <t>MARKET</t>
        </is>
      </c>
      <c r="J9" t="inlineStr">
        <is>
          <t>Тотал 5.5 (60 мин)</t>
        </is>
      </c>
      <c r="K9" t="inlineStr">
        <is>
          <t>ТМ 5.5</t>
        </is>
      </c>
      <c r="L9" t="inlineStr">
        <is>
          <t>❌ ТМ 5.5</t>
        </is>
      </c>
      <c r="M9" t="inlineStr">
        <is>
          <t>ВИРТУАЛЬНЫЙ ВЫБОР</t>
        </is>
      </c>
      <c r="N9" t="inlineStr">
        <is>
          <t>✅ 1X [1.32] 70.7%</t>
        </is>
      </c>
      <c r="O9" t="inlineStr">
        <is>
          <t>✅ П1 [1.91] 52.9%</t>
        </is>
      </c>
      <c r="P9" s="24" t="n">
        <v>0.6232</v>
      </c>
      <c r="Q9" s="24" t="n">
        <v>0</v>
      </c>
      <c r="R9" s="24" t="n">
        <v>0.3768</v>
      </c>
      <c r="S9" t="n">
        <v>1.605</v>
      </c>
      <c r="T9" t="n">
        <v>1.76</v>
      </c>
      <c r="U9" t="inlineStr">
        <is>
          <t>FONBET</t>
        </is>
      </c>
      <c r="V9" s="24" t="n">
        <v>0.5417</v>
      </c>
      <c r="W9" t="n">
        <v>0.0815</v>
      </c>
      <c r="X9" t="n">
        <v>0.0968</v>
      </c>
      <c r="Y9" t="n">
        <v>1000</v>
      </c>
      <c r="Z9" t="inlineStr">
        <is>
          <t>6:5</t>
        </is>
      </c>
      <c r="AA9" t="inlineStr">
        <is>
          <t>6:5</t>
        </is>
      </c>
      <c r="AB9" t="inlineStr">
        <is>
          <t>❌ НЕ ЗАШЛО</t>
        </is>
      </c>
      <c r="AC9" t="n">
        <v>-1000</v>
      </c>
      <c r="AD9" t="inlineStr">
        <is>
          <t>2.82 : 2.14</t>
        </is>
      </c>
      <c r="AE9" s="24" t="n">
        <v>0.5286999999999999</v>
      </c>
      <c r="AF9" s="24" t="n">
        <v>0.1784</v>
      </c>
      <c r="AG9" s="24" t="n">
        <v>0.2929</v>
      </c>
      <c r="AH9" s="24" t="n">
        <v>0.6252</v>
      </c>
      <c r="AI9" s="24" t="n">
        <v>0.3748</v>
      </c>
      <c r="AJ9" t="inlineStr">
        <is>
          <t>2:2 (6.58%), 3:2 (6.17%)</t>
        </is>
      </c>
      <c r="AK9" t="inlineStr">
        <is>
          <t>[2, 8]</t>
        </is>
      </c>
      <c r="AL9" t="n">
        <v>100000</v>
      </c>
      <c r="AM9" t="n">
        <v>42</v>
      </c>
      <c r="AN9" t="inlineStr">
        <is>
          <t>ВИРТУАЛЬНЫЙ ВЫБОР: EV (+9.68%) превышает порог 3.0%, оборона ЦСКА (И. Никитин) надежна.</t>
        </is>
      </c>
    </row>
    <row r="10">
      <c r="A10" t="inlineStr">
        <is>
          <t>KHL-2026-09-30-01-M01</t>
        </is>
      </c>
      <c r="B10" t="inlineStr">
        <is>
          <t>30.09.2026</t>
        </is>
      </c>
      <c r="C10" s="25" t="n">
        <v>0.7083333333333334</v>
      </c>
      <c r="D10" t="inlineStr">
        <is>
          <t>КХЛ Регулярный чемпионат</t>
        </is>
      </c>
      <c r="E10" t="inlineStr">
        <is>
          <t>Автомобилист</t>
        </is>
      </c>
      <c r="F10" t="inlineStr">
        <is>
          <t>Лада</t>
        </is>
      </c>
      <c r="G10" t="inlineStr">
        <is>
          <t>30.09.2026 14:41 UTC+5</t>
        </is>
      </c>
      <c r="H10" t="inlineStr">
        <is>
          <t>v1.0</t>
        </is>
      </c>
      <c r="I10" t="inlineStr">
        <is>
          <t>MARKET</t>
        </is>
      </c>
      <c r="J10" t="inlineStr">
        <is>
          <t>1X2 (60 мин)</t>
        </is>
      </c>
      <c r="K10" t="inlineStr">
        <is>
          <t>П1</t>
        </is>
      </c>
      <c r="L10" t="inlineStr">
        <is>
          <t>✅ Автомобилист</t>
        </is>
      </c>
      <c r="M10" t="inlineStr">
        <is>
          <t>ВИРТУАЛЬНЫЙ ВЫБОР</t>
        </is>
      </c>
      <c r="N10" t="inlineStr">
        <is>
          <t>✅ 1X [1.18] 81.8%</t>
        </is>
      </c>
      <c r="O10" t="inlineStr">
        <is>
          <t>✅ Ф1(-1.5) [2.05] 47.8%</t>
        </is>
      </c>
      <c r="P10" s="24" t="n">
        <v>0.6635</v>
      </c>
      <c r="Q10" s="24" t="n">
        <v>0</v>
      </c>
      <c r="R10" s="24" t="n">
        <v>0.3365</v>
      </c>
      <c r="S10" t="n">
        <v>1.507</v>
      </c>
      <c r="T10" t="n">
        <v>1.6</v>
      </c>
      <c r="U10" t="inlineStr">
        <is>
          <t>FONBET</t>
        </is>
      </c>
      <c r="V10" s="24" t="n">
        <v>0.5952</v>
      </c>
      <c r="W10" t="n">
        <v>0.0683</v>
      </c>
      <c r="X10" t="n">
        <v>0.0616</v>
      </c>
      <c r="Y10" t="n">
        <v>1000</v>
      </c>
      <c r="Z10" t="inlineStr">
        <is>
          <t>3:1</t>
        </is>
      </c>
      <c r="AA10" t="inlineStr">
        <is>
          <t>3:1</t>
        </is>
      </c>
      <c r="AB10" t="inlineStr">
        <is>
          <t>✅ ЗАШЛО</t>
        </is>
      </c>
      <c r="AC10" t="n">
        <v>600</v>
      </c>
      <c r="AD10" t="inlineStr">
        <is>
          <t>3.15 : 1.70</t>
        </is>
      </c>
      <c r="AE10" s="24" t="n">
        <v>0.6635</v>
      </c>
      <c r="AF10" s="24" t="n">
        <v>0.1549</v>
      </c>
      <c r="AG10" s="24" t="n">
        <v>0.1815</v>
      </c>
      <c r="AH10" s="24" t="n">
        <v>0.7437</v>
      </c>
      <c r="AI10" s="24" t="n">
        <v>0.2563</v>
      </c>
      <c r="AJ10" t="inlineStr">
        <is>
          <t>3:1 (6.9%), 2:1 (6.6%), 3:2 (5.9%)</t>
        </is>
      </c>
      <c r="AK10" t="inlineStr">
        <is>
          <t>[2, 8]</t>
        </is>
      </c>
      <c r="AL10" t="n">
        <v>100000</v>
      </c>
      <c r="AM10" t="n">
        <v>42</v>
      </c>
      <c r="AN10" t="inlineStr">
        <is>
          <t>ВИРТУАЛЬНЫЙ ВЫБОР: EV (+6.16%) &gt; 3%. Мощная атака Автомобилиста дома против проблемной обороны Лады. FONBET.</t>
        </is>
      </c>
    </row>
    <row r="11">
      <c r="A11" t="inlineStr">
        <is>
          <t>KHL-2026-09-30-02-M01</t>
        </is>
      </c>
      <c r="B11" t="inlineStr">
        <is>
          <t>30.09.2026</t>
        </is>
      </c>
      <c r="C11" s="25" t="n">
        <v>0.7916666666666666</v>
      </c>
      <c r="D11" t="inlineStr">
        <is>
          <t>КХЛ Регулярный чемпионат</t>
        </is>
      </c>
      <c r="E11" t="inlineStr">
        <is>
          <t>Ак Барс</t>
        </is>
      </c>
      <c r="F11" t="inlineStr">
        <is>
          <t>Барыс</t>
        </is>
      </c>
      <c r="G11" t="inlineStr">
        <is>
          <t>30.09.2026 14:41 UTC+5</t>
        </is>
      </c>
      <c r="H11" t="inlineStr">
        <is>
          <t>v1.0</t>
        </is>
      </c>
      <c r="I11" t="inlineStr">
        <is>
          <t>MARKET</t>
        </is>
      </c>
      <c r="J11" t="inlineStr">
        <is>
          <t>1X2 (60 мин)</t>
        </is>
      </c>
      <c r="K11" t="inlineStr">
        <is>
          <t>П1</t>
        </is>
      </c>
      <c r="L11" t="inlineStr">
        <is>
          <t>✅ Ак Барс</t>
        </is>
      </c>
      <c r="M11" t="inlineStr">
        <is>
          <t>ВИРТУАЛЬНЫЙ ВЫБОР</t>
        </is>
      </c>
      <c r="N11" t="inlineStr">
        <is>
          <t>✅ 1X [1.14] 86.2%</t>
        </is>
      </c>
      <c r="O11" t="inlineStr">
        <is>
          <t>✅ Ф1(-1.5) [1.85] 53.2%</t>
        </is>
      </c>
      <c r="P11" s="24" t="n">
        <v>0.7282999999999999</v>
      </c>
      <c r="Q11" s="24" t="n">
        <v>0</v>
      </c>
      <c r="R11" s="24" t="n">
        <v>0.2717</v>
      </c>
      <c r="S11" t="n">
        <v>1.373</v>
      </c>
      <c r="T11" t="n">
        <v>1.48</v>
      </c>
      <c r="U11" t="inlineStr">
        <is>
          <t>Winline</t>
        </is>
      </c>
      <c r="V11" s="24" t="n">
        <v>0.6435</v>
      </c>
      <c r="W11" t="n">
        <v>0.0848</v>
      </c>
      <c r="X11" t="n">
        <v>0.0779</v>
      </c>
      <c r="Y11" t="n">
        <v>1000</v>
      </c>
      <c r="Z11" t="inlineStr">
        <is>
          <t>4:1</t>
        </is>
      </c>
      <c r="AA11" t="inlineStr">
        <is>
          <t>4:1</t>
        </is>
      </c>
      <c r="AB11" t="inlineStr">
        <is>
          <t>✅ ЗАШЛО</t>
        </is>
      </c>
      <c r="AC11" t="n">
        <v>480</v>
      </c>
      <c r="AD11" t="inlineStr">
        <is>
          <t>3.40 : 1.55</t>
        </is>
      </c>
      <c r="AE11" s="24" t="n">
        <v>0.7282999999999999</v>
      </c>
      <c r="AF11" s="24" t="n">
        <v>0.1337</v>
      </c>
      <c r="AG11" s="24" t="n">
        <v>0.138</v>
      </c>
      <c r="AH11" s="24" t="n">
        <v>0.7982</v>
      </c>
      <c r="AI11" s="24" t="n">
        <v>0.2018</v>
      </c>
      <c r="AJ11" t="inlineStr">
        <is>
          <t>3:1 (7.3%), 2:1 (6.2%), 4:1 (6.1%)</t>
        </is>
      </c>
      <c r="AK11" t="inlineStr">
        <is>
          <t>[2, 8]</t>
        </is>
      </c>
      <c r="AL11" t="n">
        <v>100000</v>
      </c>
      <c r="AM11" t="n">
        <v>43</v>
      </c>
      <c r="AN11" t="inlineStr">
        <is>
          <t>ВИРТУАЛЬНЫЙ ВЫБОР: EV (+7.79%) &gt; 3%. Ак Барс доминирует по контролю и глубине состава на домашнем льду. Winline.</t>
        </is>
      </c>
    </row>
    <row r="12">
      <c r="A12" t="inlineStr">
        <is>
          <t>KHL-2026-09-30-03-M01</t>
        </is>
      </c>
      <c r="B12" t="inlineStr">
        <is>
          <t>30.09.2026</t>
        </is>
      </c>
      <c r="C12" s="25" t="n">
        <v>0.8125</v>
      </c>
      <c r="D12" t="inlineStr">
        <is>
          <t>КХЛ Регулярный чемпионат</t>
        </is>
      </c>
      <c r="E12" t="inlineStr">
        <is>
          <t>Локомотив</t>
        </is>
      </c>
      <c r="F12" t="inlineStr">
        <is>
          <t>Сибирь</t>
        </is>
      </c>
      <c r="G12" t="inlineStr">
        <is>
          <t>30.09.2026 14:41 UTC+5</t>
        </is>
      </c>
      <c r="H12" t="inlineStr">
        <is>
          <t>v1.0</t>
        </is>
      </c>
      <c r="I12" t="inlineStr">
        <is>
          <t>MARKET</t>
        </is>
      </c>
      <c r="J12" t="inlineStr">
        <is>
          <t>Тотал 4.5 (60 мин)</t>
        </is>
      </c>
      <c r="K12" t="inlineStr">
        <is>
          <t>ТМ 4.5</t>
        </is>
      </c>
      <c r="L12" t="inlineStr">
        <is>
          <t>✅ ТМ 4.5</t>
        </is>
      </c>
      <c r="M12" t="inlineStr">
        <is>
          <t>ВИРТУАЛЬНЫЙ ВЫБОР</t>
        </is>
      </c>
      <c r="N12" t="inlineStr">
        <is>
          <t>✅ 1X [1.16] 83.1%</t>
        </is>
      </c>
      <c r="O12" t="inlineStr">
        <is>
          <t>✅ П1 [1.55] 66.7%</t>
        </is>
      </c>
      <c r="P12" s="24" t="n">
        <v>0.5931999999999999</v>
      </c>
      <c r="Q12" s="24" t="n">
        <v>0</v>
      </c>
      <c r="R12" s="24" t="n">
        <v>0.4068</v>
      </c>
      <c r="S12" t="n">
        <v>1.686</v>
      </c>
      <c r="T12" t="n">
        <v>1.9</v>
      </c>
      <c r="U12" t="inlineStr">
        <is>
          <t>FONBET</t>
        </is>
      </c>
      <c r="V12" s="24" t="n">
        <v>0.5013</v>
      </c>
      <c r="W12" t="n">
        <v>0.0919</v>
      </c>
      <c r="X12" t="n">
        <v>0.1271</v>
      </c>
      <c r="Y12" t="n">
        <v>1000</v>
      </c>
      <c r="Z12" t="inlineStr">
        <is>
          <t>2:1</t>
        </is>
      </c>
      <c r="AA12" t="inlineStr">
        <is>
          <t>2:1</t>
        </is>
      </c>
      <c r="AB12" t="inlineStr">
        <is>
          <t>✅ ЗАШЛО</t>
        </is>
      </c>
      <c r="AC12" t="n">
        <v>900</v>
      </c>
      <c r="AD12" t="inlineStr">
        <is>
          <t>2.80 : 1.40</t>
        </is>
      </c>
      <c r="AE12" s="24" t="n">
        <v>0.6666</v>
      </c>
      <c r="AF12" s="24" t="n">
        <v>0.164</v>
      </c>
      <c r="AG12" s="24" t="n">
        <v>0.1694</v>
      </c>
      <c r="AH12" s="24" t="n">
        <v>0.7518</v>
      </c>
      <c r="AI12" s="24" t="n">
        <v>0.2482</v>
      </c>
      <c r="AJ12" t="inlineStr">
        <is>
          <t>2:1 (8.3%), 3:1 (7.7%), 1:1 (5.9%)</t>
        </is>
      </c>
      <c r="AK12" t="inlineStr">
        <is>
          <t>[2, 7]</t>
        </is>
      </c>
      <c r="AL12" t="n">
        <v>100000</v>
      </c>
      <c r="AM12" t="n">
        <v>44</v>
      </c>
      <c r="AN12" t="inlineStr">
        <is>
          <t>ВИРТУАЛЬНЫЙ ВЫБОР: EV (+12.71%) &gt; 3%. Ярославский Локомотив — лучшая оборонительная система лиги. FONBET.</t>
        </is>
      </c>
    </row>
    <row r="13">
      <c r="A13" t="inlineStr">
        <is>
          <t>KHL-2026-09-30-04-M01</t>
        </is>
      </c>
      <c r="B13" t="inlineStr">
        <is>
          <t>30.09.2026</t>
        </is>
      </c>
      <c r="C13" s="25" t="n">
        <v>0.8125</v>
      </c>
      <c r="D13" t="inlineStr">
        <is>
          <t>КХЛ Регулярный чемпионат</t>
        </is>
      </c>
      <c r="E13" t="inlineStr">
        <is>
          <t>ХК Сочи</t>
        </is>
      </c>
      <c r="F13" t="inlineStr">
        <is>
          <t>Салават Юлаев</t>
        </is>
      </c>
      <c r="G13" t="inlineStr">
        <is>
          <t>30.09.2026 14:41 UTC+5</t>
        </is>
      </c>
      <c r="H13" t="inlineStr">
        <is>
          <t>v1.0</t>
        </is>
      </c>
      <c r="I13" t="inlineStr">
        <is>
          <t>MARKET</t>
        </is>
      </c>
      <c r="J13" t="inlineStr">
        <is>
          <t>Тотал 5.5 (60 мин)</t>
        </is>
      </c>
      <c r="K13" t="inlineStr">
        <is>
          <t>ТМ 5.5</t>
        </is>
      </c>
      <c r="L13" t="inlineStr">
        <is>
          <t>✅ ТМ 5.5</t>
        </is>
      </c>
      <c r="M13" t="inlineStr">
        <is>
          <t>ВИРТУАЛЬНЫЙ ВЫБОР</t>
        </is>
      </c>
      <c r="N13" t="inlineStr">
        <is>
          <t>❌ X2 [1.20] 77.4%</t>
        </is>
      </c>
      <c r="O13" t="inlineStr">
        <is>
          <t>❌ П2 [1.68] 61.3%</t>
        </is>
      </c>
      <c r="P13" s="24" t="n">
        <v>0.6068</v>
      </c>
      <c r="Q13" s="24" t="n">
        <v>0</v>
      </c>
      <c r="R13" s="24" t="n">
        <v>0.3932</v>
      </c>
      <c r="S13" t="n">
        <v>1.648</v>
      </c>
      <c r="T13" t="n">
        <v>1.85</v>
      </c>
      <c r="U13" t="inlineStr">
        <is>
          <t>FONBET</t>
        </is>
      </c>
      <c r="V13" s="24" t="n">
        <v>0.5149</v>
      </c>
      <c r="W13" t="n">
        <v>0.0919</v>
      </c>
      <c r="X13" t="n">
        <v>0.1225</v>
      </c>
      <c r="Y13" t="n">
        <v>1000</v>
      </c>
      <c r="Z13" t="inlineStr">
        <is>
          <t>3:2</t>
        </is>
      </c>
      <c r="AA13" t="inlineStr">
        <is>
          <t>3:2</t>
        </is>
      </c>
      <c r="AB13" t="inlineStr">
        <is>
          <t>✅ ЗАШЛО</t>
        </is>
      </c>
      <c r="AC13" t="n">
        <v>850</v>
      </c>
      <c r="AD13" t="inlineStr">
        <is>
          <t>1.95 : 3.10</t>
        </is>
      </c>
      <c r="AE13" s="24" t="n">
        <v>0.2259</v>
      </c>
      <c r="AF13" s="24" t="n">
        <v>0.1615</v>
      </c>
      <c r="AG13" s="24" t="n">
        <v>0.6126</v>
      </c>
      <c r="AH13" s="24" t="n">
        <v>0.3095</v>
      </c>
      <c r="AI13" s="24" t="n">
        <v>0.6905</v>
      </c>
      <c r="AJ13" t="inlineStr">
        <is>
          <t>1:3 (6.2%), 2:3 (6.1%), 1:2 (6.0%)</t>
        </is>
      </c>
      <c r="AK13" t="inlineStr">
        <is>
          <t>[2, 8]</t>
        </is>
      </c>
      <c r="AL13" t="n">
        <v>100000</v>
      </c>
      <c r="AM13" t="n">
        <v>45</v>
      </c>
      <c r="AN13" t="inlineStr">
        <is>
          <t>ВИРТУАЛЬНЫЙ ВЫБОР: EV (+12.25%) &gt; 3%. Ожидается строгая игра Салавата в защите на выезде. FONBET.</t>
        </is>
      </c>
    </row>
    <row r="14">
      <c r="A14" t="inlineStr">
        <is>
          <t>KHL-2026-09-30-05-M01</t>
        </is>
      </c>
      <c r="B14" t="inlineStr">
        <is>
          <t>30.09.2026</t>
        </is>
      </c>
      <c r="C14" s="25" t="n">
        <v>0.8125</v>
      </c>
      <c r="D14" t="inlineStr">
        <is>
          <t>КХЛ Регулярный чемпионат</t>
        </is>
      </c>
      <c r="E14" t="inlineStr">
        <is>
          <t>Шанхайские Драконы</t>
        </is>
      </c>
      <c r="F14" t="inlineStr">
        <is>
          <t>Металлург Мг</t>
        </is>
      </c>
      <c r="G14" t="inlineStr">
        <is>
          <t>30.09.2026 14:41 UTC+5</t>
        </is>
      </c>
      <c r="H14" t="inlineStr">
        <is>
          <t>v1.0</t>
        </is>
      </c>
      <c r="I14" t="inlineStr">
        <is>
          <t>MARKET</t>
        </is>
      </c>
      <c r="J14" t="inlineStr">
        <is>
          <t>1X2 (60 мин)</t>
        </is>
      </c>
      <c r="K14" t="inlineStr">
        <is>
          <t>П2</t>
        </is>
      </c>
      <c r="L14" t="inlineStr">
        <is>
          <t>❌ Металлург Мг</t>
        </is>
      </c>
      <c r="M14" t="inlineStr">
        <is>
          <t>ВИРТУАЛЬНЫЙ ВЫБОР</t>
        </is>
      </c>
      <c r="N14" t="inlineStr">
        <is>
          <t>❌ X2 [1.22] 77.6%</t>
        </is>
      </c>
      <c r="O14" t="inlineStr">
        <is>
          <t>❌ Ф2(-1.5) [2.18] 43.1%</t>
        </is>
      </c>
      <c r="P14" s="24" t="n">
        <v>0.6223</v>
      </c>
      <c r="Q14" s="24" t="n">
        <v>0</v>
      </c>
      <c r="R14" s="24" t="n">
        <v>0.3777</v>
      </c>
      <c r="S14" t="n">
        <v>1.607</v>
      </c>
      <c r="T14" t="n">
        <v>1.7</v>
      </c>
      <c r="U14" t="inlineStr">
        <is>
          <t>Winline</t>
        </is>
      </c>
      <c r="V14" s="24" t="n">
        <v>0.5602</v>
      </c>
      <c r="W14" t="n">
        <v>0.0621</v>
      </c>
      <c r="X14" t="n">
        <v>0.0579</v>
      </c>
      <c r="Y14" t="n">
        <v>1000</v>
      </c>
      <c r="Z14" t="inlineStr">
        <is>
          <t>4:1</t>
        </is>
      </c>
      <c r="AA14" t="inlineStr">
        <is>
          <t>4:1</t>
        </is>
      </c>
      <c r="AB14" t="inlineStr">
        <is>
          <t>❌ НЕ ЗАШЛО</t>
        </is>
      </c>
      <c r="AC14" t="n">
        <v>-1000</v>
      </c>
      <c r="AD14" t="inlineStr">
        <is>
          <t>2.10 : 3.35</t>
        </is>
      </c>
      <c r="AE14" s="24" t="n">
        <v>0.2239</v>
      </c>
      <c r="AF14" s="24" t="n">
        <v>0.1538</v>
      </c>
      <c r="AG14" s="24" t="n">
        <v>0.6223</v>
      </c>
      <c r="AH14" s="24" t="n">
        <v>0.3044</v>
      </c>
      <c r="AI14" s="24" t="n">
        <v>0.6956</v>
      </c>
      <c r="AJ14" t="inlineStr">
        <is>
          <t>2:3 (6.0%), 1:3 (5.6%), 2:2 (5.3%)</t>
        </is>
      </c>
      <c r="AK14" t="inlineStr">
        <is>
          <t>[3, 9]</t>
        </is>
      </c>
      <c r="AL14" t="n">
        <v>100000</v>
      </c>
      <c r="AM14" t="n">
        <v>46</v>
      </c>
      <c r="AN14" t="inlineStr">
        <is>
          <t>ВИРТУАЛЬНЫЙ ВЫБОР: EV (+5.79%) &gt; 3%. Металлург превосходит соперника в скорости и реализации большинства. Winline.</t>
        </is>
      </c>
    </row>
    <row r="15">
      <c r="A15" t="inlineStr">
        <is>
          <t>KHL-2026-09-30-06-M01</t>
        </is>
      </c>
      <c r="B15" t="inlineStr">
        <is>
          <t>30.09.2026</t>
        </is>
      </c>
      <c r="C15" s="25" t="n">
        <v>0.8125</v>
      </c>
      <c r="D15" t="inlineStr">
        <is>
          <t>КХЛ Регулярный чемпионат</t>
        </is>
      </c>
      <c r="E15" t="inlineStr">
        <is>
          <t>Спартак</t>
        </is>
      </c>
      <c r="F15" t="inlineStr">
        <is>
          <t>Трактор</t>
        </is>
      </c>
      <c r="G15" t="inlineStr">
        <is>
          <t>30.09.2026 14:41 UTC+5</t>
        </is>
      </c>
      <c r="H15" t="inlineStr">
        <is>
          <t>v1.0</t>
        </is>
      </c>
      <c r="I15" t="inlineStr">
        <is>
          <t>MARKET</t>
        </is>
      </c>
      <c r="J15" t="inlineStr">
        <is>
          <t>Тотал 5.5 (60 мин)</t>
        </is>
      </c>
      <c r="K15" t="inlineStr">
        <is>
          <t>ТМ 5.5</t>
        </is>
      </c>
      <c r="L15" t="inlineStr">
        <is>
          <t>❌ ТМ 5.5</t>
        </is>
      </c>
      <c r="M15" t="inlineStr">
        <is>
          <t>ВИРТУАЛЬНЫЙ ВЫБОР</t>
        </is>
      </c>
      <c r="N15" t="inlineStr">
        <is>
          <t>❌ 1X [1.29] 67.4%</t>
        </is>
      </c>
      <c r="O15" t="inlineStr">
        <is>
          <t>✅ Поб2 ОТ/Б [2.65] 40.8%</t>
        </is>
      </c>
      <c r="P15" s="24" t="n">
        <v>0.5802</v>
      </c>
      <c r="Q15" s="24" t="n">
        <v>0</v>
      </c>
      <c r="R15" s="24" t="n">
        <v>0.4198</v>
      </c>
      <c r="S15" t="n">
        <v>1.724</v>
      </c>
      <c r="T15" t="n">
        <v>1.86</v>
      </c>
      <c r="U15" t="inlineStr">
        <is>
          <t>FONBET</t>
        </is>
      </c>
      <c r="V15" s="24" t="n">
        <v>0.5121</v>
      </c>
      <c r="W15" t="n">
        <v>0.06809999999999999</v>
      </c>
      <c r="X15" t="n">
        <v>0.0791</v>
      </c>
      <c r="Y15" t="n">
        <v>1000</v>
      </c>
      <c r="Z15" t="inlineStr">
        <is>
          <t>2:4</t>
        </is>
      </c>
      <c r="AA15" t="inlineStr">
        <is>
          <t>2:4</t>
        </is>
      </c>
      <c r="AB15" t="inlineStr">
        <is>
          <t>❌ НЕ ЗАШЛО</t>
        </is>
      </c>
      <c r="AC15" t="n">
        <v>-1000</v>
      </c>
      <c r="AD15" t="inlineStr">
        <is>
          <t>2.85 : 2.35</t>
        </is>
      </c>
      <c r="AE15" s="24" t="n">
        <v>0.5004</v>
      </c>
      <c r="AF15" s="24" t="n">
        <v>0.1733</v>
      </c>
      <c r="AG15" s="24" t="n">
        <v>0.3263</v>
      </c>
      <c r="AH15" s="24" t="n">
        <v>0.5921</v>
      </c>
      <c r="AI15" s="24" t="n">
        <v>0.4079</v>
      </c>
      <c r="AJ15" t="inlineStr">
        <is>
          <t>2:2 (6.1%), 3:2 (5.9%), 2:1 (5.4%)</t>
        </is>
      </c>
      <c r="AK15" t="inlineStr">
        <is>
          <t>[2, 8]</t>
        </is>
      </c>
      <c r="AL15" t="n">
        <v>100000</v>
      </c>
      <c r="AM15" t="n">
        <v>47</v>
      </c>
      <c r="AN15" t="inlineStr">
        <is>
          <t>ВИРТУАЛЬНЫЙ ВЫБОР: EV (+7.91%) &gt; 3%. Плотная игра в Москве, Трактор играет с оглядкой на сильную атаку москвичей. FONBET.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2026-10-01T02:51:17Z</dcterms:created>
  <dcterms:modified xsi:type="dcterms:W3CDTF">2026-10-01T02:51:17Z</dcterms:modified>
</cp:coreProperties>
</file>